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 (pending)/BenthFun/Outputs/Summary/"/>
    </mc:Choice>
  </mc:AlternateContent>
  <xr:revisionPtr revIDLastSave="0" documentId="13_ncr:1_{6482AF57-9B13-A74E-9F37-6260CA32FD28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Sheet1!$A$1:$O$29</definedName>
    <definedName name="_xlnm._FilterDatabase" localSheetId="1" hidden="1">Sheet3!$A$1:$O$29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H35" i="1"/>
  <c r="I35" i="1"/>
  <c r="J35" i="1"/>
  <c r="K35" i="1"/>
  <c r="L35" i="1"/>
  <c r="M35" i="1"/>
  <c r="N35" i="1"/>
  <c r="O35" i="1"/>
  <c r="G36" i="1"/>
  <c r="H36" i="1"/>
  <c r="I36" i="1"/>
  <c r="J36" i="1"/>
  <c r="K36" i="1"/>
  <c r="L36" i="1"/>
  <c r="N36" i="1"/>
  <c r="O36" i="1"/>
  <c r="G37" i="1"/>
  <c r="H37" i="1"/>
  <c r="I37" i="1"/>
  <c r="J37" i="1"/>
  <c r="K37" i="1"/>
  <c r="L37" i="1"/>
  <c r="N37" i="1"/>
  <c r="O37" i="1"/>
  <c r="G38" i="1"/>
  <c r="H38" i="1"/>
  <c r="I38" i="1"/>
  <c r="J38" i="1"/>
  <c r="K38" i="1"/>
  <c r="L38" i="1"/>
  <c r="M38" i="1"/>
  <c r="N38" i="1"/>
  <c r="O38" i="1"/>
  <c r="G39" i="1"/>
  <c r="H39" i="1"/>
  <c r="I39" i="1"/>
  <c r="J39" i="1"/>
  <c r="K39" i="1"/>
  <c r="L39" i="1"/>
  <c r="N39" i="1"/>
  <c r="G40" i="1"/>
  <c r="H40" i="1"/>
  <c r="I40" i="1"/>
  <c r="J40" i="1"/>
  <c r="K40" i="1"/>
  <c r="L40" i="1"/>
  <c r="M40" i="1"/>
  <c r="N40" i="1"/>
  <c r="O40" i="1"/>
  <c r="G41" i="1"/>
  <c r="H41" i="1"/>
  <c r="I41" i="1"/>
  <c r="J41" i="1"/>
  <c r="K41" i="1"/>
  <c r="L41" i="1"/>
  <c r="M41" i="1"/>
  <c r="N41" i="1"/>
  <c r="O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M44" i="1"/>
  <c r="N44" i="1"/>
  <c r="O44" i="1"/>
  <c r="G45" i="1"/>
  <c r="H45" i="1"/>
  <c r="I45" i="1"/>
  <c r="J45" i="1"/>
  <c r="K45" i="1"/>
  <c r="L45" i="1"/>
  <c r="M45" i="1"/>
  <c r="N45" i="1"/>
  <c r="O45" i="1"/>
  <c r="G46" i="1"/>
  <c r="H46" i="1"/>
  <c r="I46" i="1"/>
  <c r="J46" i="1"/>
  <c r="K46" i="1"/>
  <c r="L46" i="1"/>
  <c r="M46" i="1"/>
  <c r="N46" i="1"/>
  <c r="O46" i="1"/>
  <c r="G47" i="1"/>
  <c r="H47" i="1"/>
  <c r="I47" i="1"/>
  <c r="J47" i="1"/>
  <c r="K47" i="1"/>
  <c r="L47" i="1"/>
  <c r="M47" i="1"/>
  <c r="N47" i="1"/>
  <c r="O47" i="1"/>
  <c r="G48" i="1"/>
  <c r="H48" i="1"/>
  <c r="I48" i="1"/>
  <c r="J48" i="1"/>
  <c r="K48" i="1"/>
  <c r="L48" i="1"/>
  <c r="M48" i="1"/>
  <c r="N48" i="1"/>
  <c r="O48" i="1"/>
  <c r="G49" i="1"/>
  <c r="H49" i="1"/>
  <c r="I49" i="1"/>
  <c r="J49" i="1"/>
  <c r="K49" i="1"/>
  <c r="L49" i="1"/>
  <c r="M49" i="1"/>
  <c r="O49" i="1"/>
  <c r="G50" i="1"/>
  <c r="H50" i="1"/>
  <c r="I50" i="1"/>
  <c r="J50" i="1"/>
  <c r="K50" i="1"/>
  <c r="L50" i="1"/>
  <c r="N50" i="1"/>
  <c r="O50" i="1"/>
  <c r="G51" i="1"/>
  <c r="H51" i="1"/>
  <c r="I51" i="1"/>
  <c r="J51" i="1"/>
  <c r="K51" i="1"/>
  <c r="L51" i="1"/>
  <c r="M51" i="1"/>
  <c r="N51" i="1"/>
  <c r="O51" i="1"/>
  <c r="G52" i="1"/>
  <c r="H52" i="1"/>
  <c r="I52" i="1"/>
  <c r="J52" i="1"/>
  <c r="K52" i="1"/>
  <c r="L52" i="1"/>
  <c r="M52" i="1"/>
  <c r="N52" i="1"/>
  <c r="O52" i="1"/>
  <c r="G53" i="1"/>
  <c r="H53" i="1"/>
  <c r="I53" i="1"/>
  <c r="J53" i="1"/>
  <c r="K53" i="1"/>
  <c r="L53" i="1"/>
  <c r="M53" i="1"/>
  <c r="N53" i="1"/>
  <c r="O53" i="1"/>
  <c r="G54" i="1"/>
  <c r="H54" i="1"/>
  <c r="I54" i="1"/>
  <c r="J54" i="1"/>
  <c r="K54" i="1"/>
  <c r="L54" i="1"/>
  <c r="M54" i="1"/>
  <c r="N54" i="1"/>
  <c r="O54" i="1"/>
  <c r="G55" i="1"/>
  <c r="H55" i="1"/>
  <c r="I55" i="1"/>
  <c r="J55" i="1"/>
  <c r="K55" i="1"/>
  <c r="L55" i="1"/>
  <c r="M55" i="1"/>
  <c r="N55" i="1"/>
  <c r="O55" i="1"/>
  <c r="G56" i="1"/>
  <c r="H56" i="1"/>
  <c r="I56" i="1"/>
  <c r="J56" i="1"/>
  <c r="K56" i="1"/>
  <c r="L56" i="1"/>
  <c r="N56" i="1"/>
  <c r="G57" i="1"/>
  <c r="H57" i="1"/>
  <c r="I57" i="1"/>
  <c r="J57" i="1"/>
  <c r="K57" i="1"/>
  <c r="L57" i="1"/>
  <c r="M57" i="1"/>
  <c r="N57" i="1"/>
  <c r="O57" i="1"/>
  <c r="G58" i="1"/>
  <c r="H58" i="1"/>
  <c r="I58" i="1"/>
  <c r="J58" i="1"/>
  <c r="K58" i="1"/>
  <c r="L58" i="1"/>
  <c r="M58" i="1"/>
  <c r="O58" i="1"/>
  <c r="G59" i="1"/>
  <c r="H59" i="1"/>
  <c r="I59" i="1"/>
  <c r="J59" i="1"/>
  <c r="K59" i="1"/>
  <c r="L59" i="1"/>
  <c r="M59" i="1"/>
  <c r="N59" i="1"/>
  <c r="O59" i="1"/>
  <c r="G60" i="1"/>
  <c r="H60" i="1"/>
  <c r="I60" i="1"/>
  <c r="J60" i="1"/>
  <c r="K60" i="1"/>
  <c r="L60" i="1"/>
  <c r="O60" i="1"/>
  <c r="G61" i="1"/>
  <c r="H61" i="1"/>
  <c r="I61" i="1"/>
  <c r="J61" i="1"/>
  <c r="K61" i="1"/>
  <c r="L61" i="1"/>
  <c r="M61" i="1"/>
  <c r="N61" i="1"/>
  <c r="O61" i="1"/>
  <c r="H34" i="1"/>
  <c r="I34" i="1"/>
  <c r="J34" i="1"/>
  <c r="K34" i="1"/>
  <c r="L34" i="1"/>
  <c r="M34" i="1"/>
  <c r="N34" i="1"/>
  <c r="O34" i="1"/>
  <c r="G34" i="1"/>
</calcChain>
</file>

<file path=xl/sharedStrings.xml><?xml version="1.0" encoding="utf-8"?>
<sst xmlns="http://schemas.openxmlformats.org/spreadsheetml/2006/main" count="462" uniqueCount="115">
  <si>
    <t>Species</t>
  </si>
  <si>
    <t>taxonomy</t>
  </si>
  <si>
    <t>calcareous</t>
  </si>
  <si>
    <t>primary.producers</t>
  </si>
  <si>
    <t>filter.feeders</t>
  </si>
  <si>
    <t>mean_T0_ELOW_Mixed</t>
  </si>
  <si>
    <t>mean_T0_ELOW_encrusting</t>
  </si>
  <si>
    <t>mean_T0_ELOW_forest</t>
  </si>
  <si>
    <t>mean_T0_LOW_Mixed</t>
  </si>
  <si>
    <t>mean_T0_LOW_encrusting</t>
  </si>
  <si>
    <t>mean_T0_LOW_forest</t>
  </si>
  <si>
    <t>mean_T0_AMB_Mixed</t>
  </si>
  <si>
    <t>mean_T0_AMB_encrusting</t>
  </si>
  <si>
    <t>mean_T0_AMB_forest</t>
  </si>
  <si>
    <t>mean_T1_ELOW_Mixed</t>
  </si>
  <si>
    <t>mean_T1_ELOW_encrusting</t>
  </si>
  <si>
    <t>mean_T1_ELOW_forest</t>
  </si>
  <si>
    <t>mean_T1_LOW_Mixed</t>
  </si>
  <si>
    <t>mean_T1_LOW_encrusting</t>
  </si>
  <si>
    <t>mean_T1_LOW_forest</t>
  </si>
  <si>
    <t>mean_T1_AMB_Mixed</t>
  </si>
  <si>
    <t>mean_T1_AMB_encrusting</t>
  </si>
  <si>
    <t>mean_T1_AMB_forest</t>
  </si>
  <si>
    <t>mean_T2_ELOW_Mixed</t>
  </si>
  <si>
    <t>mean_T2_ELOW_encrusting</t>
  </si>
  <si>
    <t>mean_T2_ELOW_forest</t>
  </si>
  <si>
    <t>mean_T2_LOW_Mixed</t>
  </si>
  <si>
    <t>mean_T2_LOW_encrusting</t>
  </si>
  <si>
    <t>mean_T2_LOW_forest</t>
  </si>
  <si>
    <t>mean_T2_AMB_Mixed</t>
  </si>
  <si>
    <t>mean_T2_AMB_encrusting</t>
  </si>
  <si>
    <t>mean_T2_AMB_forest</t>
  </si>
  <si>
    <t>mean_T3_ELOW_Mixed</t>
  </si>
  <si>
    <t>mean_T3_ELOW_encrusting</t>
  </si>
  <si>
    <t>mean_T3_ELOW_forest</t>
  </si>
  <si>
    <t>mean_T3_LOW_Mixed</t>
  </si>
  <si>
    <t>mean_T3_LOW_encrusting</t>
  </si>
  <si>
    <t>mean_T3_LOW_forest</t>
  </si>
  <si>
    <t>mean_T3_AMB_Mixed</t>
  </si>
  <si>
    <t>mean_T3_AMB_encrusting</t>
  </si>
  <si>
    <t>mean_T3_AMB_forest</t>
  </si>
  <si>
    <t>Turf</t>
  </si>
  <si>
    <t>Perforatus perforatus</t>
  </si>
  <si>
    <t>Cystodytes dellechiajei</t>
  </si>
  <si>
    <t>Didemnum maculosum</t>
  </si>
  <si>
    <t>Clathrina clathrus</t>
  </si>
  <si>
    <t>Schizobrachiella sanguinea</t>
  </si>
  <si>
    <t>Schizoporella dunkeri</t>
  </si>
  <si>
    <t>Phorbas topsenti</t>
  </si>
  <si>
    <t>Hildenbrandia crouaniorum</t>
  </si>
  <si>
    <t>Peyssonnelia squamaria</t>
  </si>
  <si>
    <t>Serpulids</t>
  </si>
  <si>
    <t>Jania rubens</t>
  </si>
  <si>
    <t>CCA</t>
  </si>
  <si>
    <t>Hydroliton farinosum</t>
  </si>
  <si>
    <t>Halopteris scoparia</t>
  </si>
  <si>
    <t>Halopteris filicina</t>
  </si>
  <si>
    <t>Dictyota sp.</t>
  </si>
  <si>
    <t>Bryopsis sp.</t>
  </si>
  <si>
    <t>Anadyomene stellata</t>
  </si>
  <si>
    <t>Acetabularia acetabulum</t>
  </si>
  <si>
    <t>Padina pavonica</t>
  </si>
  <si>
    <t>Celleporina caminata</t>
  </si>
  <si>
    <t>Ostrea sp.</t>
  </si>
  <si>
    <t>Crambe crambe</t>
  </si>
  <si>
    <t>Lima lima</t>
  </si>
  <si>
    <t>Didemnum sp.</t>
  </si>
  <si>
    <t>Flabellia petiolata</t>
  </si>
  <si>
    <t>Crustacea</t>
  </si>
  <si>
    <t>Tunicates</t>
  </si>
  <si>
    <t>Porifera</t>
  </si>
  <si>
    <t>Bryozoa</t>
  </si>
  <si>
    <t>Phaeophyceae</t>
  </si>
  <si>
    <t>Rhodophyta</t>
  </si>
  <si>
    <t>Polychaeta</t>
  </si>
  <si>
    <t>Chlorophyta</t>
  </si>
  <si>
    <t>Mollusca</t>
  </si>
  <si>
    <t>Ellisolandia elongata</t>
  </si>
  <si>
    <t>ELOW MIX</t>
  </si>
  <si>
    <t>ELOW ENC</t>
  </si>
  <si>
    <t>ELOW FOR</t>
  </si>
  <si>
    <t>LOW MIX</t>
  </si>
  <si>
    <t>LOW ENC</t>
  </si>
  <si>
    <t>LOW FOR</t>
  </si>
  <si>
    <t>AMB MIX</t>
  </si>
  <si>
    <t>AMB ENC</t>
  </si>
  <si>
    <t>AMB FOR</t>
  </si>
  <si>
    <t>↘</t>
  </si>
  <si>
    <t>↘↘</t>
  </si>
  <si>
    <t>↗</t>
  </si>
  <si>
    <t>↗↗</t>
  </si>
  <si>
    <t>↘↘(*)</t>
  </si>
  <si>
    <t>↗↗(*)</t>
  </si>
  <si>
    <t>↗(*)</t>
  </si>
  <si>
    <t>↗↗↗</t>
  </si>
  <si>
    <t>↘↘↘</t>
  </si>
  <si>
    <t>↘↘↘(*)</t>
  </si>
  <si>
    <t>Taxonomic group</t>
  </si>
  <si>
    <t>Calcification</t>
  </si>
  <si>
    <t>Primary producer</t>
  </si>
  <si>
    <t>Filter-feeding</t>
  </si>
  <si>
    <t>Extreme Low pH</t>
  </si>
  <si>
    <t>Low pH</t>
  </si>
  <si>
    <t>Ambient pH</t>
  </si>
  <si>
    <t>Schizoporella sp., Celleporina caminata</t>
  </si>
  <si>
    <t>Bryopsis sp., Anadyomene stellata, Flabellia petiolata</t>
  </si>
  <si>
    <t xml:space="preserve">Fleshy </t>
  </si>
  <si>
    <t>Mixed</t>
  </si>
  <si>
    <t>Calcifying</t>
  </si>
  <si>
    <t>Ostrea sp., Lima lima</t>
  </si>
  <si>
    <t>Halopteris sp.</t>
  </si>
  <si>
    <t>Hydroliton farinosum, Ellisolandia elongata</t>
  </si>
  <si>
    <t>Cystodytes dellechiajei, Didemnum sp.</t>
  </si>
  <si>
    <t>Key species</t>
  </si>
  <si>
    <t>Temporal change in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</si>
</sst>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4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96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175" fontId="0" fillId="3" borderId="0" xfId="0" applyNumberFormat="1" applyFill="1"/>
    <xf numFmtId="175" fontId="0" fillId="0" borderId="0" xfId="0" applyNumberFormat="1" applyFill="1"/>
    <xf numFmtId="0" fontId="0" fillId="4" borderId="0" xfId="0" applyFill="1"/>
    <xf numFmtId="0" fontId="0" fillId="5" borderId="0" xfId="0" applyFill="1"/>
    <xf numFmtId="0" fontId="2" fillId="6" borderId="1" xfId="0" applyFont="1" applyFill="1" applyBorder="1" applyAlignment="1">
      <alignment horizontal="center" vertical="center" wrapText="1"/>
    </xf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1" fillId="9" borderId="0" xfId="0" applyFont="1" applyFill="1"/>
    <xf numFmtId="0" fontId="2" fillId="6" borderId="0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9" borderId="1" xfId="0" applyFont="1" applyFill="1" applyBorder="1"/>
    <xf numFmtId="0" fontId="3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966"/>
      <color rgb="FFFF7E79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"/>
  <sheetViews>
    <sheetView tabSelected="1" topLeftCell="A25" workbookViewId="0">
      <selection activeCell="O60" sqref="O58:O60"/>
    </sheetView>
  </sheetViews>
  <sheetFormatPr baseColWidth="10" defaultColWidth="8.83203125" defaultRowHeight="15" x14ac:dyDescent="0.2"/>
  <cols>
    <col min="2" max="2" width="24.1640625" bestFit="1" customWidth="1"/>
    <col min="3" max="3" width="12" bestFit="1" customWidth="1"/>
    <col min="7" max="7" width="10.1640625" style="3" customWidth="1"/>
    <col min="8" max="8" width="8.5" customWidth="1"/>
    <col min="9" max="9" width="9.5" customWidth="1"/>
    <col min="10" max="11" width="10.1640625" customWidth="1"/>
    <col min="12" max="15" width="9.6640625" bestFit="1" customWidth="1"/>
    <col min="16" max="16" width="9.6640625" style="3" bestFit="1" customWidth="1"/>
    <col min="17" max="24" width="9.6640625" bestFit="1" customWidth="1"/>
  </cols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3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</row>
    <row r="2" spans="1:24" s="2" customFormat="1" x14ac:dyDescent="0.2">
      <c r="A2" s="2">
        <v>1</v>
      </c>
      <c r="B2" s="2" t="s">
        <v>46</v>
      </c>
      <c r="C2" s="2" t="s">
        <v>71</v>
      </c>
      <c r="D2" s="2">
        <v>1</v>
      </c>
      <c r="E2" s="2">
        <v>0</v>
      </c>
      <c r="F2" s="2">
        <v>1</v>
      </c>
      <c r="G2" s="4">
        <v>2.0289087176651899</v>
      </c>
      <c r="H2" s="5">
        <v>1.5640674874601004</v>
      </c>
      <c r="I2" s="5">
        <v>0.84841628959276005</v>
      </c>
      <c r="J2" s="5">
        <v>1.7339021833309245</v>
      </c>
      <c r="K2" s="5">
        <v>0.51369863013698625</v>
      </c>
      <c r="L2" s="5">
        <v>0.69833908541846412</v>
      </c>
      <c r="M2" s="5">
        <v>0.70422535211267612</v>
      </c>
      <c r="N2" s="5">
        <v>0.18939393939393942</v>
      </c>
      <c r="O2" s="5">
        <v>0.35714285714285715</v>
      </c>
      <c r="P2" s="4">
        <v>0.43103448275862066</v>
      </c>
      <c r="Q2" s="5">
        <v>0</v>
      </c>
      <c r="R2" s="5">
        <v>0.36231884057971014</v>
      </c>
      <c r="S2" s="5">
        <v>1.8123817405756335</v>
      </c>
      <c r="T2" s="5">
        <v>0.26595744680851069</v>
      </c>
      <c r="U2" s="5">
        <v>0.7526036936951811</v>
      </c>
      <c r="V2" s="5">
        <v>0.78125</v>
      </c>
      <c r="W2" s="5">
        <v>0.18115942028985507</v>
      </c>
      <c r="X2" s="5">
        <v>0.35714285714285715</v>
      </c>
    </row>
    <row r="3" spans="1:24" s="2" customFormat="1" x14ac:dyDescent="0.2">
      <c r="A3" s="2">
        <v>1</v>
      </c>
      <c r="B3" s="2" t="s">
        <v>47</v>
      </c>
      <c r="C3" s="2" t="s">
        <v>71</v>
      </c>
      <c r="D3" s="2">
        <v>1</v>
      </c>
      <c r="E3" s="2">
        <v>0</v>
      </c>
      <c r="F3" s="2">
        <v>1</v>
      </c>
      <c r="G3" s="4">
        <v>2.9288826092075828</v>
      </c>
      <c r="H3" s="5">
        <v>9.5130848709307898</v>
      </c>
      <c r="I3" s="5">
        <v>8.5536745637878049</v>
      </c>
      <c r="J3" s="5">
        <v>10.166544074337505</v>
      </c>
      <c r="K3" s="5">
        <v>11.617651218873981</v>
      </c>
      <c r="L3" s="5">
        <v>6.6958557332802364</v>
      </c>
      <c r="M3" s="5">
        <v>5.2282600686461311</v>
      </c>
      <c r="N3" s="5">
        <v>8.9540998217468797</v>
      </c>
      <c r="O3" s="5">
        <v>4.5289800242130749</v>
      </c>
      <c r="P3" s="4">
        <v>1.2122844827586206</v>
      </c>
      <c r="Q3" s="5">
        <v>5.8265389529719691</v>
      </c>
      <c r="R3" s="5">
        <v>4.2540871332626367</v>
      </c>
      <c r="S3" s="5">
        <v>8.7087149791321821</v>
      </c>
      <c r="T3" s="5">
        <v>8.6810170541763512</v>
      </c>
      <c r="U3" s="5">
        <v>6.6188459846582983</v>
      </c>
      <c r="V3" s="5">
        <v>5.2634591285907071</v>
      </c>
      <c r="W3" s="5">
        <v>8.8526280077248281</v>
      </c>
      <c r="X3" s="5">
        <v>4.4245103517286974</v>
      </c>
    </row>
    <row r="4" spans="1:24" s="2" customFormat="1" x14ac:dyDescent="0.2">
      <c r="A4" s="2">
        <v>1</v>
      </c>
      <c r="B4" s="2" t="s">
        <v>62</v>
      </c>
      <c r="C4" s="2" t="s">
        <v>71</v>
      </c>
      <c r="D4" s="2">
        <v>1</v>
      </c>
      <c r="E4" s="2">
        <v>0</v>
      </c>
      <c r="F4" s="2">
        <v>1</v>
      </c>
      <c r="G4" s="4">
        <v>6.187561559026312</v>
      </c>
      <c r="H4" s="5"/>
      <c r="I4" s="5">
        <v>6.3008448060075093</v>
      </c>
      <c r="J4" s="5">
        <v>3.2189189987883799</v>
      </c>
      <c r="K4" s="5">
        <v>0.80128205128205132</v>
      </c>
      <c r="L4" s="5">
        <v>1.2820512820512819</v>
      </c>
      <c r="M4" s="5"/>
      <c r="N4" s="5">
        <v>5.8823529411764701</v>
      </c>
      <c r="O4" s="5">
        <v>1.1380145278450362</v>
      </c>
      <c r="P4" s="4">
        <v>0</v>
      </c>
      <c r="Q4" s="5"/>
      <c r="R4" s="5">
        <v>6.25</v>
      </c>
      <c r="S4" s="5">
        <v>3.3325823119442441</v>
      </c>
      <c r="T4" s="5">
        <v>0.88836477987421381</v>
      </c>
      <c r="U4" s="5">
        <v>1.3698630136986301</v>
      </c>
      <c r="V4" s="5"/>
      <c r="W4" s="5">
        <v>5.8823529411764701</v>
      </c>
      <c r="X4" s="5">
        <v>1.1380145278450362</v>
      </c>
    </row>
    <row r="5" spans="1:24" s="2" customFormat="1" x14ac:dyDescent="0.2">
      <c r="A5" s="2">
        <v>2</v>
      </c>
      <c r="B5" s="2" t="s">
        <v>58</v>
      </c>
      <c r="C5" s="2" t="s">
        <v>75</v>
      </c>
      <c r="D5" s="2">
        <v>0</v>
      </c>
      <c r="E5" s="2">
        <v>1</v>
      </c>
      <c r="F5" s="2">
        <v>0</v>
      </c>
      <c r="G5" s="4">
        <v>0.21929824561403508</v>
      </c>
      <c r="H5" s="5"/>
      <c r="I5" s="5">
        <v>0.16025641025641024</v>
      </c>
      <c r="J5" s="5">
        <v>0.36496350364963503</v>
      </c>
      <c r="K5" s="5">
        <v>0.68493150684931503</v>
      </c>
      <c r="L5" s="5">
        <v>0.49342105263157893</v>
      </c>
      <c r="M5" s="5"/>
      <c r="N5" s="5">
        <v>2.6727272727272728</v>
      </c>
      <c r="O5" s="5">
        <v>1.5252976190476188</v>
      </c>
      <c r="P5" s="4">
        <v>0</v>
      </c>
      <c r="Q5" s="5"/>
      <c r="R5" s="5">
        <v>0</v>
      </c>
      <c r="S5" s="5">
        <v>0.41666666666666669</v>
      </c>
      <c r="T5" s="5">
        <v>1.0638297872340428</v>
      </c>
      <c r="U5" s="5">
        <v>2.4809160305343507</v>
      </c>
      <c r="V5" s="5"/>
      <c r="W5" s="5">
        <v>2.4492753623188404</v>
      </c>
      <c r="X5" s="5">
        <v>2.4195575666163895</v>
      </c>
    </row>
    <row r="6" spans="1:24" s="2" customFormat="1" x14ac:dyDescent="0.2">
      <c r="A6" s="2">
        <v>2</v>
      </c>
      <c r="B6" s="2" t="s">
        <v>59</v>
      </c>
      <c r="C6" s="2" t="s">
        <v>75</v>
      </c>
      <c r="D6" s="2">
        <v>0</v>
      </c>
      <c r="E6" s="2">
        <v>1</v>
      </c>
      <c r="F6" s="2">
        <v>0</v>
      </c>
      <c r="G6" s="4">
        <v>4.4006829153420464</v>
      </c>
      <c r="H6" s="5"/>
      <c r="I6" s="5">
        <v>2.7526395173453997</v>
      </c>
      <c r="J6" s="5">
        <v>0</v>
      </c>
      <c r="K6" s="5">
        <v>0</v>
      </c>
      <c r="L6" s="5">
        <v>3.3218291630716132</v>
      </c>
      <c r="M6" s="5">
        <v>4.7758767076617978</v>
      </c>
      <c r="N6" s="5">
        <v>0.76818181818181819</v>
      </c>
      <c r="O6" s="5">
        <v>1.3839285714285714</v>
      </c>
      <c r="P6" s="4">
        <v>1.2526939655172413</v>
      </c>
      <c r="Q6" s="5"/>
      <c r="R6" s="5">
        <v>1.0869565217391304</v>
      </c>
      <c r="S6" s="5">
        <v>0</v>
      </c>
      <c r="T6" s="5">
        <v>0</v>
      </c>
      <c r="U6" s="5">
        <v>4.4629704031070041</v>
      </c>
      <c r="V6" s="5">
        <v>5.1163816994409093</v>
      </c>
      <c r="W6" s="5">
        <v>1.0724637681159419</v>
      </c>
      <c r="X6" s="5">
        <v>1.3009049773755654</v>
      </c>
    </row>
    <row r="7" spans="1:24" s="2" customFormat="1" x14ac:dyDescent="0.2">
      <c r="A7" s="2">
        <v>2</v>
      </c>
      <c r="B7" s="2" t="s">
        <v>67</v>
      </c>
      <c r="C7" s="2" t="s">
        <v>75</v>
      </c>
      <c r="D7" s="2">
        <v>0</v>
      </c>
      <c r="E7" s="2">
        <v>1</v>
      </c>
      <c r="F7" s="2">
        <v>0</v>
      </c>
      <c r="G7" s="4"/>
      <c r="H7" s="5"/>
      <c r="I7" s="5"/>
      <c r="J7" s="5"/>
      <c r="K7" s="5"/>
      <c r="L7" s="5"/>
      <c r="M7" s="5"/>
      <c r="N7" s="5">
        <v>0.86898395721925137</v>
      </c>
      <c r="O7" s="5"/>
      <c r="P7" s="4"/>
      <c r="Q7" s="5"/>
      <c r="R7" s="5"/>
      <c r="S7" s="5"/>
      <c r="T7" s="5"/>
      <c r="U7" s="5"/>
      <c r="V7" s="5"/>
      <c r="W7" s="5">
        <v>0.87252292221236316</v>
      </c>
      <c r="X7" s="5"/>
    </row>
    <row r="8" spans="1:24" s="2" customFormat="1" x14ac:dyDescent="0.2">
      <c r="A8" s="2">
        <v>3</v>
      </c>
      <c r="B8" s="2" t="s">
        <v>60</v>
      </c>
      <c r="C8" s="2" t="s">
        <v>75</v>
      </c>
      <c r="D8" s="2">
        <v>1</v>
      </c>
      <c r="E8" s="2">
        <v>1</v>
      </c>
      <c r="F8" s="2">
        <v>0</v>
      </c>
      <c r="G8" s="4">
        <v>1.5483339220534558</v>
      </c>
      <c r="H8" s="5">
        <v>0.41666666666666669</v>
      </c>
      <c r="I8" s="5">
        <v>1.4658748114630467</v>
      </c>
      <c r="J8" s="5">
        <v>0.85616438356164359</v>
      </c>
      <c r="K8" s="5">
        <v>0.16778523489932881</v>
      </c>
      <c r="L8" s="5">
        <v>3.9851164797238994</v>
      </c>
      <c r="M8" s="5">
        <v>3.2969810775675281</v>
      </c>
      <c r="N8" s="5">
        <v>1.3999999999999997</v>
      </c>
      <c r="O8" s="5">
        <v>3.0803571428571428</v>
      </c>
      <c r="P8" s="4">
        <v>0</v>
      </c>
      <c r="Q8" s="5">
        <v>0</v>
      </c>
      <c r="R8" s="5">
        <v>0</v>
      </c>
      <c r="S8" s="5">
        <v>0.70422535211267612</v>
      </c>
      <c r="T8" s="5">
        <v>0.15923566878980888</v>
      </c>
      <c r="U8" s="5">
        <v>1.4212535154680594</v>
      </c>
      <c r="V8" s="5">
        <v>1.8483709273182956</v>
      </c>
      <c r="W8" s="5">
        <v>1.1666666666666665</v>
      </c>
      <c r="X8" s="5">
        <v>2.114756158873806</v>
      </c>
    </row>
    <row r="9" spans="1:24" s="2" customFormat="1" x14ac:dyDescent="0.2">
      <c r="A9" s="2">
        <v>4</v>
      </c>
      <c r="B9" s="2" t="s">
        <v>42</v>
      </c>
      <c r="C9" s="2" t="s">
        <v>68</v>
      </c>
      <c r="D9" s="2">
        <v>1</v>
      </c>
      <c r="E9" s="2">
        <v>0</v>
      </c>
      <c r="F9" s="2">
        <v>1</v>
      </c>
      <c r="G9" s="4">
        <v>26.357819343886952</v>
      </c>
      <c r="H9" s="5">
        <v>21.839660282717738</v>
      </c>
      <c r="I9" s="5">
        <v>25.931842929759846</v>
      </c>
      <c r="J9" s="5">
        <v>14.550083453193141</v>
      </c>
      <c r="K9" s="5">
        <v>13.202617614679763</v>
      </c>
      <c r="L9" s="5">
        <v>22.04265392358576</v>
      </c>
      <c r="M9" s="5">
        <v>13.010547332669351</v>
      </c>
      <c r="N9" s="5">
        <v>2.1273618538324417</v>
      </c>
      <c r="O9" s="5">
        <v>7.5665859564164633</v>
      </c>
      <c r="P9" s="4">
        <v>1.7241379310344827</v>
      </c>
      <c r="Q9" s="5">
        <v>12.799107656624852</v>
      </c>
      <c r="R9" s="5">
        <v>3.6739130434782608</v>
      </c>
      <c r="S9" s="5">
        <v>15.383063219499647</v>
      </c>
      <c r="T9" s="5">
        <v>14.696116209436774</v>
      </c>
      <c r="U9" s="5">
        <v>23.612023425517869</v>
      </c>
      <c r="V9" s="5">
        <v>13.640923221515326</v>
      </c>
      <c r="W9" s="5">
        <v>2.0928719313812478</v>
      </c>
      <c r="X9" s="5">
        <v>7.9671820923067163</v>
      </c>
    </row>
    <row r="10" spans="1:24" s="2" customFormat="1" x14ac:dyDescent="0.2">
      <c r="A10" s="2">
        <v>5</v>
      </c>
      <c r="B10" s="2" t="s">
        <v>63</v>
      </c>
      <c r="C10" s="2" t="s">
        <v>76</v>
      </c>
      <c r="D10" s="2">
        <v>1</v>
      </c>
      <c r="E10" s="2">
        <v>0</v>
      </c>
      <c r="F10" s="2">
        <v>1</v>
      </c>
      <c r="G10" s="4"/>
      <c r="H10" s="5">
        <v>0.19379844961240314</v>
      </c>
      <c r="I10" s="5"/>
      <c r="J10" s="5"/>
      <c r="K10" s="5"/>
      <c r="L10" s="5"/>
      <c r="M10" s="5"/>
      <c r="N10" s="5"/>
      <c r="O10" s="5"/>
      <c r="P10" s="4"/>
      <c r="Q10" s="5">
        <v>0</v>
      </c>
      <c r="R10" s="5"/>
      <c r="S10" s="5"/>
      <c r="T10" s="5"/>
      <c r="U10" s="5"/>
      <c r="V10" s="5"/>
      <c r="W10" s="5"/>
      <c r="X10" s="5"/>
    </row>
    <row r="11" spans="1:24" s="2" customFormat="1" x14ac:dyDescent="0.2">
      <c r="A11" s="2">
        <v>5</v>
      </c>
      <c r="B11" s="2" t="s">
        <v>65</v>
      </c>
      <c r="C11" s="2" t="s">
        <v>76</v>
      </c>
      <c r="D11" s="2">
        <v>1</v>
      </c>
      <c r="E11" s="2">
        <v>0</v>
      </c>
      <c r="F11" s="2">
        <v>1</v>
      </c>
      <c r="G11" s="4"/>
      <c r="H11" s="5">
        <v>0.58823529411764708</v>
      </c>
      <c r="I11" s="5">
        <v>0.34246575342465752</v>
      </c>
      <c r="J11" s="5"/>
      <c r="K11" s="5"/>
      <c r="L11" s="5"/>
      <c r="M11" s="5"/>
      <c r="N11" s="5"/>
      <c r="O11" s="5"/>
      <c r="P11" s="4"/>
      <c r="Q11" s="5">
        <v>0</v>
      </c>
      <c r="R11" s="5">
        <v>0</v>
      </c>
      <c r="S11" s="5"/>
      <c r="T11" s="5"/>
      <c r="U11" s="5"/>
      <c r="V11" s="5"/>
      <c r="W11" s="5"/>
      <c r="X11" s="5"/>
    </row>
    <row r="12" spans="1:24" s="2" customFormat="1" x14ac:dyDescent="0.2">
      <c r="A12" s="2">
        <v>6</v>
      </c>
      <c r="B12" s="2" t="s">
        <v>55</v>
      </c>
      <c r="C12" s="2" t="s">
        <v>72</v>
      </c>
      <c r="D12" s="2">
        <v>0</v>
      </c>
      <c r="E12" s="2">
        <v>1</v>
      </c>
      <c r="F12" s="2">
        <v>0</v>
      </c>
      <c r="G12" s="4">
        <v>1.1612504415400917</v>
      </c>
      <c r="H12" s="5">
        <v>5.2470930232558137</v>
      </c>
      <c r="I12" s="5">
        <v>3.3653846153846145</v>
      </c>
      <c r="J12" s="5">
        <v>5.6456854314568528</v>
      </c>
      <c r="K12" s="5">
        <v>4.5991541785418768</v>
      </c>
      <c r="L12" s="5">
        <v>3.4836065573770494</v>
      </c>
      <c r="M12" s="5">
        <v>5.9728441427126961</v>
      </c>
      <c r="N12" s="5">
        <v>1.7151515151515153</v>
      </c>
      <c r="O12" s="5">
        <v>6.0714285714285712</v>
      </c>
      <c r="P12" s="4">
        <v>1.171875</v>
      </c>
      <c r="Q12" s="5">
        <v>2.3648648648648645</v>
      </c>
      <c r="R12" s="5">
        <v>0</v>
      </c>
      <c r="S12" s="5">
        <v>4.759389671361502</v>
      </c>
      <c r="T12" s="5">
        <v>3.2423092559967479</v>
      </c>
      <c r="U12" s="5">
        <v>3.6142359716084096</v>
      </c>
      <c r="V12" s="5">
        <v>6.030701754385964</v>
      </c>
      <c r="W12" s="5">
        <v>1.6159420289855073</v>
      </c>
      <c r="X12" s="5">
        <v>5.6623931623931618</v>
      </c>
    </row>
    <row r="13" spans="1:24" s="2" customFormat="1" x14ac:dyDescent="0.2">
      <c r="A13" s="2">
        <v>6</v>
      </c>
      <c r="B13" s="2" t="s">
        <v>56</v>
      </c>
      <c r="C13" s="2" t="s">
        <v>72</v>
      </c>
      <c r="D13" s="2">
        <v>0</v>
      </c>
      <c r="E13" s="2">
        <v>1</v>
      </c>
      <c r="F13" s="2">
        <v>0</v>
      </c>
      <c r="G13" s="4"/>
      <c r="H13" s="5">
        <v>0.38759689922480628</v>
      </c>
      <c r="I13" s="5">
        <v>0.18382352941176469</v>
      </c>
      <c r="J13" s="5"/>
      <c r="K13" s="5"/>
      <c r="L13" s="5">
        <v>0.4098360655737705</v>
      </c>
      <c r="M13" s="5">
        <v>0.50435745582358316</v>
      </c>
      <c r="N13" s="5">
        <v>0.39999999999999991</v>
      </c>
      <c r="O13" s="5">
        <v>1.09375</v>
      </c>
      <c r="P13" s="4"/>
      <c r="Q13" s="5">
        <v>0.33783783783783783</v>
      </c>
      <c r="R13" s="5">
        <v>0</v>
      </c>
      <c r="S13" s="5"/>
      <c r="T13" s="5"/>
      <c r="U13" s="5">
        <v>0.43859649122807015</v>
      </c>
      <c r="V13" s="5">
        <v>0.51691729323308266</v>
      </c>
      <c r="W13" s="5">
        <v>0.33333333333333331</v>
      </c>
      <c r="X13" s="5">
        <v>1.3071895424836601</v>
      </c>
    </row>
    <row r="14" spans="1:24" s="2" customFormat="1" x14ac:dyDescent="0.2">
      <c r="A14" s="2">
        <v>6</v>
      </c>
      <c r="B14" s="2" t="s">
        <v>57</v>
      </c>
      <c r="C14" s="2" t="s">
        <v>72</v>
      </c>
      <c r="D14" s="2">
        <v>0</v>
      </c>
      <c r="E14" s="2">
        <v>1</v>
      </c>
      <c r="F14" s="2">
        <v>0</v>
      </c>
      <c r="G14" s="4">
        <v>7.5989049805722342</v>
      </c>
      <c r="H14" s="5">
        <v>4.5687984496124034</v>
      </c>
      <c r="I14" s="5">
        <v>9.8369155354449465</v>
      </c>
      <c r="J14" s="5">
        <v>5.5244475552444747</v>
      </c>
      <c r="K14" s="5">
        <v>5.2082375655051933</v>
      </c>
      <c r="L14" s="5">
        <v>8.9516824849007772</v>
      </c>
      <c r="M14" s="5">
        <v>4.1925465838509304</v>
      </c>
      <c r="N14" s="5">
        <v>1.3681818181818182</v>
      </c>
      <c r="O14" s="5">
        <v>6.5029761904761898</v>
      </c>
      <c r="P14" s="4">
        <v>3.3674568965517246</v>
      </c>
      <c r="Q14" s="5">
        <v>5.28169014084507</v>
      </c>
      <c r="R14" s="5">
        <v>8.5217391304347814</v>
      </c>
      <c r="S14" s="5">
        <v>8.8736413917293717</v>
      </c>
      <c r="T14" s="5">
        <v>5.8238469530650034</v>
      </c>
      <c r="U14" s="5">
        <v>8.7669077273335994</v>
      </c>
      <c r="V14" s="5">
        <v>3.7907268170426058</v>
      </c>
      <c r="W14" s="5">
        <v>3.9275362318840576</v>
      </c>
      <c r="X14" s="5">
        <v>5.3293112116641517</v>
      </c>
    </row>
    <row r="15" spans="1:24" s="2" customFormat="1" x14ac:dyDescent="0.2">
      <c r="A15" s="2">
        <v>7</v>
      </c>
      <c r="B15" s="2" t="s">
        <v>61</v>
      </c>
      <c r="C15" s="2" t="s">
        <v>72</v>
      </c>
      <c r="D15" s="2">
        <v>1</v>
      </c>
      <c r="E15" s="2">
        <v>1</v>
      </c>
      <c r="F15" s="2">
        <v>0</v>
      </c>
      <c r="G15" s="4">
        <v>0.94195219592605661</v>
      </c>
      <c r="H15" s="5"/>
      <c r="I15" s="5">
        <v>1.1217948717948714</v>
      </c>
      <c r="J15" s="5">
        <v>0.17123287671232873</v>
      </c>
      <c r="K15" s="5">
        <v>0</v>
      </c>
      <c r="L15" s="5">
        <v>1.2322044866264019</v>
      </c>
      <c r="M15" s="5">
        <v>2.0932639992296211</v>
      </c>
      <c r="N15" s="5">
        <v>0.18939393939393942</v>
      </c>
      <c r="O15" s="5">
        <v>4.4345238095238093</v>
      </c>
      <c r="P15" s="4">
        <v>0</v>
      </c>
      <c r="Q15" s="5"/>
      <c r="R15" s="5">
        <v>0</v>
      </c>
      <c r="S15" s="5">
        <v>0</v>
      </c>
      <c r="T15" s="5">
        <v>0.15923566878980888</v>
      </c>
      <c r="U15" s="5">
        <v>0.8771929824561403</v>
      </c>
      <c r="V15" s="5">
        <v>2.3417919799498743</v>
      </c>
      <c r="W15" s="5">
        <v>0.34782608695652173</v>
      </c>
      <c r="X15" s="5">
        <v>4.8579688285570626</v>
      </c>
    </row>
    <row r="16" spans="1:24" s="2" customFormat="1" x14ac:dyDescent="0.2">
      <c r="A16" s="2">
        <v>8</v>
      </c>
      <c r="B16" s="2" t="s">
        <v>51</v>
      </c>
      <c r="C16" s="2" t="s">
        <v>74</v>
      </c>
      <c r="D16" s="2">
        <v>1</v>
      </c>
      <c r="E16" s="2">
        <v>0</v>
      </c>
      <c r="F16" s="2">
        <v>1</v>
      </c>
      <c r="G16" s="4">
        <v>15.343246694307933</v>
      </c>
      <c r="H16" s="5">
        <v>21.50701233414523</v>
      </c>
      <c r="I16" s="5">
        <v>11.443456718157972</v>
      </c>
      <c r="J16" s="5">
        <v>17.256391769729909</v>
      </c>
      <c r="K16" s="5">
        <v>19.232734681272881</v>
      </c>
      <c r="L16" s="5">
        <v>15.821276077962878</v>
      </c>
      <c r="M16" s="5">
        <v>19.590669956772118</v>
      </c>
      <c r="N16" s="5">
        <v>21.229322638146165</v>
      </c>
      <c r="O16" s="5">
        <v>17.782611985472151</v>
      </c>
      <c r="P16" s="4">
        <v>11.565563725490197</v>
      </c>
      <c r="Q16" s="5">
        <v>3.6711711711711712</v>
      </c>
      <c r="R16" s="5">
        <v>4.6112804878048781</v>
      </c>
      <c r="S16" s="5">
        <v>18.572145441744436</v>
      </c>
      <c r="T16" s="5">
        <v>22.9500352010337</v>
      </c>
      <c r="U16" s="5">
        <v>16.370939802807143</v>
      </c>
      <c r="V16" s="5">
        <v>22.081043956043956</v>
      </c>
      <c r="W16" s="5">
        <v>20.814960766915462</v>
      </c>
      <c r="X16" s="5">
        <v>18.296812858128909</v>
      </c>
    </row>
    <row r="17" spans="1:24" s="2" customFormat="1" x14ac:dyDescent="0.2">
      <c r="A17" s="2">
        <v>9</v>
      </c>
      <c r="B17" s="2" t="s">
        <v>45</v>
      </c>
      <c r="C17" s="2" t="s">
        <v>70</v>
      </c>
      <c r="D17" s="2">
        <v>1</v>
      </c>
      <c r="E17" s="2">
        <v>0</v>
      </c>
      <c r="F17" s="2">
        <v>1</v>
      </c>
      <c r="G17" s="4">
        <v>0.24271844660194172</v>
      </c>
      <c r="H17" s="5"/>
      <c r="I17" s="5"/>
      <c r="J17" s="5"/>
      <c r="K17" s="5"/>
      <c r="L17" s="5">
        <v>0.64102564102564097</v>
      </c>
      <c r="M17" s="5">
        <v>0.70422535211267612</v>
      </c>
      <c r="N17" s="5">
        <v>0</v>
      </c>
      <c r="O17" s="5">
        <v>0.7142857142857143</v>
      </c>
      <c r="P17" s="4">
        <v>0</v>
      </c>
      <c r="Q17" s="5"/>
      <c r="R17" s="5"/>
      <c r="S17" s="5"/>
      <c r="T17" s="5"/>
      <c r="U17" s="5">
        <v>0.87577120150580356</v>
      </c>
      <c r="V17" s="5">
        <v>0.78125</v>
      </c>
      <c r="W17" s="5">
        <v>0</v>
      </c>
      <c r="X17" s="5">
        <v>0.7142857142857143</v>
      </c>
    </row>
    <row r="18" spans="1:24" s="2" customFormat="1" x14ac:dyDescent="0.2">
      <c r="A18" s="2">
        <v>10</v>
      </c>
      <c r="B18" s="2" t="s">
        <v>48</v>
      </c>
      <c r="C18" s="2" t="s">
        <v>70</v>
      </c>
      <c r="D18" s="2">
        <v>0</v>
      </c>
      <c r="E18" s="2">
        <v>0</v>
      </c>
      <c r="F18" s="2">
        <v>1</v>
      </c>
      <c r="G18" s="4">
        <v>4.9294431731502675</v>
      </c>
      <c r="H18" s="5">
        <v>1.7647058823529411</v>
      </c>
      <c r="I18" s="5"/>
      <c r="J18" s="5">
        <v>3.1545209176788123</v>
      </c>
      <c r="K18" s="5">
        <v>0.83333333333333337</v>
      </c>
      <c r="L18" s="5">
        <v>2.6147098515519565</v>
      </c>
      <c r="M18" s="5"/>
      <c r="N18" s="5">
        <v>5.784313725490196</v>
      </c>
      <c r="O18" s="5">
        <v>3.5472154963680387</v>
      </c>
      <c r="P18" s="4">
        <v>7.7380952380952381</v>
      </c>
      <c r="Q18" s="5">
        <v>2.9069767441860463</v>
      </c>
      <c r="R18" s="5"/>
      <c r="S18" s="5">
        <v>3.2203797164143229</v>
      </c>
      <c r="T18" s="5">
        <v>1.3600628930817611</v>
      </c>
      <c r="U18" s="5">
        <v>2.6329834549012632</v>
      </c>
      <c r="V18" s="5"/>
      <c r="W18" s="5">
        <v>4.8439375750300124</v>
      </c>
      <c r="X18" s="5">
        <v>3.5472154963680387</v>
      </c>
    </row>
    <row r="19" spans="1:24" s="2" customFormat="1" x14ac:dyDescent="0.2">
      <c r="A19" s="2">
        <v>10</v>
      </c>
      <c r="B19" s="2" t="s">
        <v>64</v>
      </c>
      <c r="C19" s="2" t="s">
        <v>70</v>
      </c>
      <c r="D19" s="2">
        <v>0</v>
      </c>
      <c r="E19" s="2">
        <v>0</v>
      </c>
      <c r="F19" s="2">
        <v>1</v>
      </c>
      <c r="G19" s="4">
        <v>0.43859649122807015</v>
      </c>
      <c r="H19" s="5">
        <v>0.19379844961240314</v>
      </c>
      <c r="I19" s="5">
        <v>1.2128349759292547</v>
      </c>
      <c r="J19" s="5">
        <v>2.3314014752370915</v>
      </c>
      <c r="K19" s="5">
        <v>0.16778523489932881</v>
      </c>
      <c r="L19" s="5">
        <v>0.3289473684210526</v>
      </c>
      <c r="M19" s="5">
        <v>0.62111801242236009</v>
      </c>
      <c r="N19" s="5">
        <v>0.75757575757575768</v>
      </c>
      <c r="O19" s="5">
        <v>0.625</v>
      </c>
      <c r="P19" s="4">
        <v>0.86206896551724133</v>
      </c>
      <c r="Q19" s="5">
        <v>0.33783783783783783</v>
      </c>
      <c r="R19" s="5">
        <v>1.9720749381406857</v>
      </c>
      <c r="S19" s="5">
        <v>2.4358479644993247</v>
      </c>
      <c r="T19" s="5">
        <v>0.15923566878980888</v>
      </c>
      <c r="U19" s="5">
        <v>0.38167938931297707</v>
      </c>
      <c r="V19" s="5">
        <v>0.59523809523809512</v>
      </c>
      <c r="W19" s="5">
        <v>0.72463768115942029</v>
      </c>
      <c r="X19" s="5">
        <v>0.65359477124183007</v>
      </c>
    </row>
    <row r="20" spans="1:24" s="2" customFormat="1" x14ac:dyDescent="0.2">
      <c r="A20" s="2">
        <v>11</v>
      </c>
      <c r="B20" s="2" t="s">
        <v>49</v>
      </c>
      <c r="C20" s="2" t="s">
        <v>73</v>
      </c>
      <c r="D20" s="2">
        <v>0</v>
      </c>
      <c r="E20" s="2">
        <v>1</v>
      </c>
      <c r="F20" s="2">
        <v>0</v>
      </c>
      <c r="G20" s="4">
        <v>1.2775226657247143</v>
      </c>
      <c r="H20" s="5">
        <v>3.5157318741450068</v>
      </c>
      <c r="I20" s="5">
        <v>0.91911764705882359</v>
      </c>
      <c r="J20" s="5">
        <v>1.2621038840785286</v>
      </c>
      <c r="K20" s="5">
        <v>0</v>
      </c>
      <c r="L20" s="5">
        <v>2.138157894736842</v>
      </c>
      <c r="M20" s="5">
        <v>2.7389222893583387</v>
      </c>
      <c r="N20" s="5">
        <v>2.6622994652406415</v>
      </c>
      <c r="O20" s="5">
        <v>4.8273557304277643</v>
      </c>
      <c r="P20" s="4">
        <v>0.390625</v>
      </c>
      <c r="Q20" s="5">
        <v>2.8603603603603602</v>
      </c>
      <c r="R20" s="5">
        <v>1</v>
      </c>
      <c r="S20" s="5">
        <v>1.1235279980773851</v>
      </c>
      <c r="T20" s="5">
        <v>0</v>
      </c>
      <c r="U20" s="5">
        <v>2.1388916427084368</v>
      </c>
      <c r="V20" s="5">
        <v>3.0019459706959708</v>
      </c>
      <c r="W20" s="5">
        <v>1.7941176470588234</v>
      </c>
      <c r="X20" s="5">
        <v>4.7511890458051971</v>
      </c>
    </row>
    <row r="21" spans="1:24" s="2" customFormat="1" x14ac:dyDescent="0.2">
      <c r="A21" s="2">
        <v>11</v>
      </c>
      <c r="B21" s="2" t="s">
        <v>50</v>
      </c>
      <c r="C21" s="2" t="s">
        <v>73</v>
      </c>
      <c r="D21" s="2">
        <v>0</v>
      </c>
      <c r="E21" s="2">
        <v>1</v>
      </c>
      <c r="F21" s="2">
        <v>0</v>
      </c>
      <c r="G21" s="4">
        <v>2.2327210644059812</v>
      </c>
      <c r="H21" s="5">
        <v>1.9525193798449616</v>
      </c>
      <c r="I21" s="5">
        <v>2.2058823529411766</v>
      </c>
      <c r="J21" s="5">
        <v>3.4221577842215769</v>
      </c>
      <c r="K21" s="5">
        <v>3.7671232876712328</v>
      </c>
      <c r="L21" s="5">
        <v>0.86281276962899045</v>
      </c>
      <c r="M21" s="5">
        <v>2.2515782256735557</v>
      </c>
      <c r="N21" s="5">
        <v>11.764616755793227</v>
      </c>
      <c r="O21" s="5">
        <v>1.3095238095238095</v>
      </c>
      <c r="P21" s="4">
        <v>3.90625</v>
      </c>
      <c r="Q21" s="5">
        <v>1.0135135135135134</v>
      </c>
      <c r="R21" s="5">
        <v>0.5</v>
      </c>
      <c r="S21" s="5">
        <v>4.1813380281690131</v>
      </c>
      <c r="T21" s="5">
        <v>3.9893617021276593</v>
      </c>
      <c r="U21" s="5">
        <v>1.5551761082094548</v>
      </c>
      <c r="V21" s="5">
        <v>2.4426300125313283</v>
      </c>
      <c r="W21" s="5">
        <v>10.94232475598935</v>
      </c>
      <c r="X21" s="5">
        <v>1.0347985347985347</v>
      </c>
    </row>
    <row r="22" spans="1:24" s="2" customFormat="1" x14ac:dyDescent="0.2">
      <c r="A22" s="2">
        <v>12</v>
      </c>
      <c r="B22" s="2" t="s">
        <v>52</v>
      </c>
      <c r="C22" s="2" t="s">
        <v>73</v>
      </c>
      <c r="D22" s="2">
        <v>1</v>
      </c>
      <c r="E22" s="2">
        <v>1</v>
      </c>
      <c r="F22" s="2">
        <v>0</v>
      </c>
      <c r="G22" s="4">
        <v>0.33557046979865773</v>
      </c>
      <c r="H22" s="5"/>
      <c r="I22" s="5"/>
      <c r="J22" s="5">
        <v>0.91240875912408748</v>
      </c>
      <c r="K22" s="5">
        <v>1.0239496184609727</v>
      </c>
      <c r="L22" s="5">
        <v>4.84792924935289</v>
      </c>
      <c r="M22" s="5">
        <v>3.528094756608406</v>
      </c>
      <c r="N22" s="5">
        <v>1.7151515151515153</v>
      </c>
      <c r="O22" s="5">
        <v>1.5104166666666665</v>
      </c>
      <c r="P22" s="4">
        <v>0</v>
      </c>
      <c r="Q22" s="5"/>
      <c r="R22" s="5"/>
      <c r="S22" s="5">
        <v>0.625</v>
      </c>
      <c r="T22" s="5">
        <v>0.69115056240683026</v>
      </c>
      <c r="U22" s="5">
        <v>1.2873309227266638</v>
      </c>
      <c r="V22" s="5">
        <v>3.3051378446115285</v>
      </c>
      <c r="W22" s="5">
        <v>2.7826086956521738</v>
      </c>
      <c r="X22" s="5">
        <v>2.4164152840623427</v>
      </c>
    </row>
    <row r="23" spans="1:24" s="2" customFormat="1" x14ac:dyDescent="0.2">
      <c r="A23" s="2">
        <v>12</v>
      </c>
      <c r="B23" s="2" t="s">
        <v>53</v>
      </c>
      <c r="C23" s="2" t="s">
        <v>73</v>
      </c>
      <c r="D23" s="2">
        <v>1</v>
      </c>
      <c r="E23" s="2">
        <v>1</v>
      </c>
      <c r="F23" s="2">
        <v>0</v>
      </c>
      <c r="G23" s="4">
        <v>4.2176018916976643</v>
      </c>
      <c r="H23" s="5">
        <v>2.5920542635658919</v>
      </c>
      <c r="I23" s="5">
        <v>3.1014328808446452</v>
      </c>
      <c r="J23" s="5">
        <v>7.5018054874674469</v>
      </c>
      <c r="K23" s="5">
        <v>4.9174864392755344</v>
      </c>
      <c r="L23" s="5">
        <v>5.832075064710958</v>
      </c>
      <c r="M23" s="5">
        <v>4.1553351231361058</v>
      </c>
      <c r="N23" s="5">
        <v>6.2409090909090903</v>
      </c>
      <c r="O23" s="5">
        <v>8.6784957627118651</v>
      </c>
      <c r="P23" s="4">
        <v>0</v>
      </c>
      <c r="Q23" s="5">
        <v>0.33783783783783783</v>
      </c>
      <c r="R23" s="5">
        <v>0</v>
      </c>
      <c r="S23" s="5">
        <v>4.8578580954605304</v>
      </c>
      <c r="T23" s="5">
        <v>3.7725301531372812</v>
      </c>
      <c r="U23" s="5">
        <v>5.4484537158301718</v>
      </c>
      <c r="V23" s="5">
        <v>5.0625361480624633</v>
      </c>
      <c r="W23" s="5">
        <v>5.5507246376811583</v>
      </c>
      <c r="X23" s="5">
        <v>9.1864120702605234</v>
      </c>
    </row>
    <row r="24" spans="1:24" s="2" customFormat="1" x14ac:dyDescent="0.2">
      <c r="A24" s="2">
        <v>12</v>
      </c>
      <c r="B24" s="2" t="s">
        <v>54</v>
      </c>
      <c r="C24" s="2" t="s">
        <v>73</v>
      </c>
      <c r="D24" s="2">
        <v>1</v>
      </c>
      <c r="E24" s="2">
        <v>1</v>
      </c>
      <c r="F24" s="2">
        <v>0</v>
      </c>
      <c r="G24" s="4">
        <v>1.7543859649122806</v>
      </c>
      <c r="H24" s="5">
        <v>2.9166666666666665</v>
      </c>
      <c r="I24" s="5"/>
      <c r="J24" s="5">
        <v>1.3698630136986298</v>
      </c>
      <c r="K24" s="5">
        <v>3.6912751677852338</v>
      </c>
      <c r="L24" s="5"/>
      <c r="M24" s="5"/>
      <c r="N24" s="5">
        <v>8.0303030303030294</v>
      </c>
      <c r="O24" s="5"/>
      <c r="P24" s="4">
        <v>0</v>
      </c>
      <c r="Q24" s="5">
        <v>0</v>
      </c>
      <c r="R24" s="5"/>
      <c r="S24" s="5">
        <v>0.88028169014084512</v>
      </c>
      <c r="T24" s="5">
        <v>3.5031847133757954</v>
      </c>
      <c r="U24" s="5"/>
      <c r="V24" s="5"/>
      <c r="W24" s="5">
        <v>4.6739130434782599</v>
      </c>
      <c r="X24" s="5"/>
    </row>
    <row r="25" spans="1:24" s="2" customFormat="1" x14ac:dyDescent="0.2">
      <c r="A25" s="2">
        <v>12</v>
      </c>
      <c r="B25" s="2" t="s">
        <v>77</v>
      </c>
      <c r="C25" s="2" t="s">
        <v>73</v>
      </c>
      <c r="D25" s="2">
        <v>1</v>
      </c>
      <c r="E25" s="2">
        <v>1</v>
      </c>
      <c r="F25" s="2">
        <v>0</v>
      </c>
      <c r="G25" s="4"/>
      <c r="H25" s="5">
        <v>3.2945736434108532</v>
      </c>
      <c r="I25" s="5"/>
      <c r="J25" s="5">
        <v>2.1897810218978102</v>
      </c>
      <c r="K25" s="5">
        <v>5.993150684931507</v>
      </c>
      <c r="L25" s="5">
        <v>0.20491803278688525</v>
      </c>
      <c r="M25" s="5">
        <v>0.77519379844961245</v>
      </c>
      <c r="N25" s="5">
        <v>0.18939393939393942</v>
      </c>
      <c r="O25" s="5">
        <v>0.46875</v>
      </c>
      <c r="P25" s="4"/>
      <c r="Q25" s="5">
        <v>0</v>
      </c>
      <c r="R25" s="5"/>
      <c r="S25" s="5">
        <v>1.4583333333333333</v>
      </c>
      <c r="T25" s="5">
        <v>5.5851063829787231</v>
      </c>
      <c r="U25" s="5">
        <v>0.21929824561403508</v>
      </c>
      <c r="V25" s="5">
        <v>0</v>
      </c>
      <c r="W25" s="5">
        <v>0.18115942028985507</v>
      </c>
      <c r="X25" s="5">
        <v>0</v>
      </c>
    </row>
    <row r="26" spans="1:24" s="2" customFormat="1" x14ac:dyDescent="0.2">
      <c r="A26" s="2">
        <v>13</v>
      </c>
      <c r="B26" s="2" t="s">
        <v>43</v>
      </c>
      <c r="C26" s="2" t="s">
        <v>69</v>
      </c>
      <c r="D26" s="2">
        <v>0</v>
      </c>
      <c r="E26" s="2">
        <v>0</v>
      </c>
      <c r="F26" s="2">
        <v>1</v>
      </c>
      <c r="G26" s="4"/>
      <c r="H26" s="5">
        <v>0.40213178294573648</v>
      </c>
      <c r="I26" s="5">
        <v>1.1657007376185458</v>
      </c>
      <c r="J26" s="5">
        <v>0.32051282051282048</v>
      </c>
      <c r="K26" s="5">
        <v>0.16778523489932881</v>
      </c>
      <c r="L26" s="5"/>
      <c r="M26" s="5">
        <v>0.62483293237102377</v>
      </c>
      <c r="N26" s="5"/>
      <c r="O26" s="5">
        <v>0.35714285714285715</v>
      </c>
      <c r="P26" s="4"/>
      <c r="Q26" s="5">
        <v>0.33783783783783783</v>
      </c>
      <c r="R26" s="5">
        <v>1.5818310357016614</v>
      </c>
      <c r="S26" s="5">
        <v>0</v>
      </c>
      <c r="T26" s="5">
        <v>0.57590233545647562</v>
      </c>
      <c r="U26" s="5"/>
      <c r="V26" s="5">
        <v>0.70006747638326583</v>
      </c>
      <c r="W26" s="5"/>
      <c r="X26" s="5">
        <v>0.35714285714285715</v>
      </c>
    </row>
    <row r="27" spans="1:24" s="2" customFormat="1" x14ac:dyDescent="0.2">
      <c r="A27" s="2">
        <v>13</v>
      </c>
      <c r="B27" s="2" t="s">
        <v>44</v>
      </c>
      <c r="C27" s="2" t="s">
        <v>69</v>
      </c>
      <c r="D27" s="2">
        <v>0</v>
      </c>
      <c r="E27" s="2">
        <v>0</v>
      </c>
      <c r="F27" s="2">
        <v>1</v>
      </c>
      <c r="G27" s="4">
        <v>1.4527930209652455</v>
      </c>
      <c r="H27" s="5">
        <v>0.96899224806201567</v>
      </c>
      <c r="I27" s="5">
        <v>0.7978723404255319</v>
      </c>
      <c r="J27" s="5">
        <v>2.7638582295616594</v>
      </c>
      <c r="K27" s="5">
        <v>2.9883628828650433</v>
      </c>
      <c r="L27" s="5">
        <v>2.9156572863432224</v>
      </c>
      <c r="M27" s="5">
        <v>1.6022491538377555</v>
      </c>
      <c r="N27" s="5">
        <v>0.94696969696969702</v>
      </c>
      <c r="O27" s="5">
        <v>1.7700766747376917</v>
      </c>
      <c r="P27" s="4">
        <v>0</v>
      </c>
      <c r="Q27" s="5">
        <v>0.33783783783783783</v>
      </c>
      <c r="R27" s="5">
        <v>0</v>
      </c>
      <c r="S27" s="5">
        <v>2.2870441829056531</v>
      </c>
      <c r="T27" s="5">
        <v>2.0649252382888377</v>
      </c>
      <c r="U27" s="5">
        <v>2.437895690811259</v>
      </c>
      <c r="V27" s="5">
        <v>0.21929824561403508</v>
      </c>
      <c r="W27" s="5">
        <v>0.54347826086956519</v>
      </c>
      <c r="X27" s="5">
        <v>1.3313691404419221</v>
      </c>
    </row>
    <row r="28" spans="1:24" s="2" customFormat="1" x14ac:dyDescent="0.2">
      <c r="A28" s="2">
        <v>13</v>
      </c>
      <c r="B28" s="2" t="s">
        <v>66</v>
      </c>
      <c r="C28" s="2" t="s">
        <v>69</v>
      </c>
      <c r="D28" s="2">
        <v>0</v>
      </c>
      <c r="E28" s="2">
        <v>0</v>
      </c>
      <c r="F28" s="2">
        <v>1</v>
      </c>
      <c r="G28" s="4"/>
      <c r="H28" s="5">
        <v>1.2195121951219512</v>
      </c>
      <c r="I28" s="5">
        <v>2.054794520547945</v>
      </c>
      <c r="J28" s="5">
        <v>1.7543859649122806</v>
      </c>
      <c r="K28" s="5">
        <v>0.41666666666666669</v>
      </c>
      <c r="L28" s="5">
        <v>1.3157894736842104</v>
      </c>
      <c r="M28" s="5"/>
      <c r="N28" s="5"/>
      <c r="O28" s="5">
        <v>2.1428571428571428</v>
      </c>
      <c r="P28" s="4"/>
      <c r="Q28" s="5">
        <v>0</v>
      </c>
      <c r="R28" s="5">
        <v>0</v>
      </c>
      <c r="S28" s="5">
        <v>1.7543859649122806</v>
      </c>
      <c r="T28" s="5">
        <v>0</v>
      </c>
      <c r="U28" s="5">
        <v>1.2987012987012987</v>
      </c>
      <c r="V28" s="5"/>
      <c r="W28" s="5"/>
      <c r="X28" s="5">
        <v>2.1428571428571428</v>
      </c>
    </row>
    <row r="29" spans="1:24" s="2" customFormat="1" x14ac:dyDescent="0.2">
      <c r="A29" s="2">
        <v>14</v>
      </c>
      <c r="B29" s="2" t="s">
        <v>41</v>
      </c>
      <c r="C29" s="2" t="s">
        <v>41</v>
      </c>
      <c r="D29" s="2">
        <v>0</v>
      </c>
      <c r="E29" s="2">
        <v>1</v>
      </c>
      <c r="F29" s="2">
        <v>0</v>
      </c>
      <c r="G29" s="4">
        <v>4.9805722359590252</v>
      </c>
      <c r="H29" s="5">
        <v>0</v>
      </c>
      <c r="I29" s="5">
        <v>5.1800527903469078</v>
      </c>
      <c r="J29" s="5">
        <v>0.51369863013698613</v>
      </c>
      <c r="K29" s="5">
        <v>0.33557046979865762</v>
      </c>
      <c r="L29" s="5">
        <v>1.1081751509922348</v>
      </c>
      <c r="M29" s="5">
        <v>5.2337618566132216</v>
      </c>
      <c r="N29" s="5">
        <v>1.893939393939394</v>
      </c>
      <c r="O29" s="5">
        <v>5.3869047619047619</v>
      </c>
      <c r="P29" s="4">
        <v>1.2931034482758623</v>
      </c>
      <c r="Q29" s="5">
        <v>2.041301865245527</v>
      </c>
      <c r="R29" s="5">
        <v>0</v>
      </c>
      <c r="S29" s="5">
        <v>2.61150234741784</v>
      </c>
      <c r="T29" s="5">
        <v>0.31847133757961776</v>
      </c>
      <c r="U29" s="5">
        <v>4.0930092406588985</v>
      </c>
      <c r="V29" s="5">
        <v>6.2343358395989963</v>
      </c>
      <c r="W29" s="5">
        <v>5.6449275362318829</v>
      </c>
      <c r="X29" s="5">
        <v>5.8477878330819504</v>
      </c>
    </row>
    <row r="33" spans="1:15" x14ac:dyDescent="0.2">
      <c r="B33" t="s">
        <v>0</v>
      </c>
      <c r="C33" t="s">
        <v>1</v>
      </c>
      <c r="D33" t="s">
        <v>2</v>
      </c>
      <c r="E33" t="s">
        <v>3</v>
      </c>
      <c r="F33" t="s">
        <v>4</v>
      </c>
      <c r="G33" s="6" t="s">
        <v>78</v>
      </c>
      <c r="H33" s="6" t="s">
        <v>79</v>
      </c>
      <c r="I33" s="6" t="s">
        <v>80</v>
      </c>
      <c r="J33" s="1" t="s">
        <v>81</v>
      </c>
      <c r="K33" s="1" t="s">
        <v>82</v>
      </c>
      <c r="L33" s="1" t="s">
        <v>83</v>
      </c>
      <c r="M33" s="7" t="s">
        <v>84</v>
      </c>
      <c r="N33" s="7" t="s">
        <v>85</v>
      </c>
      <c r="O33" s="7" t="s">
        <v>86</v>
      </c>
    </row>
    <row r="34" spans="1:15" x14ac:dyDescent="0.2">
      <c r="A34" s="2">
        <v>1</v>
      </c>
      <c r="B34" s="2" t="s">
        <v>46</v>
      </c>
      <c r="C34" s="2" t="s">
        <v>71</v>
      </c>
      <c r="D34" s="2">
        <v>1</v>
      </c>
      <c r="E34" s="2">
        <v>0</v>
      </c>
      <c r="F34" s="2">
        <v>1</v>
      </c>
      <c r="G34" s="4">
        <f>((P2-G2)/G2)*100</f>
        <v>-78.755353604343398</v>
      </c>
      <c r="H34" s="4">
        <f t="shared" ref="H34:O34" si="0">((Q2-H2)/H2)*100</f>
        <v>-100</v>
      </c>
      <c r="I34" s="4">
        <f t="shared" si="0"/>
        <v>-57.294685990338159</v>
      </c>
      <c r="J34" s="4">
        <f t="shared" si="0"/>
        <v>4.5261813497428864</v>
      </c>
      <c r="K34" s="4">
        <f t="shared" si="0"/>
        <v>-48.226950354609919</v>
      </c>
      <c r="L34" s="4">
        <f t="shared" si="0"/>
        <v>7.7705242925362139</v>
      </c>
      <c r="M34" s="4">
        <f t="shared" si="0"/>
        <v>10.937499999999991</v>
      </c>
      <c r="N34" s="4">
        <f t="shared" si="0"/>
        <v>-4.3478260869565348</v>
      </c>
      <c r="O34" s="4">
        <f t="shared" si="0"/>
        <v>0</v>
      </c>
    </row>
    <row r="35" spans="1:15" x14ac:dyDescent="0.2">
      <c r="A35" s="2">
        <v>1</v>
      </c>
      <c r="B35" s="2" t="s">
        <v>47</v>
      </c>
      <c r="C35" s="2" t="s">
        <v>71</v>
      </c>
      <c r="D35" s="2">
        <v>1</v>
      </c>
      <c r="E35" s="2">
        <v>0</v>
      </c>
      <c r="F35" s="2">
        <v>1</v>
      </c>
      <c r="G35" s="4">
        <f t="shared" ref="G35:G61" si="1">((P3-G3)/G3)*100</f>
        <v>-58.609318142436329</v>
      </c>
      <c r="H35" s="4">
        <f t="shared" ref="H35:H61" si="2">((Q3-H3)/H3)*100</f>
        <v>-38.752370739630727</v>
      </c>
      <c r="I35" s="4">
        <f t="shared" ref="I35:I61" si="3">((R3-I3)/I3)*100</f>
        <v>-50.265969303152815</v>
      </c>
      <c r="J35" s="4">
        <f t="shared" ref="J35:J61" si="4">((S3-J3)/J3)*100</f>
        <v>-14.339475484940751</v>
      </c>
      <c r="K35" s="4">
        <f t="shared" ref="K35:K61" si="5">((T3-K3)/K3)*100</f>
        <v>-25.277348315697306</v>
      </c>
      <c r="L35" s="4">
        <f t="shared" ref="L35:L61" si="6">((U3-L3)/L3)*100</f>
        <v>-1.1501106309560787</v>
      </c>
      <c r="M35" s="4">
        <f t="shared" ref="M35:M61" si="7">((V3-M3)/M3)*100</f>
        <v>0.67324615612877914</v>
      </c>
      <c r="N35" s="4">
        <f t="shared" ref="N35:N61" si="8">((W3-N3)/N3)*100</f>
        <v>-1.1332441679464682</v>
      </c>
      <c r="O35" s="4">
        <f t="shared" ref="O35:O61" si="9">((X3-O3)/O3)*100</f>
        <v>-2.3066931610617862</v>
      </c>
    </row>
    <row r="36" spans="1:15" x14ac:dyDescent="0.2">
      <c r="A36" s="2">
        <v>1</v>
      </c>
      <c r="B36" s="2" t="s">
        <v>62</v>
      </c>
      <c r="C36" s="2" t="s">
        <v>71</v>
      </c>
      <c r="D36" s="2">
        <v>1</v>
      </c>
      <c r="E36" s="2">
        <v>0</v>
      </c>
      <c r="F36" s="2">
        <v>1</v>
      </c>
      <c r="G36" s="4">
        <f t="shared" si="1"/>
        <v>-100</v>
      </c>
      <c r="H36" s="4" t="e">
        <f t="shared" si="2"/>
        <v>#DIV/0!</v>
      </c>
      <c r="I36" s="4">
        <f t="shared" si="3"/>
        <v>-0.80695220360024678</v>
      </c>
      <c r="J36" s="4">
        <f t="shared" si="4"/>
        <v>3.5311020003500477</v>
      </c>
      <c r="K36" s="4">
        <f t="shared" si="5"/>
        <v>10.867924528301877</v>
      </c>
      <c r="L36" s="4">
        <f t="shared" si="6"/>
        <v>6.8493150684931541</v>
      </c>
      <c r="M36" s="4"/>
      <c r="N36" s="4">
        <f t="shared" si="8"/>
        <v>0</v>
      </c>
      <c r="O36" s="4">
        <f t="shared" si="9"/>
        <v>0</v>
      </c>
    </row>
    <row r="37" spans="1:15" x14ac:dyDescent="0.2">
      <c r="A37" s="2">
        <v>2</v>
      </c>
      <c r="B37" s="2" t="s">
        <v>58</v>
      </c>
      <c r="C37" s="2" t="s">
        <v>75</v>
      </c>
      <c r="D37" s="2">
        <v>0</v>
      </c>
      <c r="E37" s="2">
        <v>1</v>
      </c>
      <c r="F37" s="2">
        <v>0</v>
      </c>
      <c r="G37" s="4">
        <f t="shared" si="1"/>
        <v>-100</v>
      </c>
      <c r="H37" s="4" t="e">
        <f t="shared" si="2"/>
        <v>#DIV/0!</v>
      </c>
      <c r="I37" s="4">
        <f t="shared" si="3"/>
        <v>-100</v>
      </c>
      <c r="J37" s="4">
        <f t="shared" si="4"/>
        <v>14.166666666666671</v>
      </c>
      <c r="K37" s="4">
        <f t="shared" si="5"/>
        <v>55.319148936170251</v>
      </c>
      <c r="L37" s="4">
        <f t="shared" si="6"/>
        <v>402.7989821882951</v>
      </c>
      <c r="M37" s="4"/>
      <c r="N37" s="4">
        <f t="shared" si="8"/>
        <v>-8.360445627526385</v>
      </c>
      <c r="O37" s="4">
        <f t="shared" si="9"/>
        <v>58.628554611337947</v>
      </c>
    </row>
    <row r="38" spans="1:15" x14ac:dyDescent="0.2">
      <c r="A38" s="2">
        <v>2</v>
      </c>
      <c r="B38" s="2" t="s">
        <v>59</v>
      </c>
      <c r="C38" s="2" t="s">
        <v>75</v>
      </c>
      <c r="D38" s="2">
        <v>0</v>
      </c>
      <c r="E38" s="2">
        <v>1</v>
      </c>
      <c r="F38" s="2">
        <v>0</v>
      </c>
      <c r="G38" s="4">
        <f t="shared" si="1"/>
        <v>-71.534100738092505</v>
      </c>
      <c r="H38" s="4" t="e">
        <f t="shared" si="2"/>
        <v>#DIV/0!</v>
      </c>
      <c r="I38" s="4">
        <f t="shared" si="3"/>
        <v>-60.512209648600354</v>
      </c>
      <c r="J38" s="4" t="e">
        <f t="shared" si="4"/>
        <v>#DIV/0!</v>
      </c>
      <c r="K38" s="4" t="e">
        <f t="shared" si="5"/>
        <v>#DIV/0!</v>
      </c>
      <c r="L38" s="4">
        <f t="shared" si="6"/>
        <v>34.352797329896575</v>
      </c>
      <c r="M38" s="4">
        <f t="shared" si="7"/>
        <v>7.1296855555933707</v>
      </c>
      <c r="N38" s="4">
        <f t="shared" si="8"/>
        <v>39.610668038761666</v>
      </c>
      <c r="O38" s="4">
        <f t="shared" si="9"/>
        <v>-5.999124215443012</v>
      </c>
    </row>
    <row r="39" spans="1:15" x14ac:dyDescent="0.2">
      <c r="A39" s="2">
        <v>2</v>
      </c>
      <c r="B39" s="2" t="s">
        <v>67</v>
      </c>
      <c r="C39" s="2" t="s">
        <v>75</v>
      </c>
      <c r="D39" s="2">
        <v>0</v>
      </c>
      <c r="E39" s="2">
        <v>1</v>
      </c>
      <c r="F39" s="2">
        <v>0</v>
      </c>
      <c r="G39" s="4" t="e">
        <f t="shared" si="1"/>
        <v>#DIV/0!</v>
      </c>
      <c r="H39" s="4" t="e">
        <f t="shared" si="2"/>
        <v>#DIV/0!</v>
      </c>
      <c r="I39" s="4" t="e">
        <f t="shared" si="3"/>
        <v>#DIV/0!</v>
      </c>
      <c r="J39" s="4" t="e">
        <f t="shared" si="4"/>
        <v>#DIV/0!</v>
      </c>
      <c r="K39" s="4" t="e">
        <f t="shared" si="5"/>
        <v>#DIV/0!</v>
      </c>
      <c r="L39" s="4" t="e">
        <f t="shared" si="6"/>
        <v>#DIV/0!</v>
      </c>
      <c r="M39" s="4"/>
      <c r="N39" s="4">
        <f t="shared" si="8"/>
        <v>0.40725320228424938</v>
      </c>
      <c r="O39" s="4"/>
    </row>
    <row r="40" spans="1:15" x14ac:dyDescent="0.2">
      <c r="A40" s="2">
        <v>3</v>
      </c>
      <c r="B40" s="2" t="s">
        <v>60</v>
      </c>
      <c r="C40" s="2" t="s">
        <v>75</v>
      </c>
      <c r="D40" s="2">
        <v>1</v>
      </c>
      <c r="E40" s="2">
        <v>1</v>
      </c>
      <c r="F40" s="2">
        <v>0</v>
      </c>
      <c r="G40" s="4">
        <f t="shared" si="1"/>
        <v>-100</v>
      </c>
      <c r="H40" s="4">
        <f t="shared" si="2"/>
        <v>-100</v>
      </c>
      <c r="I40" s="4">
        <f t="shared" si="3"/>
        <v>-100</v>
      </c>
      <c r="J40" s="4">
        <f t="shared" si="4"/>
        <v>-17.746478873239408</v>
      </c>
      <c r="K40" s="4">
        <f t="shared" si="5"/>
        <v>-5.0955414012738798</v>
      </c>
      <c r="L40" s="4">
        <f t="shared" si="6"/>
        <v>-64.33596049954032</v>
      </c>
      <c r="M40" s="4">
        <f t="shared" si="7"/>
        <v>-43.937472377548467</v>
      </c>
      <c r="N40" s="4">
        <f t="shared" si="8"/>
        <v>-16.666666666666657</v>
      </c>
      <c r="O40" s="4">
        <f t="shared" si="9"/>
        <v>-31.3470464365605</v>
      </c>
    </row>
    <row r="41" spans="1:15" x14ac:dyDescent="0.2">
      <c r="A41" s="2">
        <v>4</v>
      </c>
      <c r="B41" s="2" t="s">
        <v>42</v>
      </c>
      <c r="C41" s="2" t="s">
        <v>68</v>
      </c>
      <c r="D41" s="2">
        <v>1</v>
      </c>
      <c r="E41" s="2">
        <v>0</v>
      </c>
      <c r="F41" s="2">
        <v>1</v>
      </c>
      <c r="G41" s="4">
        <f t="shared" si="1"/>
        <v>-93.458723164690198</v>
      </c>
      <c r="H41" s="4">
        <f t="shared" si="2"/>
        <v>-41.395115624792474</v>
      </c>
      <c r="I41" s="4">
        <f t="shared" si="3"/>
        <v>-85.832425973620204</v>
      </c>
      <c r="J41" s="4">
        <f t="shared" si="4"/>
        <v>5.7249140115667281</v>
      </c>
      <c r="K41" s="4">
        <f t="shared" si="5"/>
        <v>11.312140049382444</v>
      </c>
      <c r="L41" s="4">
        <f t="shared" si="6"/>
        <v>7.1196939686689653</v>
      </c>
      <c r="M41" s="4">
        <f t="shared" si="7"/>
        <v>4.84511429633024</v>
      </c>
      <c r="N41" s="4">
        <f t="shared" si="8"/>
        <v>-1.6212532150588428</v>
      </c>
      <c r="O41" s="4">
        <f t="shared" si="9"/>
        <v>5.2942785319255847</v>
      </c>
    </row>
    <row r="42" spans="1:15" x14ac:dyDescent="0.2">
      <c r="A42" s="2">
        <v>5</v>
      </c>
      <c r="B42" s="2" t="s">
        <v>63</v>
      </c>
      <c r="C42" s="2" t="s">
        <v>76</v>
      </c>
      <c r="D42" s="2">
        <v>1</v>
      </c>
      <c r="E42" s="2">
        <v>0</v>
      </c>
      <c r="F42" s="2">
        <v>1</v>
      </c>
      <c r="G42" s="4" t="e">
        <f t="shared" si="1"/>
        <v>#DIV/0!</v>
      </c>
      <c r="H42" s="4">
        <f t="shared" si="2"/>
        <v>-100</v>
      </c>
      <c r="I42" s="4" t="e">
        <f t="shared" si="3"/>
        <v>#DIV/0!</v>
      </c>
      <c r="J42" s="4" t="e">
        <f t="shared" si="4"/>
        <v>#DIV/0!</v>
      </c>
      <c r="K42" s="4" t="e">
        <f t="shared" si="5"/>
        <v>#DIV/0!</v>
      </c>
      <c r="L42" s="4" t="e">
        <f t="shared" si="6"/>
        <v>#DIV/0!</v>
      </c>
      <c r="M42" s="4"/>
      <c r="N42" s="4"/>
      <c r="O42" s="4"/>
    </row>
    <row r="43" spans="1:15" x14ac:dyDescent="0.2">
      <c r="A43" s="2">
        <v>5</v>
      </c>
      <c r="B43" s="2" t="s">
        <v>65</v>
      </c>
      <c r="C43" s="2" t="s">
        <v>76</v>
      </c>
      <c r="D43" s="2">
        <v>1</v>
      </c>
      <c r="E43" s="2">
        <v>0</v>
      </c>
      <c r="F43" s="2">
        <v>1</v>
      </c>
      <c r="G43" s="4" t="e">
        <f t="shared" si="1"/>
        <v>#DIV/0!</v>
      </c>
      <c r="H43" s="4">
        <f t="shared" si="2"/>
        <v>-100</v>
      </c>
      <c r="I43" s="4">
        <f t="shared" si="3"/>
        <v>-100</v>
      </c>
      <c r="J43" s="4" t="e">
        <f t="shared" si="4"/>
        <v>#DIV/0!</v>
      </c>
      <c r="K43" s="4" t="e">
        <f t="shared" si="5"/>
        <v>#DIV/0!</v>
      </c>
      <c r="L43" s="4" t="e">
        <f t="shared" si="6"/>
        <v>#DIV/0!</v>
      </c>
      <c r="M43" s="4"/>
      <c r="N43" s="4"/>
      <c r="O43" s="4"/>
    </row>
    <row r="44" spans="1:15" x14ac:dyDescent="0.2">
      <c r="A44" s="2">
        <v>6</v>
      </c>
      <c r="B44" s="2" t="s">
        <v>55</v>
      </c>
      <c r="C44" s="2" t="s">
        <v>72</v>
      </c>
      <c r="D44" s="2">
        <v>0</v>
      </c>
      <c r="E44" s="2">
        <v>1</v>
      </c>
      <c r="F44" s="2">
        <v>0</v>
      </c>
      <c r="G44" s="4">
        <f t="shared" si="1"/>
        <v>0.9149239543726343</v>
      </c>
      <c r="H44" s="4">
        <f t="shared" si="2"/>
        <v>-54.929999251328901</v>
      </c>
      <c r="I44" s="4">
        <f t="shared" si="3"/>
        <v>-100</v>
      </c>
      <c r="J44" s="4">
        <f t="shared" si="4"/>
        <v>-15.698638736707734</v>
      </c>
      <c r="K44" s="4">
        <f t="shared" si="5"/>
        <v>-29.502053418337571</v>
      </c>
      <c r="L44" s="4">
        <f t="shared" si="6"/>
        <v>3.7498325967590458</v>
      </c>
      <c r="M44" s="4">
        <f t="shared" si="7"/>
        <v>0.96867774029996001</v>
      </c>
      <c r="N44" s="4">
        <f t="shared" si="8"/>
        <v>-5.7842986633891584</v>
      </c>
      <c r="O44" s="4">
        <f t="shared" si="9"/>
        <v>-6.7370537958773307</v>
      </c>
    </row>
    <row r="45" spans="1:15" x14ac:dyDescent="0.2">
      <c r="A45" s="2">
        <v>6</v>
      </c>
      <c r="B45" s="2" t="s">
        <v>56</v>
      </c>
      <c r="C45" s="2" t="s">
        <v>72</v>
      </c>
      <c r="D45" s="2">
        <v>0</v>
      </c>
      <c r="E45" s="2">
        <v>1</v>
      </c>
      <c r="F45" s="2">
        <v>0</v>
      </c>
      <c r="G45" s="4" t="e">
        <f t="shared" si="1"/>
        <v>#DIV/0!</v>
      </c>
      <c r="H45" s="4">
        <f t="shared" si="2"/>
        <v>-12.837837837837856</v>
      </c>
      <c r="I45" s="4">
        <f t="shared" si="3"/>
        <v>-100</v>
      </c>
      <c r="J45" s="4" t="e">
        <f t="shared" si="4"/>
        <v>#DIV/0!</v>
      </c>
      <c r="K45" s="4" t="e">
        <f t="shared" si="5"/>
        <v>#DIV/0!</v>
      </c>
      <c r="L45" s="4">
        <f t="shared" si="6"/>
        <v>7.0175438596491144</v>
      </c>
      <c r="M45" s="4">
        <f t="shared" si="7"/>
        <v>2.490265042080146</v>
      </c>
      <c r="N45" s="4">
        <f t="shared" si="8"/>
        <v>-16.66666666666665</v>
      </c>
      <c r="O45" s="4">
        <f t="shared" si="9"/>
        <v>19.514472455648928</v>
      </c>
    </row>
    <row r="46" spans="1:15" x14ac:dyDescent="0.2">
      <c r="A46" s="2">
        <v>6</v>
      </c>
      <c r="B46" s="2" t="s">
        <v>57</v>
      </c>
      <c r="C46" s="2" t="s">
        <v>72</v>
      </c>
      <c r="D46" s="2">
        <v>0</v>
      </c>
      <c r="E46" s="2">
        <v>1</v>
      </c>
      <c r="F46" s="2">
        <v>0</v>
      </c>
      <c r="G46" s="4">
        <f t="shared" si="1"/>
        <v>-55.684971648400072</v>
      </c>
      <c r="H46" s="4">
        <f t="shared" si="2"/>
        <v>15.603483040341715</v>
      </c>
      <c r="I46" s="4">
        <f t="shared" si="3"/>
        <v>-13.369804795733428</v>
      </c>
      <c r="J46" s="4">
        <f t="shared" si="4"/>
        <v>60.624954857349245</v>
      </c>
      <c r="K46" s="4">
        <f t="shared" si="5"/>
        <v>11.819917578972737</v>
      </c>
      <c r="L46" s="4">
        <f t="shared" si="6"/>
        <v>-2.0641344001962327</v>
      </c>
      <c r="M46" s="4">
        <f t="shared" si="7"/>
        <v>-9.5841455490578173</v>
      </c>
      <c r="N46" s="4">
        <f t="shared" si="8"/>
        <v>187.06244884202414</v>
      </c>
      <c r="O46" s="4">
        <f t="shared" si="9"/>
        <v>-18.04812049797917</v>
      </c>
    </row>
    <row r="47" spans="1:15" x14ac:dyDescent="0.2">
      <c r="A47" s="2">
        <v>7</v>
      </c>
      <c r="B47" s="2" t="s">
        <v>61</v>
      </c>
      <c r="C47" s="2" t="s">
        <v>72</v>
      </c>
      <c r="D47" s="2">
        <v>1</v>
      </c>
      <c r="E47" s="2">
        <v>1</v>
      </c>
      <c r="F47" s="2">
        <v>0</v>
      </c>
      <c r="G47" s="4">
        <f t="shared" si="1"/>
        <v>-100</v>
      </c>
      <c r="H47" s="4" t="e">
        <f t="shared" si="2"/>
        <v>#DIV/0!</v>
      </c>
      <c r="I47" s="4">
        <f t="shared" si="3"/>
        <v>-100</v>
      </c>
      <c r="J47" s="4">
        <f t="shared" si="4"/>
        <v>-100</v>
      </c>
      <c r="K47" s="4" t="e">
        <f t="shared" si="5"/>
        <v>#DIV/0!</v>
      </c>
      <c r="L47" s="4">
        <f t="shared" si="6"/>
        <v>-28.811086797957692</v>
      </c>
      <c r="M47" s="4">
        <f t="shared" si="7"/>
        <v>11.872749008807219</v>
      </c>
      <c r="N47" s="4">
        <f t="shared" si="8"/>
        <v>83.652173913043441</v>
      </c>
      <c r="O47" s="4">
        <f t="shared" si="9"/>
        <v>9.5488272748438323</v>
      </c>
    </row>
    <row r="48" spans="1:15" x14ac:dyDescent="0.2">
      <c r="A48" s="2">
        <v>8</v>
      </c>
      <c r="B48" s="2" t="s">
        <v>51</v>
      </c>
      <c r="C48" s="2" t="s">
        <v>74</v>
      </c>
      <c r="D48" s="2">
        <v>1</v>
      </c>
      <c r="E48" s="2">
        <v>0</v>
      </c>
      <c r="F48" s="2">
        <v>1</v>
      </c>
      <c r="G48" s="4">
        <f t="shared" si="1"/>
        <v>-24.621144690446698</v>
      </c>
      <c r="H48" s="4">
        <f t="shared" si="2"/>
        <v>-82.93035260251979</v>
      </c>
      <c r="I48" s="4">
        <f t="shared" si="3"/>
        <v>-59.703780060723247</v>
      </c>
      <c r="J48" s="4">
        <f t="shared" si="4"/>
        <v>7.6247322706392184</v>
      </c>
      <c r="K48" s="4">
        <f t="shared" si="5"/>
        <v>19.327987316231187</v>
      </c>
      <c r="L48" s="4">
        <f t="shared" si="6"/>
        <v>3.4742060130654084</v>
      </c>
      <c r="M48" s="4">
        <f t="shared" si="7"/>
        <v>12.712041011190452</v>
      </c>
      <c r="N48" s="4">
        <f t="shared" si="8"/>
        <v>-1.9518374575275048</v>
      </c>
      <c r="O48" s="4">
        <f t="shared" si="9"/>
        <v>2.8915936144636376</v>
      </c>
    </row>
    <row r="49" spans="1:15" x14ac:dyDescent="0.2">
      <c r="A49" s="2">
        <v>9</v>
      </c>
      <c r="B49" s="2" t="s">
        <v>45</v>
      </c>
      <c r="C49" s="2" t="s">
        <v>70</v>
      </c>
      <c r="D49" s="2">
        <v>1</v>
      </c>
      <c r="E49" s="2">
        <v>0</v>
      </c>
      <c r="F49" s="2">
        <v>1</v>
      </c>
      <c r="G49" s="4">
        <f t="shared" si="1"/>
        <v>-100</v>
      </c>
      <c r="H49" s="4" t="e">
        <f t="shared" si="2"/>
        <v>#DIV/0!</v>
      </c>
      <c r="I49" s="4" t="e">
        <f t="shared" si="3"/>
        <v>#DIV/0!</v>
      </c>
      <c r="J49" s="4" t="e">
        <f t="shared" si="4"/>
        <v>#DIV/0!</v>
      </c>
      <c r="K49" s="4" t="e">
        <f t="shared" si="5"/>
        <v>#DIV/0!</v>
      </c>
      <c r="L49" s="4">
        <f t="shared" si="6"/>
        <v>36.620307434905371</v>
      </c>
      <c r="M49" s="4">
        <f t="shared" si="7"/>
        <v>10.937499999999991</v>
      </c>
      <c r="N49" s="4"/>
      <c r="O49" s="4">
        <f t="shared" si="9"/>
        <v>0</v>
      </c>
    </row>
    <row r="50" spans="1:15" x14ac:dyDescent="0.2">
      <c r="A50" s="2">
        <v>10</v>
      </c>
      <c r="B50" s="2" t="s">
        <v>48</v>
      </c>
      <c r="C50" s="2" t="s">
        <v>70</v>
      </c>
      <c r="D50" s="2">
        <v>0</v>
      </c>
      <c r="E50" s="2">
        <v>0</v>
      </c>
      <c r="F50" s="2">
        <v>1</v>
      </c>
      <c r="G50" s="4">
        <f t="shared" si="1"/>
        <v>56.977065487703769</v>
      </c>
      <c r="H50" s="4">
        <f t="shared" si="2"/>
        <v>64.728682170542626</v>
      </c>
      <c r="I50" s="4" t="e">
        <f t="shared" si="3"/>
        <v>#DIV/0!</v>
      </c>
      <c r="J50" s="4">
        <f t="shared" si="4"/>
        <v>2.0877591385246355</v>
      </c>
      <c r="K50" s="4">
        <f t="shared" si="5"/>
        <v>63.207547169811328</v>
      </c>
      <c r="L50" s="4">
        <f t="shared" si="6"/>
        <v>0.69887690744961461</v>
      </c>
      <c r="M50" s="4"/>
      <c r="N50" s="4">
        <f t="shared" si="8"/>
        <v>-16.257350397786226</v>
      </c>
      <c r="O50" s="4">
        <f t="shared" si="9"/>
        <v>0</v>
      </c>
    </row>
    <row r="51" spans="1:15" x14ac:dyDescent="0.2">
      <c r="A51" s="2">
        <v>10</v>
      </c>
      <c r="B51" s="2" t="s">
        <v>64</v>
      </c>
      <c r="C51" s="2" t="s">
        <v>70</v>
      </c>
      <c r="D51" s="2">
        <v>0</v>
      </c>
      <c r="E51" s="2">
        <v>0</v>
      </c>
      <c r="F51" s="2">
        <v>1</v>
      </c>
      <c r="G51" s="4">
        <f t="shared" si="1"/>
        <v>96.551724137931032</v>
      </c>
      <c r="H51" s="4">
        <f t="shared" si="2"/>
        <v>74.32432432432428</v>
      </c>
      <c r="I51" s="4">
        <f t="shared" si="3"/>
        <v>62.600434294839943</v>
      </c>
      <c r="J51" s="4">
        <f t="shared" si="4"/>
        <v>4.4799872682422297</v>
      </c>
      <c r="K51" s="4">
        <f t="shared" si="5"/>
        <v>-5.0955414012738798</v>
      </c>
      <c r="L51" s="4">
        <f t="shared" si="6"/>
        <v>16.03053435114504</v>
      </c>
      <c r="M51" s="4">
        <f t="shared" si="7"/>
        <v>-4.1666666666666607</v>
      </c>
      <c r="N51" s="4">
        <f t="shared" si="8"/>
        <v>-4.3478260869565348</v>
      </c>
      <c r="O51" s="4">
        <f t="shared" si="9"/>
        <v>4.575163398692812</v>
      </c>
    </row>
    <row r="52" spans="1:15" x14ac:dyDescent="0.2">
      <c r="A52" s="2">
        <v>11</v>
      </c>
      <c r="B52" s="2" t="s">
        <v>49</v>
      </c>
      <c r="C52" s="2" t="s">
        <v>73</v>
      </c>
      <c r="D52" s="2">
        <v>0</v>
      </c>
      <c r="E52" s="2">
        <v>1</v>
      </c>
      <c r="F52" s="2">
        <v>0</v>
      </c>
      <c r="G52" s="4">
        <f t="shared" si="1"/>
        <v>-69.423243087557594</v>
      </c>
      <c r="H52" s="4">
        <f t="shared" si="2"/>
        <v>-18.641111929049675</v>
      </c>
      <c r="I52" s="4">
        <f t="shared" si="3"/>
        <v>8.7999999999999918</v>
      </c>
      <c r="J52" s="4">
        <f t="shared" si="4"/>
        <v>-10.979752756431674</v>
      </c>
      <c r="K52" s="4" t="e">
        <f t="shared" si="5"/>
        <v>#DIV/0!</v>
      </c>
      <c r="L52" s="4">
        <f t="shared" si="6"/>
        <v>3.4316828209970118E-2</v>
      </c>
      <c r="M52" s="4">
        <f t="shared" si="7"/>
        <v>9.6031816002801591</v>
      </c>
      <c r="N52" s="4">
        <f t="shared" si="8"/>
        <v>-32.610223963041079</v>
      </c>
      <c r="O52" s="4">
        <f t="shared" si="9"/>
        <v>-1.5778137944646133</v>
      </c>
    </row>
    <row r="53" spans="1:15" x14ac:dyDescent="0.2">
      <c r="A53" s="2">
        <v>11</v>
      </c>
      <c r="B53" s="2" t="s">
        <v>50</v>
      </c>
      <c r="C53" s="2" t="s">
        <v>73</v>
      </c>
      <c r="D53" s="2">
        <v>0</v>
      </c>
      <c r="E53" s="2">
        <v>1</v>
      </c>
      <c r="F53" s="2">
        <v>0</v>
      </c>
      <c r="G53" s="4">
        <f t="shared" si="1"/>
        <v>74.954680290046156</v>
      </c>
      <c r="H53" s="4">
        <f t="shared" si="2"/>
        <v>-48.092012608141651</v>
      </c>
      <c r="I53" s="4">
        <f t="shared" si="3"/>
        <v>-77.333333333333329</v>
      </c>
      <c r="J53" s="4">
        <f t="shared" si="4"/>
        <v>22.184256010864313</v>
      </c>
      <c r="K53" s="4">
        <f t="shared" si="5"/>
        <v>5.899419729206957</v>
      </c>
      <c r="L53" s="4">
        <f t="shared" si="6"/>
        <v>80.244910941475837</v>
      </c>
      <c r="M53" s="4">
        <f t="shared" si="7"/>
        <v>8.4852386952098797</v>
      </c>
      <c r="N53" s="4">
        <f t="shared" si="8"/>
        <v>-6.9895349493552974</v>
      </c>
      <c r="O53" s="4">
        <f t="shared" si="9"/>
        <v>-20.979020979020991</v>
      </c>
    </row>
    <row r="54" spans="1:15" x14ac:dyDescent="0.2">
      <c r="A54" s="2">
        <v>12</v>
      </c>
      <c r="B54" s="2" t="s">
        <v>52</v>
      </c>
      <c r="C54" s="2" t="s">
        <v>73</v>
      </c>
      <c r="D54" s="2">
        <v>1</v>
      </c>
      <c r="E54" s="2">
        <v>1</v>
      </c>
      <c r="F54" s="2">
        <v>0</v>
      </c>
      <c r="G54" s="4">
        <f t="shared" si="1"/>
        <v>-100</v>
      </c>
      <c r="H54" s="4" t="e">
        <f t="shared" si="2"/>
        <v>#DIV/0!</v>
      </c>
      <c r="I54" s="4" t="e">
        <f t="shared" si="3"/>
        <v>#DIV/0!</v>
      </c>
      <c r="J54" s="4">
        <f t="shared" si="4"/>
        <v>-31.499999999999989</v>
      </c>
      <c r="K54" s="4">
        <f t="shared" si="5"/>
        <v>-32.501506915384127</v>
      </c>
      <c r="L54" s="4">
        <f t="shared" si="6"/>
        <v>-73.445756806403494</v>
      </c>
      <c r="M54" s="4">
        <f t="shared" si="7"/>
        <v>-6.3194706315430231</v>
      </c>
      <c r="N54" s="4">
        <f t="shared" si="8"/>
        <v>62.236902750038389</v>
      </c>
      <c r="O54" s="4">
        <f t="shared" si="9"/>
        <v>59.983356737920637</v>
      </c>
    </row>
    <row r="55" spans="1:15" x14ac:dyDescent="0.2">
      <c r="A55" s="2">
        <v>12</v>
      </c>
      <c r="B55" s="2" t="s">
        <v>53</v>
      </c>
      <c r="C55" s="2" t="s">
        <v>73</v>
      </c>
      <c r="D55" s="2">
        <v>1</v>
      </c>
      <c r="E55" s="2">
        <v>1</v>
      </c>
      <c r="F55" s="2">
        <v>0</v>
      </c>
      <c r="G55" s="4">
        <f t="shared" si="1"/>
        <v>-100</v>
      </c>
      <c r="H55" s="4">
        <f t="shared" si="2"/>
        <v>-86.966405657994443</v>
      </c>
      <c r="I55" s="4">
        <f t="shared" si="3"/>
        <v>-100</v>
      </c>
      <c r="J55" s="4">
        <f t="shared" si="4"/>
        <v>-35.244147511207906</v>
      </c>
      <c r="K55" s="4">
        <f t="shared" si="5"/>
        <v>-23.2833643829414</v>
      </c>
      <c r="L55" s="4">
        <f t="shared" si="6"/>
        <v>-6.5777848300002777</v>
      </c>
      <c r="M55" s="4">
        <f t="shared" si="7"/>
        <v>21.832198800891824</v>
      </c>
      <c r="N55" s="4">
        <f t="shared" si="8"/>
        <v>-11.059037123827025</v>
      </c>
      <c r="O55" s="4">
        <f t="shared" si="9"/>
        <v>5.8525846118514915</v>
      </c>
    </row>
    <row r="56" spans="1:15" x14ac:dyDescent="0.2">
      <c r="A56" s="2">
        <v>12</v>
      </c>
      <c r="B56" s="2" t="s">
        <v>54</v>
      </c>
      <c r="C56" s="2" t="s">
        <v>73</v>
      </c>
      <c r="D56" s="2">
        <v>1</v>
      </c>
      <c r="E56" s="2">
        <v>1</v>
      </c>
      <c r="F56" s="2">
        <v>0</v>
      </c>
      <c r="G56" s="4">
        <f t="shared" si="1"/>
        <v>-100</v>
      </c>
      <c r="H56" s="4">
        <f t="shared" si="2"/>
        <v>-100</v>
      </c>
      <c r="I56" s="4" t="e">
        <f t="shared" si="3"/>
        <v>#DIV/0!</v>
      </c>
      <c r="J56" s="4">
        <f t="shared" si="4"/>
        <v>-35.73943661971829</v>
      </c>
      <c r="K56" s="4">
        <f t="shared" si="5"/>
        <v>-5.095541401273878</v>
      </c>
      <c r="L56" s="4" t="e">
        <f t="shared" si="6"/>
        <v>#DIV/0!</v>
      </c>
      <c r="M56" s="4"/>
      <c r="N56" s="4">
        <f t="shared" si="8"/>
        <v>-41.796554552912227</v>
      </c>
      <c r="O56" s="4"/>
    </row>
    <row r="57" spans="1:15" x14ac:dyDescent="0.2">
      <c r="A57" s="2">
        <v>12</v>
      </c>
      <c r="B57" s="2" t="s">
        <v>77</v>
      </c>
      <c r="C57" s="2" t="s">
        <v>73</v>
      </c>
      <c r="D57" s="2">
        <v>1</v>
      </c>
      <c r="E57" s="2">
        <v>1</v>
      </c>
      <c r="F57" s="2">
        <v>0</v>
      </c>
      <c r="G57" s="4" t="e">
        <f t="shared" si="1"/>
        <v>#DIV/0!</v>
      </c>
      <c r="H57" s="4">
        <f t="shared" si="2"/>
        <v>-100</v>
      </c>
      <c r="I57" s="4" t="e">
        <f t="shared" si="3"/>
        <v>#DIV/0!</v>
      </c>
      <c r="J57" s="4">
        <f t="shared" si="4"/>
        <v>-33.402777777777779</v>
      </c>
      <c r="K57" s="4">
        <f t="shared" si="5"/>
        <v>-6.8085106382978804</v>
      </c>
      <c r="L57" s="4">
        <f t="shared" si="6"/>
        <v>7.0175438596491144</v>
      </c>
      <c r="M57" s="4">
        <f t="shared" si="7"/>
        <v>-100</v>
      </c>
      <c r="N57" s="4">
        <f t="shared" si="8"/>
        <v>-4.3478260869565348</v>
      </c>
      <c r="O57" s="4">
        <f t="shared" si="9"/>
        <v>-100</v>
      </c>
    </row>
    <row r="58" spans="1:15" x14ac:dyDescent="0.2">
      <c r="A58" s="2">
        <v>13</v>
      </c>
      <c r="B58" s="2" t="s">
        <v>43</v>
      </c>
      <c r="C58" s="2" t="s">
        <v>69</v>
      </c>
      <c r="D58" s="2">
        <v>0</v>
      </c>
      <c r="E58" s="2">
        <v>0</v>
      </c>
      <c r="F58" s="2">
        <v>1</v>
      </c>
      <c r="G58" s="4" t="e">
        <f t="shared" si="1"/>
        <v>#DIV/0!</v>
      </c>
      <c r="H58" s="4">
        <f t="shared" si="2"/>
        <v>-15.98827743406058</v>
      </c>
      <c r="I58" s="4">
        <f t="shared" si="3"/>
        <v>35.697866927084902</v>
      </c>
      <c r="J58" s="4">
        <f t="shared" si="4"/>
        <v>-100</v>
      </c>
      <c r="K58" s="4">
        <f t="shared" si="5"/>
        <v>243.23779193205954</v>
      </c>
      <c r="L58" s="4" t="e">
        <f t="shared" si="6"/>
        <v>#DIV/0!</v>
      </c>
      <c r="M58" s="4">
        <f t="shared" si="7"/>
        <v>12.0407456320769</v>
      </c>
      <c r="N58" s="4"/>
      <c r="O58" s="4">
        <f t="shared" si="9"/>
        <v>0</v>
      </c>
    </row>
    <row r="59" spans="1:15" x14ac:dyDescent="0.2">
      <c r="A59" s="2">
        <v>13</v>
      </c>
      <c r="B59" s="2" t="s">
        <v>44</v>
      </c>
      <c r="C59" s="2" t="s">
        <v>69</v>
      </c>
      <c r="D59" s="2">
        <v>0</v>
      </c>
      <c r="E59" s="2">
        <v>0</v>
      </c>
      <c r="F59" s="2">
        <v>1</v>
      </c>
      <c r="G59" s="4">
        <f t="shared" si="1"/>
        <v>-100</v>
      </c>
      <c r="H59" s="4">
        <f t="shared" si="2"/>
        <v>-65.135135135135144</v>
      </c>
      <c r="I59" s="4">
        <f t="shared" si="3"/>
        <v>-100</v>
      </c>
      <c r="J59" s="4">
        <f t="shared" si="4"/>
        <v>-17.251754867746154</v>
      </c>
      <c r="K59" s="4">
        <f t="shared" si="5"/>
        <v>-30.901121475945892</v>
      </c>
      <c r="L59" s="4">
        <f t="shared" si="6"/>
        <v>-16.386068341082893</v>
      </c>
      <c r="M59" s="4">
        <f t="shared" si="7"/>
        <v>-86.31309961445352</v>
      </c>
      <c r="N59" s="4">
        <f t="shared" si="8"/>
        <v>-42.608695652173914</v>
      </c>
      <c r="O59" s="4">
        <f t="shared" si="9"/>
        <v>-24.784662752577191</v>
      </c>
    </row>
    <row r="60" spans="1:15" x14ac:dyDescent="0.2">
      <c r="A60" s="2">
        <v>13</v>
      </c>
      <c r="B60" s="2" t="s">
        <v>66</v>
      </c>
      <c r="C60" s="2" t="s">
        <v>69</v>
      </c>
      <c r="D60" s="2">
        <v>0</v>
      </c>
      <c r="E60" s="2">
        <v>0</v>
      </c>
      <c r="F60" s="2">
        <v>1</v>
      </c>
      <c r="G60" s="4" t="e">
        <f t="shared" si="1"/>
        <v>#DIV/0!</v>
      </c>
      <c r="H60" s="4">
        <f t="shared" si="2"/>
        <v>-100</v>
      </c>
      <c r="I60" s="4">
        <f t="shared" si="3"/>
        <v>-100</v>
      </c>
      <c r="J60" s="4">
        <f t="shared" si="4"/>
        <v>0</v>
      </c>
      <c r="K60" s="4">
        <f t="shared" si="5"/>
        <v>-100</v>
      </c>
      <c r="L60" s="4">
        <f t="shared" si="6"/>
        <v>-1.29870129870129</v>
      </c>
      <c r="M60" s="4"/>
      <c r="N60" s="4"/>
      <c r="O60" s="4">
        <f t="shared" si="9"/>
        <v>0</v>
      </c>
    </row>
    <row r="61" spans="1:15" x14ac:dyDescent="0.2">
      <c r="A61" s="2">
        <v>14</v>
      </c>
      <c r="B61" s="2" t="s">
        <v>41</v>
      </c>
      <c r="C61" s="2" t="s">
        <v>41</v>
      </c>
      <c r="D61" s="2">
        <v>0</v>
      </c>
      <c r="E61" s="2">
        <v>1</v>
      </c>
      <c r="F61" s="2">
        <v>0</v>
      </c>
      <c r="G61" s="4">
        <f t="shared" si="1"/>
        <v>-74.037050623624353</v>
      </c>
      <c r="H61" s="4" t="e">
        <f t="shared" si="2"/>
        <v>#DIV/0!</v>
      </c>
      <c r="I61" s="4">
        <f t="shared" si="3"/>
        <v>-100</v>
      </c>
      <c r="J61" s="4">
        <f t="shared" si="4"/>
        <v>408.3724569640064</v>
      </c>
      <c r="K61" s="4">
        <f t="shared" si="5"/>
        <v>-5.0955414012738798</v>
      </c>
      <c r="L61" s="4">
        <f t="shared" si="6"/>
        <v>269.34678033468907</v>
      </c>
      <c r="M61" s="4">
        <f t="shared" si="7"/>
        <v>19.117682661114586</v>
      </c>
      <c r="N61" s="4">
        <f t="shared" si="8"/>
        <v>198.05217391304339</v>
      </c>
      <c r="O61" s="4">
        <f t="shared" si="9"/>
        <v>8.5556194428472558</v>
      </c>
    </row>
  </sheetData>
  <autoFilter ref="A1:X29" xr:uid="{00000000-0001-0000-0000-000000000000}">
    <sortState xmlns:xlrd2="http://schemas.microsoft.com/office/spreadsheetml/2017/richdata2" ref="A2:X49">
      <sortCondition ref="A1:A49"/>
    </sortState>
  </autoFilter>
  <conditionalFormatting sqref="G34:O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8857-8C72-514E-BABA-170456E45672}">
  <sheetPr filterMode="1"/>
  <dimension ref="A1:P54"/>
  <sheetViews>
    <sheetView workbookViewId="0">
      <selection activeCell="J62" sqref="J62"/>
    </sheetView>
  </sheetViews>
  <sheetFormatPr baseColWidth="10" defaultRowHeight="15" x14ac:dyDescent="0.2"/>
  <cols>
    <col min="3" max="3" width="12" bestFit="1" customWidth="1"/>
    <col min="4" max="4" width="7.1640625" customWidth="1"/>
    <col min="5" max="5" width="8" customWidth="1"/>
    <col min="6" max="6" width="7.33203125" customWidth="1"/>
    <col min="16" max="16" width="41.6640625" bestFit="1" customWidth="1"/>
  </cols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s="6" t="s">
        <v>78</v>
      </c>
      <c r="H1" s="6" t="s">
        <v>79</v>
      </c>
      <c r="I1" s="6" t="s">
        <v>80</v>
      </c>
      <c r="J1" s="1" t="s">
        <v>81</v>
      </c>
      <c r="K1" s="1" t="s">
        <v>82</v>
      </c>
      <c r="L1" s="1" t="s">
        <v>83</v>
      </c>
      <c r="M1" s="7" t="s">
        <v>84</v>
      </c>
      <c r="N1" s="7" t="s">
        <v>85</v>
      </c>
      <c r="O1" s="7" t="s">
        <v>86</v>
      </c>
    </row>
    <row r="2" spans="1:15" hidden="1" x14ac:dyDescent="0.2">
      <c r="A2" s="2">
        <v>1</v>
      </c>
      <c r="B2" s="2" t="s">
        <v>46</v>
      </c>
      <c r="C2" t="s">
        <v>71</v>
      </c>
      <c r="D2" s="2">
        <v>1</v>
      </c>
      <c r="E2" s="2">
        <v>0</v>
      </c>
      <c r="F2" s="2">
        <v>1</v>
      </c>
      <c r="G2" s="4">
        <v>-100</v>
      </c>
      <c r="H2" s="4">
        <v>-100</v>
      </c>
      <c r="I2" s="4">
        <v>-100</v>
      </c>
      <c r="J2" s="4">
        <v>-100</v>
      </c>
      <c r="K2" s="4">
        <v>-100</v>
      </c>
      <c r="L2" s="4">
        <v>-51.622665136178647</v>
      </c>
      <c r="M2" s="4">
        <v>-43.650793650793659</v>
      </c>
      <c r="N2" s="4">
        <v>1.5384615384615155</v>
      </c>
      <c r="O2" s="4">
        <v>-100</v>
      </c>
    </row>
    <row r="3" spans="1:15" hidden="1" x14ac:dyDescent="0.2">
      <c r="A3" s="2">
        <v>1</v>
      </c>
      <c r="B3" s="2" t="s">
        <v>47</v>
      </c>
      <c r="C3" s="2" t="s">
        <v>71</v>
      </c>
      <c r="D3" s="2">
        <v>1</v>
      </c>
      <c r="E3" s="2">
        <v>0</v>
      </c>
      <c r="F3" s="2">
        <v>1</v>
      </c>
      <c r="G3" s="4">
        <v>-77.537688442211049</v>
      </c>
      <c r="H3" s="4">
        <v>-91.787627140936451</v>
      </c>
      <c r="I3" s="4">
        <v>-100</v>
      </c>
      <c r="J3" s="4">
        <v>-91.520530878400606</v>
      </c>
      <c r="K3" s="4">
        <v>-73.853282807567638</v>
      </c>
      <c r="L3" s="4">
        <v>-23.272193427434122</v>
      </c>
      <c r="M3" s="4">
        <v>-32.009724965068209</v>
      </c>
      <c r="N3" s="4">
        <v>-2.5243145688338671</v>
      </c>
      <c r="O3" s="4">
        <v>-15.954484246544961</v>
      </c>
    </row>
    <row r="4" spans="1:15" hidden="1" x14ac:dyDescent="0.2">
      <c r="A4" s="2">
        <v>1</v>
      </c>
      <c r="B4" s="2" t="s">
        <v>62</v>
      </c>
      <c r="C4" s="2" t="s">
        <v>71</v>
      </c>
      <c r="D4" s="2">
        <v>1</v>
      </c>
      <c r="E4" s="2">
        <v>0</v>
      </c>
      <c r="F4" s="2">
        <v>1</v>
      </c>
      <c r="G4" s="4">
        <v>-100</v>
      </c>
      <c r="H4" s="4"/>
      <c r="I4" s="4">
        <v>-100</v>
      </c>
      <c r="J4" s="4">
        <v>-13.475738605335835</v>
      </c>
      <c r="K4" s="4">
        <v>17.136842105263156</v>
      </c>
      <c r="L4" s="4">
        <v>5.4054054054054124</v>
      </c>
      <c r="M4" s="4"/>
      <c r="N4" s="4">
        <v>-5.5555555555555509</v>
      </c>
      <c r="O4" s="4">
        <v>-100</v>
      </c>
    </row>
    <row r="5" spans="1:15" hidden="1" x14ac:dyDescent="0.2">
      <c r="A5" s="2">
        <v>2</v>
      </c>
      <c r="B5" s="2" t="s">
        <v>58</v>
      </c>
      <c r="C5" s="2" t="s">
        <v>75</v>
      </c>
      <c r="D5" s="2">
        <v>0</v>
      </c>
      <c r="E5" s="2">
        <v>1</v>
      </c>
      <c r="F5" s="2">
        <v>0</v>
      </c>
      <c r="G5" s="4">
        <v>-100</v>
      </c>
      <c r="H5" s="4"/>
      <c r="I5" s="4">
        <v>-100</v>
      </c>
      <c r="J5" s="4">
        <v>-100</v>
      </c>
      <c r="K5" s="4">
        <v>-100</v>
      </c>
      <c r="L5" s="4">
        <v>-55.942028985507243</v>
      </c>
      <c r="M5" s="4"/>
      <c r="N5" s="4">
        <v>-71.219256933542653</v>
      </c>
      <c r="O5" s="4">
        <v>-100</v>
      </c>
    </row>
    <row r="6" spans="1:15" hidden="1" x14ac:dyDescent="0.2">
      <c r="A6" s="2">
        <v>2</v>
      </c>
      <c r="B6" s="2" t="s">
        <v>59</v>
      </c>
      <c r="C6" s="2" t="s">
        <v>75</v>
      </c>
      <c r="D6" s="2">
        <v>0</v>
      </c>
      <c r="E6" s="2">
        <v>1</v>
      </c>
      <c r="F6" s="2">
        <v>0</v>
      </c>
      <c r="G6" s="4">
        <v>-100</v>
      </c>
      <c r="H6" s="4"/>
      <c r="I6" s="4">
        <v>-100</v>
      </c>
      <c r="J6" s="4"/>
      <c r="K6" s="4"/>
      <c r="L6" s="4">
        <v>320.07835872851047</v>
      </c>
      <c r="M6" s="4">
        <v>96.481988511498812</v>
      </c>
      <c r="N6" s="4">
        <v>414.18800757013139</v>
      </c>
      <c r="O6" s="4">
        <v>462.67099524703542</v>
      </c>
    </row>
    <row r="7" spans="1:15" hidden="1" x14ac:dyDescent="0.2">
      <c r="A7" s="2">
        <v>2</v>
      </c>
      <c r="B7" s="2" t="s">
        <v>67</v>
      </c>
      <c r="C7" s="2" t="s">
        <v>75</v>
      </c>
      <c r="D7" s="2">
        <v>0</v>
      </c>
      <c r="E7" s="2">
        <v>1</v>
      </c>
      <c r="F7" s="2">
        <v>0</v>
      </c>
      <c r="G7" s="4"/>
      <c r="H7" s="4"/>
      <c r="I7" s="4"/>
      <c r="J7" s="4"/>
      <c r="K7" s="4"/>
      <c r="L7" s="4"/>
      <c r="M7" s="4"/>
      <c r="N7" s="4">
        <v>-55.739644970414204</v>
      </c>
      <c r="O7" s="4"/>
    </row>
    <row r="8" spans="1:15" hidden="1" x14ac:dyDescent="0.2">
      <c r="A8" s="2">
        <v>3</v>
      </c>
      <c r="B8" s="2" t="s">
        <v>60</v>
      </c>
      <c r="C8" s="2" t="s">
        <v>75</v>
      </c>
      <c r="D8" s="2">
        <v>1</v>
      </c>
      <c r="E8" s="2">
        <v>1</v>
      </c>
      <c r="F8" s="2">
        <v>0</v>
      </c>
      <c r="G8" s="4">
        <v>-100</v>
      </c>
      <c r="H8" s="4">
        <v>-100</v>
      </c>
      <c r="I8" s="4">
        <v>-100</v>
      </c>
      <c r="J8" s="4">
        <v>-100</v>
      </c>
      <c r="K8" s="4">
        <v>-100</v>
      </c>
      <c r="L8" s="4">
        <v>-100</v>
      </c>
      <c r="M8" s="4">
        <v>-100</v>
      </c>
      <c r="N8" s="4">
        <v>-100</v>
      </c>
      <c r="O8" s="4">
        <v>-100</v>
      </c>
    </row>
    <row r="9" spans="1:15" hidden="1" x14ac:dyDescent="0.2">
      <c r="A9" s="2">
        <v>4</v>
      </c>
      <c r="B9" s="2" t="s">
        <v>42</v>
      </c>
      <c r="C9" s="2" t="s">
        <v>68</v>
      </c>
      <c r="D9" s="2">
        <v>1</v>
      </c>
      <c r="E9" s="2">
        <v>0</v>
      </c>
      <c r="F9" s="2">
        <v>1</v>
      </c>
      <c r="G9" s="4">
        <v>-100</v>
      </c>
      <c r="H9" s="4">
        <v>-100</v>
      </c>
      <c r="I9" s="4">
        <v>-100</v>
      </c>
      <c r="J9" s="4">
        <v>12.991344640355868</v>
      </c>
      <c r="K9" s="4">
        <v>1.7515218361603697</v>
      </c>
      <c r="L9" s="4">
        <v>11.238777601563827</v>
      </c>
      <c r="M9" s="4">
        <v>5.7222731360517605</v>
      </c>
      <c r="N9" s="4">
        <v>1.895162240997279</v>
      </c>
      <c r="O9" s="4">
        <v>18.434660804085407</v>
      </c>
    </row>
    <row r="10" spans="1:15" hidden="1" x14ac:dyDescent="0.2">
      <c r="A10" s="2">
        <v>5</v>
      </c>
      <c r="B10" s="2" t="s">
        <v>63</v>
      </c>
      <c r="C10" s="2" t="s">
        <v>76</v>
      </c>
      <c r="D10" s="2">
        <v>1</v>
      </c>
      <c r="E10" s="2">
        <v>0</v>
      </c>
      <c r="F10" s="2">
        <v>1</v>
      </c>
      <c r="G10" s="4"/>
      <c r="H10" s="4">
        <v>-100</v>
      </c>
      <c r="I10" s="4"/>
      <c r="J10" s="4"/>
      <c r="K10" s="4"/>
      <c r="L10" s="4"/>
      <c r="M10" s="4"/>
      <c r="N10" s="4"/>
      <c r="O10" s="4"/>
    </row>
    <row r="11" spans="1:15" hidden="1" x14ac:dyDescent="0.2">
      <c r="A11" s="2">
        <v>5</v>
      </c>
      <c r="B11" s="2" t="s">
        <v>65</v>
      </c>
      <c r="C11" s="2" t="s">
        <v>76</v>
      </c>
      <c r="D11" s="2">
        <v>1</v>
      </c>
      <c r="E11" s="2">
        <v>0</v>
      </c>
      <c r="F11" s="2">
        <v>1</v>
      </c>
      <c r="G11" s="4"/>
      <c r="H11" s="4">
        <v>-100</v>
      </c>
      <c r="I11" s="4">
        <v>-100</v>
      </c>
      <c r="J11" s="4"/>
      <c r="K11" s="4"/>
      <c r="L11" s="4"/>
      <c r="M11" s="4"/>
      <c r="N11" s="4"/>
      <c r="O11" s="4"/>
    </row>
    <row r="12" spans="1:15" hidden="1" x14ac:dyDescent="0.2">
      <c r="A12" s="2">
        <v>6</v>
      </c>
      <c r="B12" s="2" t="s">
        <v>55</v>
      </c>
      <c r="C12" s="2" t="s">
        <v>72</v>
      </c>
      <c r="D12" s="2">
        <v>0</v>
      </c>
      <c r="E12" s="2">
        <v>1</v>
      </c>
      <c r="F12" s="2">
        <v>0</v>
      </c>
      <c r="G12" s="4">
        <v>-100</v>
      </c>
      <c r="H12" s="4">
        <v>-100</v>
      </c>
      <c r="I12" s="4">
        <v>-100</v>
      </c>
      <c r="J12" s="4">
        <v>-95.899851589468582</v>
      </c>
      <c r="K12" s="4">
        <v>-96.144835383726573</v>
      </c>
      <c r="L12" s="4">
        <v>-93.759590792838878</v>
      </c>
      <c r="M12" s="4">
        <v>-38.861867043462908</v>
      </c>
      <c r="N12" s="4">
        <v>-45.561401124447443</v>
      </c>
      <c r="O12" s="4">
        <v>-100</v>
      </c>
    </row>
    <row r="13" spans="1:15" hidden="1" x14ac:dyDescent="0.2">
      <c r="A13" s="2">
        <v>6</v>
      </c>
      <c r="B13" s="2" t="s">
        <v>56</v>
      </c>
      <c r="C13" s="2" t="s">
        <v>72</v>
      </c>
      <c r="D13" s="2">
        <v>0</v>
      </c>
      <c r="E13" s="2">
        <v>1</v>
      </c>
      <c r="F13" s="2">
        <v>0</v>
      </c>
      <c r="G13" s="4"/>
      <c r="H13" s="4">
        <v>-100</v>
      </c>
      <c r="I13" s="4">
        <v>-100</v>
      </c>
      <c r="J13" s="4"/>
      <c r="K13" s="4"/>
      <c r="L13" s="4">
        <v>-46.956521739130437</v>
      </c>
      <c r="M13" s="4">
        <v>-100</v>
      </c>
      <c r="N13" s="4">
        <v>-100</v>
      </c>
      <c r="O13" s="4">
        <v>-79.772439949431089</v>
      </c>
    </row>
    <row r="14" spans="1:15" hidden="1" x14ac:dyDescent="0.2">
      <c r="A14" s="2">
        <v>6</v>
      </c>
      <c r="B14" s="2" t="s">
        <v>57</v>
      </c>
      <c r="C14" s="2" t="s">
        <v>72</v>
      </c>
      <c r="D14" s="2">
        <v>0</v>
      </c>
      <c r="E14" s="2">
        <v>1</v>
      </c>
      <c r="F14" s="2">
        <v>0</v>
      </c>
      <c r="G14" s="4">
        <v>233.32364904125518</v>
      </c>
      <c r="H14" s="4">
        <v>206.32858657779121</v>
      </c>
      <c r="I14" s="4">
        <v>237.01316197877088</v>
      </c>
      <c r="J14" s="4">
        <v>171.63129087996595</v>
      </c>
      <c r="K14" s="4">
        <v>143.96001084739086</v>
      </c>
      <c r="L14" s="4">
        <v>-34.846789338097345</v>
      </c>
      <c r="M14" s="4">
        <v>-5.6493202062822077</v>
      </c>
      <c r="N14" s="4">
        <v>-29.721441349348332</v>
      </c>
      <c r="O14" s="4">
        <v>-93.791755066408271</v>
      </c>
    </row>
    <row r="15" spans="1:15" hidden="1" x14ac:dyDescent="0.2">
      <c r="A15" s="2">
        <v>7</v>
      </c>
      <c r="B15" s="2" t="s">
        <v>61</v>
      </c>
      <c r="C15" s="2" t="s">
        <v>72</v>
      </c>
      <c r="D15" s="2">
        <v>1</v>
      </c>
      <c r="E15" s="2">
        <v>1</v>
      </c>
      <c r="F15" s="2">
        <v>0</v>
      </c>
      <c r="G15" s="4">
        <v>-100</v>
      </c>
      <c r="H15" s="4"/>
      <c r="I15" s="4">
        <v>-100</v>
      </c>
      <c r="J15" s="4">
        <v>-100</v>
      </c>
      <c r="K15" s="4"/>
      <c r="L15" s="4">
        <v>-100</v>
      </c>
      <c r="M15" s="4">
        <v>-79.021913878642593</v>
      </c>
      <c r="N15" s="4">
        <v>-100</v>
      </c>
      <c r="O15" s="4">
        <v>-82.665913488237791</v>
      </c>
    </row>
    <row r="16" spans="1:15" hidden="1" x14ac:dyDescent="0.2">
      <c r="A16" s="2">
        <v>8</v>
      </c>
      <c r="B16" s="2" t="s">
        <v>51</v>
      </c>
      <c r="C16" s="2" t="s">
        <v>74</v>
      </c>
      <c r="D16" s="2">
        <v>1</v>
      </c>
      <c r="E16" s="2">
        <v>0</v>
      </c>
      <c r="F16" s="2">
        <v>1</v>
      </c>
      <c r="G16" s="4">
        <v>-100</v>
      </c>
      <c r="H16" s="4">
        <v>-100</v>
      </c>
      <c r="I16" s="4">
        <v>-100</v>
      </c>
      <c r="J16" s="4">
        <v>-17.9560529071797</v>
      </c>
      <c r="K16" s="4">
        <v>26.808614939715103</v>
      </c>
      <c r="L16" s="4">
        <v>14.299421969853215</v>
      </c>
      <c r="M16" s="4">
        <v>14.472715943615192</v>
      </c>
      <c r="N16" s="4">
        <v>14.31104010150924</v>
      </c>
      <c r="O16" s="4">
        <v>54.428014202201858</v>
      </c>
    </row>
    <row r="17" spans="1:16" hidden="1" x14ac:dyDescent="0.2">
      <c r="A17" s="2">
        <v>9</v>
      </c>
      <c r="B17" s="2" t="s">
        <v>45</v>
      </c>
      <c r="C17" s="2" t="s">
        <v>70</v>
      </c>
      <c r="D17" s="2">
        <v>1</v>
      </c>
      <c r="E17" s="2">
        <v>0</v>
      </c>
      <c r="F17" s="2">
        <v>1</v>
      </c>
      <c r="G17" s="4">
        <v>-100</v>
      </c>
      <c r="H17" s="4"/>
      <c r="I17" s="4"/>
      <c r="J17" s="4"/>
      <c r="K17" s="4"/>
      <c r="L17" s="4">
        <v>-100</v>
      </c>
      <c r="M17" s="4">
        <v>69.047619047619037</v>
      </c>
      <c r="N17" s="4"/>
      <c r="O17" s="4">
        <v>66.666666666666657</v>
      </c>
    </row>
    <row r="18" spans="1:16" hidden="1" x14ac:dyDescent="0.2">
      <c r="A18" s="2">
        <v>10</v>
      </c>
      <c r="B18" s="2" t="s">
        <v>48</v>
      </c>
      <c r="C18" s="2" t="s">
        <v>70</v>
      </c>
      <c r="D18" s="2">
        <v>0</v>
      </c>
      <c r="E18" s="2">
        <v>0</v>
      </c>
      <c r="F18" s="2">
        <v>1</v>
      </c>
      <c r="G18" s="4">
        <v>84.420608405134516</v>
      </c>
      <c r="H18" s="4">
        <v>-14.14141414141414</v>
      </c>
      <c r="I18" s="4"/>
      <c r="J18" s="4">
        <v>1.9546376544348294</v>
      </c>
      <c r="K18" s="4">
        <v>57.894736842105246</v>
      </c>
      <c r="L18" s="4">
        <v>21.454228421970363</v>
      </c>
      <c r="M18" s="4"/>
      <c r="N18" s="4">
        <v>-28.566384180790973</v>
      </c>
      <c r="O18" s="4">
        <v>-39.243262327880423</v>
      </c>
    </row>
    <row r="19" spans="1:16" hidden="1" x14ac:dyDescent="0.2">
      <c r="A19" s="2">
        <v>10</v>
      </c>
      <c r="B19" s="2" t="s">
        <v>64</v>
      </c>
      <c r="C19" s="2" t="s">
        <v>70</v>
      </c>
      <c r="D19" s="2">
        <v>0</v>
      </c>
      <c r="E19" s="2">
        <v>0</v>
      </c>
      <c r="F19" s="2">
        <v>1</v>
      </c>
      <c r="G19" s="4">
        <v>-100</v>
      </c>
      <c r="H19" s="4">
        <v>-100</v>
      </c>
      <c r="I19" s="4">
        <v>-100</v>
      </c>
      <c r="J19" s="4">
        <v>6.4784149042867041</v>
      </c>
      <c r="K19" s="4">
        <v>-100</v>
      </c>
      <c r="L19" s="4">
        <v>17.829457364341103</v>
      </c>
      <c r="M19" s="4">
        <v>-23.575949367088583</v>
      </c>
      <c r="N19" s="4">
        <v>-49.230769230769248</v>
      </c>
      <c r="O19" s="4">
        <v>-6.2076093275628175</v>
      </c>
    </row>
    <row r="20" spans="1:16" hidden="1" x14ac:dyDescent="0.2">
      <c r="A20" s="2">
        <v>11</v>
      </c>
      <c r="B20" s="2" t="s">
        <v>49</v>
      </c>
      <c r="C20" t="s">
        <v>73</v>
      </c>
      <c r="D20">
        <v>0</v>
      </c>
      <c r="E20">
        <v>1</v>
      </c>
      <c r="F20">
        <v>0</v>
      </c>
      <c r="G20" s="4">
        <v>1710.1818751694225</v>
      </c>
      <c r="H20" s="4">
        <v>873.90016760152935</v>
      </c>
      <c r="I20" s="4">
        <v>4232.5544899738443</v>
      </c>
      <c r="J20" s="4">
        <v>-65.847939444911688</v>
      </c>
      <c r="K20" s="4"/>
      <c r="L20" s="4">
        <v>-32.474657125819917</v>
      </c>
      <c r="M20" s="4">
        <v>16.594758295782153</v>
      </c>
      <c r="N20" s="4">
        <v>-64.854723263248331</v>
      </c>
      <c r="O20" s="4">
        <v>-5.3673621263082856</v>
      </c>
    </row>
    <row r="21" spans="1:16" hidden="1" x14ac:dyDescent="0.2">
      <c r="A21" s="2">
        <v>11</v>
      </c>
      <c r="B21" s="2" t="s">
        <v>50</v>
      </c>
      <c r="C21" s="2" t="s">
        <v>73</v>
      </c>
      <c r="D21" s="2">
        <v>0</v>
      </c>
      <c r="E21" s="2">
        <v>1</v>
      </c>
      <c r="F21" s="2">
        <v>0</v>
      </c>
      <c r="G21" s="4">
        <v>-100</v>
      </c>
      <c r="H21" s="4">
        <v>-63.417227933356976</v>
      </c>
      <c r="I21" s="4">
        <v>-100</v>
      </c>
      <c r="J21" s="4">
        <v>-57.014621421770492</v>
      </c>
      <c r="K21" s="4">
        <v>-92.864125122189634</v>
      </c>
      <c r="L21" s="4">
        <v>-29.881867205931918</v>
      </c>
      <c r="M21" s="4">
        <v>-12.970040098742771</v>
      </c>
      <c r="N21" s="4">
        <v>-39.819888219616942</v>
      </c>
      <c r="O21" s="4">
        <v>-72.130059721300597</v>
      </c>
    </row>
    <row r="22" spans="1:16" hidden="1" x14ac:dyDescent="0.2">
      <c r="A22" s="2">
        <v>12</v>
      </c>
      <c r="B22" s="2" t="s">
        <v>52</v>
      </c>
      <c r="C22" s="2" t="s">
        <v>73</v>
      </c>
      <c r="D22" s="2">
        <v>1</v>
      </c>
      <c r="E22" s="2">
        <v>1</v>
      </c>
      <c r="F22" s="2">
        <v>0</v>
      </c>
      <c r="G22" s="4">
        <v>-100</v>
      </c>
      <c r="H22" s="4"/>
      <c r="I22" s="4"/>
      <c r="J22" s="4">
        <v>-100</v>
      </c>
      <c r="K22" s="4">
        <v>-82.68421010737795</v>
      </c>
      <c r="L22" s="4">
        <v>-91.031580983701701</v>
      </c>
      <c r="M22" s="4">
        <v>207.23371290208146</v>
      </c>
      <c r="N22" s="4">
        <v>661.55026394472168</v>
      </c>
      <c r="O22" s="4">
        <v>1102.8092277742016</v>
      </c>
    </row>
    <row r="23" spans="1:16" hidden="1" x14ac:dyDescent="0.2">
      <c r="A23" s="2">
        <v>12</v>
      </c>
      <c r="B23" s="2" t="s">
        <v>53</v>
      </c>
      <c r="C23" s="2" t="s">
        <v>73</v>
      </c>
      <c r="D23" s="2">
        <v>1</v>
      </c>
      <c r="E23" s="2">
        <v>1</v>
      </c>
      <c r="F23" s="2">
        <v>0</v>
      </c>
      <c r="G23" s="4">
        <v>-100</v>
      </c>
      <c r="H23" s="4">
        <v>-100</v>
      </c>
      <c r="I23" s="4">
        <v>-100</v>
      </c>
      <c r="J23" s="4">
        <v>-78.129106321745596</v>
      </c>
      <c r="K23" s="4">
        <v>-51.149915237830498</v>
      </c>
      <c r="L23" s="4">
        <v>-71.516317339400373</v>
      </c>
      <c r="M23" s="4">
        <v>-17.684329025145754</v>
      </c>
      <c r="N23" s="4">
        <v>-8.5309216792330922</v>
      </c>
      <c r="O23" s="4">
        <v>19.390963358525457</v>
      </c>
    </row>
    <row r="24" spans="1:16" hidden="1" x14ac:dyDescent="0.2">
      <c r="A24" s="2">
        <v>12</v>
      </c>
      <c r="B24" s="2" t="s">
        <v>54</v>
      </c>
      <c r="C24" s="2" t="s">
        <v>73</v>
      </c>
      <c r="D24" s="2">
        <v>1</v>
      </c>
      <c r="E24" s="2">
        <v>1</v>
      </c>
      <c r="F24" s="2">
        <v>0</v>
      </c>
      <c r="G24" s="4">
        <v>-100</v>
      </c>
      <c r="H24" s="4">
        <v>-100</v>
      </c>
      <c r="I24" s="4"/>
      <c r="J24" s="4">
        <v>-100</v>
      </c>
      <c r="K24" s="4">
        <v>-51.966473243068975</v>
      </c>
      <c r="L24" s="4"/>
      <c r="M24" s="4"/>
      <c r="N24" s="4">
        <v>-42.935031701168754</v>
      </c>
      <c r="O24" s="4"/>
    </row>
    <row r="25" spans="1:16" hidden="1" x14ac:dyDescent="0.2">
      <c r="A25" s="2">
        <v>12</v>
      </c>
      <c r="B25" s="2" t="s">
        <v>77</v>
      </c>
      <c r="C25" s="2" t="s">
        <v>73</v>
      </c>
      <c r="D25" s="2">
        <v>1</v>
      </c>
      <c r="E25" s="2">
        <v>1</v>
      </c>
      <c r="F25" s="2">
        <v>0</v>
      </c>
      <c r="G25" s="4"/>
      <c r="H25" s="4">
        <v>-100</v>
      </c>
      <c r="I25" s="4"/>
      <c r="J25" s="4">
        <v>38.104838709677409</v>
      </c>
      <c r="K25" s="4">
        <v>-55.145929339477732</v>
      </c>
      <c r="L25" s="4">
        <v>-100</v>
      </c>
      <c r="M25" s="4">
        <v>-100</v>
      </c>
      <c r="N25" s="4">
        <v>-100</v>
      </c>
      <c r="O25" s="4">
        <v>-100</v>
      </c>
    </row>
    <row r="26" spans="1:16" hidden="1" x14ac:dyDescent="0.2">
      <c r="A26" s="2">
        <v>13</v>
      </c>
      <c r="B26" s="2" t="s">
        <v>43</v>
      </c>
      <c r="C26" s="2" t="s">
        <v>69</v>
      </c>
      <c r="D26" s="2">
        <v>0</v>
      </c>
      <c r="E26" s="2">
        <v>0</v>
      </c>
      <c r="F26" s="2">
        <v>1</v>
      </c>
      <c r="G26" s="4"/>
      <c r="H26" s="4">
        <v>-100</v>
      </c>
      <c r="I26" s="4">
        <v>-100</v>
      </c>
      <c r="J26" s="4">
        <v>-100</v>
      </c>
      <c r="K26" s="4">
        <v>-100</v>
      </c>
      <c r="L26" s="4"/>
      <c r="M26" s="4">
        <v>-16.644385026737979</v>
      </c>
      <c r="N26" s="4"/>
      <c r="O26" s="4">
        <v>66.666666666666657</v>
      </c>
    </row>
    <row r="27" spans="1:16" hidden="1" x14ac:dyDescent="0.2">
      <c r="A27" s="2">
        <v>13</v>
      </c>
      <c r="B27" s="2" t="s">
        <v>44</v>
      </c>
      <c r="C27" s="2" t="s">
        <v>69</v>
      </c>
      <c r="D27" s="2">
        <v>0</v>
      </c>
      <c r="E27" s="2">
        <v>0</v>
      </c>
      <c r="F27" s="2">
        <v>1</v>
      </c>
      <c r="G27" s="4">
        <v>-100</v>
      </c>
      <c r="H27" s="4">
        <v>-100</v>
      </c>
      <c r="I27" s="4">
        <v>-100</v>
      </c>
      <c r="J27" s="4">
        <v>-78.116145639881623</v>
      </c>
      <c r="K27" s="4">
        <v>-83.268430923602111</v>
      </c>
      <c r="L27" s="4">
        <v>-88.412978458742344</v>
      </c>
      <c r="M27" s="4">
        <v>-82.468464674693266</v>
      </c>
      <c r="N27" s="4">
        <v>-39.076923076923087</v>
      </c>
      <c r="O27" s="4">
        <v>9.0069428681886006</v>
      </c>
    </row>
    <row r="28" spans="1:16" hidden="1" x14ac:dyDescent="0.2">
      <c r="A28" s="2">
        <v>13</v>
      </c>
      <c r="B28" s="2" t="s">
        <v>66</v>
      </c>
      <c r="C28" s="2" t="s">
        <v>69</v>
      </c>
      <c r="D28" s="2">
        <v>0</v>
      </c>
      <c r="E28" s="2">
        <v>0</v>
      </c>
      <c r="F28" s="2">
        <v>1</v>
      </c>
      <c r="G28" s="4"/>
      <c r="H28" s="4">
        <v>-100</v>
      </c>
      <c r="I28" s="4">
        <v>-100</v>
      </c>
      <c r="J28" s="4">
        <v>-100</v>
      </c>
      <c r="K28" s="4">
        <v>-100</v>
      </c>
      <c r="L28" s="4">
        <v>-36.666666666666657</v>
      </c>
      <c r="M28" s="4"/>
      <c r="N28" s="4"/>
      <c r="O28" s="4">
        <v>-72.222222222222214</v>
      </c>
    </row>
    <row r="29" spans="1:16" customFormat="1" x14ac:dyDescent="0.2">
      <c r="A29" s="2">
        <v>14</v>
      </c>
      <c r="B29" s="2" t="s">
        <v>41</v>
      </c>
      <c r="C29" s="2" t="s">
        <v>41</v>
      </c>
      <c r="D29" s="2">
        <v>0</v>
      </c>
      <c r="E29" s="2">
        <v>1</v>
      </c>
      <c r="F29" s="2">
        <v>0</v>
      </c>
      <c r="G29" s="4">
        <v>-100</v>
      </c>
      <c r="H29" s="4"/>
      <c r="I29" s="4">
        <v>-100</v>
      </c>
      <c r="J29" s="4">
        <v>3285.1433005122303</v>
      </c>
      <c r="K29" s="4">
        <v>4426.9274765499895</v>
      </c>
      <c r="L29" s="4">
        <v>1431.938519523708</v>
      </c>
      <c r="M29" s="4">
        <v>-12.768372212060758</v>
      </c>
      <c r="N29" s="4">
        <v>31.999999999999968</v>
      </c>
      <c r="O29" s="4">
        <v>-46.30952002829347</v>
      </c>
    </row>
    <row r="30" spans="1:16" s="2" customFormat="1" x14ac:dyDescent="0.2">
      <c r="G30" s="5"/>
      <c r="H30" s="5"/>
      <c r="I30" s="5"/>
      <c r="J30" s="5"/>
      <c r="K30" s="5"/>
      <c r="L30" s="5"/>
      <c r="M30" s="5"/>
      <c r="N30" s="5"/>
      <c r="O30" s="5"/>
    </row>
    <row r="31" spans="1:16" s="2" customFormat="1" x14ac:dyDescent="0.2">
      <c r="G31" s="5"/>
      <c r="H31" s="5"/>
      <c r="I31" s="5"/>
      <c r="J31" s="5"/>
      <c r="K31" s="5"/>
      <c r="L31" s="5"/>
      <c r="M31" s="5"/>
      <c r="N31" s="5"/>
      <c r="O31" s="5"/>
    </row>
    <row r="32" spans="1:16" customFormat="1" x14ac:dyDescent="0.2">
      <c r="C32" s="15" t="s">
        <v>97</v>
      </c>
      <c r="D32" s="15" t="s">
        <v>98</v>
      </c>
      <c r="E32" s="15" t="s">
        <v>99</v>
      </c>
      <c r="F32" s="15" t="s">
        <v>100</v>
      </c>
      <c r="G32" s="21" t="s">
        <v>114</v>
      </c>
      <c r="H32" s="21"/>
      <c r="I32" s="21"/>
      <c r="J32" s="21"/>
      <c r="K32" s="21"/>
      <c r="L32" s="21"/>
      <c r="M32" s="21"/>
      <c r="N32" s="21"/>
      <c r="O32" s="21"/>
      <c r="P32" s="15" t="s">
        <v>113</v>
      </c>
    </row>
    <row r="33" spans="2:16" customFormat="1" ht="15" customHeight="1" x14ac:dyDescent="0.2">
      <c r="C33" s="15"/>
      <c r="D33" s="15"/>
      <c r="E33" s="15"/>
      <c r="F33" s="15"/>
      <c r="G33" s="22" t="s">
        <v>101</v>
      </c>
      <c r="H33" s="22"/>
      <c r="I33" s="22"/>
      <c r="J33" s="22" t="s">
        <v>102</v>
      </c>
      <c r="K33" s="22"/>
      <c r="L33" s="22"/>
      <c r="M33" s="22" t="s">
        <v>103</v>
      </c>
      <c r="N33" s="22"/>
      <c r="O33" s="22"/>
      <c r="P33" s="15"/>
    </row>
    <row r="34" spans="2:16" customFormat="1" ht="16" customHeight="1" x14ac:dyDescent="0.2">
      <c r="C34" s="8"/>
      <c r="D34" s="8"/>
      <c r="E34" s="8"/>
      <c r="F34" s="8"/>
      <c r="G34" s="23" t="s">
        <v>106</v>
      </c>
      <c r="H34" s="23" t="s">
        <v>107</v>
      </c>
      <c r="I34" s="23" t="s">
        <v>108</v>
      </c>
      <c r="J34" s="23" t="s">
        <v>106</v>
      </c>
      <c r="K34" s="23" t="s">
        <v>107</v>
      </c>
      <c r="L34" s="23" t="s">
        <v>108</v>
      </c>
      <c r="M34" s="23" t="s">
        <v>106</v>
      </c>
      <c r="N34" s="23" t="s">
        <v>107</v>
      </c>
      <c r="O34" s="23" t="s">
        <v>108</v>
      </c>
      <c r="P34" s="8"/>
    </row>
    <row r="35" spans="2:16" customFormat="1" x14ac:dyDescent="0.2">
      <c r="B35" s="2"/>
      <c r="C35" s="2" t="s">
        <v>71</v>
      </c>
      <c r="D35" s="2">
        <v>1</v>
      </c>
      <c r="E35" s="2">
        <v>0</v>
      </c>
      <c r="F35" s="2">
        <v>1</v>
      </c>
      <c r="G35" s="9" t="s">
        <v>88</v>
      </c>
      <c r="H35" s="9" t="s">
        <v>88</v>
      </c>
      <c r="I35" s="9" t="s">
        <v>88</v>
      </c>
      <c r="J35" s="11" t="s">
        <v>87</v>
      </c>
      <c r="K35" s="11" t="s">
        <v>88</v>
      </c>
      <c r="L35" s="11" t="s">
        <v>88</v>
      </c>
      <c r="M35" s="13" t="s">
        <v>88</v>
      </c>
      <c r="N35" s="13" t="s">
        <v>87</v>
      </c>
      <c r="O35" s="13" t="s">
        <v>87</v>
      </c>
      <c r="P35" s="2" t="s">
        <v>104</v>
      </c>
    </row>
    <row r="36" spans="2:16" customFormat="1" x14ac:dyDescent="0.2">
      <c r="B36" s="2"/>
      <c r="C36" s="2" t="s">
        <v>75</v>
      </c>
      <c r="D36" s="2">
        <v>0</v>
      </c>
      <c r="E36" s="2">
        <v>1</v>
      </c>
      <c r="F36" s="2">
        <v>0</v>
      </c>
      <c r="G36" s="9" t="s">
        <v>88</v>
      </c>
      <c r="H36" s="9" t="s">
        <v>88</v>
      </c>
      <c r="I36" s="9" t="s">
        <v>91</v>
      </c>
      <c r="J36" s="11" t="s">
        <v>87</v>
      </c>
      <c r="K36" s="11" t="s">
        <v>88</v>
      </c>
      <c r="L36" s="11" t="s">
        <v>88</v>
      </c>
      <c r="M36" s="13" t="s">
        <v>90</v>
      </c>
      <c r="N36" s="13" t="s">
        <v>89</v>
      </c>
      <c r="O36" s="13" t="s">
        <v>90</v>
      </c>
      <c r="P36" s="2" t="s">
        <v>105</v>
      </c>
    </row>
    <row r="37" spans="2:16" customFormat="1" x14ac:dyDescent="0.2">
      <c r="B37" s="2"/>
      <c r="C37" s="2" t="s">
        <v>75</v>
      </c>
      <c r="D37" s="2">
        <v>1</v>
      </c>
      <c r="E37" s="2">
        <v>1</v>
      </c>
      <c r="F37" s="2">
        <v>0</v>
      </c>
      <c r="G37" s="9" t="s">
        <v>88</v>
      </c>
      <c r="H37" s="9" t="s">
        <v>88</v>
      </c>
      <c r="I37" s="9" t="s">
        <v>88</v>
      </c>
      <c r="J37" s="11" t="s">
        <v>87</v>
      </c>
      <c r="K37" s="11" t="s">
        <v>87</v>
      </c>
      <c r="L37" s="11" t="s">
        <v>87</v>
      </c>
      <c r="M37" s="13" t="s">
        <v>87</v>
      </c>
      <c r="N37" s="13" t="s">
        <v>87</v>
      </c>
      <c r="O37" s="13" t="s">
        <v>87</v>
      </c>
      <c r="P37" s="2" t="s">
        <v>60</v>
      </c>
    </row>
    <row r="38" spans="2:16" customFormat="1" x14ac:dyDescent="0.2">
      <c r="B38" s="2"/>
      <c r="C38" s="2" t="s">
        <v>68</v>
      </c>
      <c r="D38" s="2">
        <v>1</v>
      </c>
      <c r="E38" s="2">
        <v>0</v>
      </c>
      <c r="F38" s="2">
        <v>1</v>
      </c>
      <c r="G38" s="9" t="s">
        <v>95</v>
      </c>
      <c r="H38" s="9" t="s">
        <v>95</v>
      </c>
      <c r="I38" s="9" t="s">
        <v>95</v>
      </c>
      <c r="J38" s="11" t="s">
        <v>90</v>
      </c>
      <c r="K38" s="11" t="s">
        <v>90</v>
      </c>
      <c r="L38" s="11" t="s">
        <v>89</v>
      </c>
      <c r="M38" s="13" t="s">
        <v>90</v>
      </c>
      <c r="N38" s="13" t="s">
        <v>90</v>
      </c>
      <c r="O38" s="13" t="s">
        <v>89</v>
      </c>
      <c r="P38" s="2" t="s">
        <v>42</v>
      </c>
    </row>
    <row r="39" spans="2:16" customFormat="1" x14ac:dyDescent="0.2">
      <c r="B39" s="2"/>
      <c r="C39" s="2" t="s">
        <v>76</v>
      </c>
      <c r="D39" s="2">
        <v>1</v>
      </c>
      <c r="E39" s="2">
        <v>0</v>
      </c>
      <c r="F39" s="2">
        <v>1</v>
      </c>
      <c r="G39" s="9" t="s">
        <v>95</v>
      </c>
      <c r="H39" s="9" t="s">
        <v>96</v>
      </c>
      <c r="I39" s="9" t="s">
        <v>95</v>
      </c>
      <c r="J39" s="11" t="s">
        <v>92</v>
      </c>
      <c r="K39" s="11" t="s">
        <v>92</v>
      </c>
      <c r="L39" s="11" t="s">
        <v>93</v>
      </c>
      <c r="M39" s="13" t="s">
        <v>92</v>
      </c>
      <c r="N39" s="13" t="s">
        <v>92</v>
      </c>
      <c r="O39" s="13" t="s">
        <v>93</v>
      </c>
      <c r="P39" s="2" t="s">
        <v>109</v>
      </c>
    </row>
    <row r="40" spans="2:16" customFormat="1" x14ac:dyDescent="0.2">
      <c r="B40" s="2"/>
      <c r="C40" s="2" t="s">
        <v>72</v>
      </c>
      <c r="D40" s="2">
        <v>0</v>
      </c>
      <c r="E40" s="2">
        <v>1</v>
      </c>
      <c r="F40" s="2">
        <v>0</v>
      </c>
      <c r="G40" s="9" t="s">
        <v>88</v>
      </c>
      <c r="H40" s="9" t="s">
        <v>88</v>
      </c>
      <c r="I40" s="9" t="s">
        <v>88</v>
      </c>
      <c r="J40" s="11" t="s">
        <v>88</v>
      </c>
      <c r="K40" s="11" t="s">
        <v>88</v>
      </c>
      <c r="L40" s="11" t="s">
        <v>88</v>
      </c>
      <c r="M40" s="14" t="s">
        <v>87</v>
      </c>
      <c r="N40" s="14" t="s">
        <v>87</v>
      </c>
      <c r="O40" s="14" t="s">
        <v>87</v>
      </c>
      <c r="P40" s="24" t="s">
        <v>110</v>
      </c>
    </row>
    <row r="41" spans="2:16" customFormat="1" x14ac:dyDescent="0.2">
      <c r="B41" s="2"/>
      <c r="C41" s="2" t="s">
        <v>72</v>
      </c>
      <c r="D41" s="2">
        <v>0</v>
      </c>
      <c r="E41" s="2">
        <v>1</v>
      </c>
      <c r="F41" s="2">
        <v>0</v>
      </c>
      <c r="G41" s="9" t="s">
        <v>90</v>
      </c>
      <c r="H41" s="9" t="s">
        <v>90</v>
      </c>
      <c r="I41" s="9" t="s">
        <v>90</v>
      </c>
      <c r="J41" s="11" t="s">
        <v>89</v>
      </c>
      <c r="K41" s="11" t="s">
        <v>90</v>
      </c>
      <c r="L41" s="11" t="s">
        <v>89</v>
      </c>
      <c r="M41" s="14" t="s">
        <v>87</v>
      </c>
      <c r="N41" s="14" t="s">
        <v>87</v>
      </c>
      <c r="O41" s="14" t="s">
        <v>87</v>
      </c>
      <c r="P41" s="24" t="s">
        <v>57</v>
      </c>
    </row>
    <row r="42" spans="2:16" customFormat="1" x14ac:dyDescent="0.2">
      <c r="B42" s="2"/>
      <c r="C42" s="2" t="s">
        <v>72</v>
      </c>
      <c r="D42" s="2">
        <v>1</v>
      </c>
      <c r="E42" s="2">
        <v>1</v>
      </c>
      <c r="F42" s="2">
        <v>0</v>
      </c>
      <c r="G42" s="9" t="s">
        <v>88</v>
      </c>
      <c r="H42" s="9" t="s">
        <v>88</v>
      </c>
      <c r="I42" s="9" t="s">
        <v>91</v>
      </c>
      <c r="J42" s="12" t="s">
        <v>88</v>
      </c>
      <c r="K42" s="11" t="s">
        <v>88</v>
      </c>
      <c r="L42" s="12" t="s">
        <v>91</v>
      </c>
      <c r="M42" s="14" t="s">
        <v>87</v>
      </c>
      <c r="N42" s="14" t="s">
        <v>87</v>
      </c>
      <c r="O42" s="14" t="s">
        <v>87</v>
      </c>
      <c r="P42" s="24" t="s">
        <v>61</v>
      </c>
    </row>
    <row r="43" spans="2:16" customFormat="1" x14ac:dyDescent="0.2">
      <c r="B43" s="2"/>
      <c r="C43" s="2" t="s">
        <v>74</v>
      </c>
      <c r="D43" s="2">
        <v>1</v>
      </c>
      <c r="E43" s="2">
        <v>0</v>
      </c>
      <c r="F43" s="2">
        <v>1</v>
      </c>
      <c r="G43" s="9" t="s">
        <v>88</v>
      </c>
      <c r="H43" s="9" t="s">
        <v>88</v>
      </c>
      <c r="I43" s="9" t="s">
        <v>88</v>
      </c>
      <c r="J43" s="11" t="s">
        <v>90</v>
      </c>
      <c r="K43" s="11" t="s">
        <v>89</v>
      </c>
      <c r="L43" s="11" t="s">
        <v>90</v>
      </c>
      <c r="M43" s="13" t="s">
        <v>90</v>
      </c>
      <c r="N43" s="13" t="s">
        <v>90</v>
      </c>
      <c r="O43" s="13" t="s">
        <v>90</v>
      </c>
      <c r="P43" s="24" t="s">
        <v>51</v>
      </c>
    </row>
    <row r="44" spans="2:16" customFormat="1" x14ac:dyDescent="0.2">
      <c r="B44" s="2"/>
      <c r="C44" s="2" t="s">
        <v>70</v>
      </c>
      <c r="D44" s="2">
        <v>1</v>
      </c>
      <c r="E44" s="2">
        <v>0</v>
      </c>
      <c r="F44" s="2">
        <v>1</v>
      </c>
      <c r="G44" s="10" t="s">
        <v>91</v>
      </c>
      <c r="H44" s="10" t="s">
        <v>88</v>
      </c>
      <c r="I44" s="10" t="s">
        <v>91</v>
      </c>
      <c r="J44" s="12" t="s">
        <v>88</v>
      </c>
      <c r="K44" s="12" t="s">
        <v>91</v>
      </c>
      <c r="L44" s="12" t="s">
        <v>91</v>
      </c>
      <c r="M44" s="14" t="s">
        <v>90</v>
      </c>
      <c r="N44" s="13" t="s">
        <v>90</v>
      </c>
      <c r="O44" s="13" t="s">
        <v>92</v>
      </c>
      <c r="P44" s="24" t="s">
        <v>45</v>
      </c>
    </row>
    <row r="45" spans="2:16" customFormat="1" x14ac:dyDescent="0.2">
      <c r="B45" s="2"/>
      <c r="C45" s="2" t="s">
        <v>70</v>
      </c>
      <c r="D45" s="2">
        <v>0</v>
      </c>
      <c r="E45" s="2">
        <v>0</v>
      </c>
      <c r="F45" s="2">
        <v>1</v>
      </c>
      <c r="G45" s="9" t="s">
        <v>93</v>
      </c>
      <c r="H45" s="9" t="s">
        <v>90</v>
      </c>
      <c r="I45" s="9" t="s">
        <v>89</v>
      </c>
      <c r="J45" s="11" t="s">
        <v>90</v>
      </c>
      <c r="K45" s="11" t="s">
        <v>89</v>
      </c>
      <c r="L45" s="11" t="s">
        <v>90</v>
      </c>
      <c r="M45" s="14" t="s">
        <v>88</v>
      </c>
      <c r="N45" s="14" t="s">
        <v>88</v>
      </c>
      <c r="O45" s="14" t="s">
        <v>88</v>
      </c>
      <c r="P45" s="24" t="s">
        <v>48</v>
      </c>
    </row>
    <row r="46" spans="2:16" customFormat="1" x14ac:dyDescent="0.2">
      <c r="B46" s="2"/>
      <c r="C46" s="2" t="s">
        <v>70</v>
      </c>
      <c r="D46" s="2">
        <v>0</v>
      </c>
      <c r="E46" s="2">
        <v>0</v>
      </c>
      <c r="F46" s="2">
        <v>1</v>
      </c>
      <c r="G46" s="9" t="s">
        <v>88</v>
      </c>
      <c r="H46" s="9" t="s">
        <v>88</v>
      </c>
      <c r="I46" s="9" t="s">
        <v>88</v>
      </c>
      <c r="J46" s="11" t="s">
        <v>89</v>
      </c>
      <c r="K46" s="11" t="s">
        <v>89</v>
      </c>
      <c r="L46" s="11" t="s">
        <v>88</v>
      </c>
      <c r="M46" s="14" t="s">
        <v>87</v>
      </c>
      <c r="N46" s="14" t="s">
        <v>88</v>
      </c>
      <c r="O46" s="14" t="s">
        <v>88</v>
      </c>
      <c r="P46" s="2" t="s">
        <v>64</v>
      </c>
    </row>
    <row r="47" spans="2:16" customFormat="1" x14ac:dyDescent="0.2">
      <c r="B47" s="2"/>
      <c r="C47" s="2" t="s">
        <v>73</v>
      </c>
      <c r="D47" s="2">
        <v>0</v>
      </c>
      <c r="E47" s="2">
        <v>1</v>
      </c>
      <c r="F47" s="2">
        <v>0</v>
      </c>
      <c r="G47" s="9" t="s">
        <v>94</v>
      </c>
      <c r="H47" s="9" t="s">
        <v>94</v>
      </c>
      <c r="I47" s="9" t="s">
        <v>94</v>
      </c>
      <c r="J47" s="12" t="s">
        <v>88</v>
      </c>
      <c r="K47" s="11" t="s">
        <v>88</v>
      </c>
      <c r="L47" s="11" t="s">
        <v>91</v>
      </c>
      <c r="M47" s="14" t="s">
        <v>87</v>
      </c>
      <c r="N47" s="14" t="s">
        <v>87</v>
      </c>
      <c r="O47" s="14" t="s">
        <v>88</v>
      </c>
      <c r="P47" s="2" t="s">
        <v>49</v>
      </c>
    </row>
    <row r="48" spans="2:16" customFormat="1" x14ac:dyDescent="0.2">
      <c r="B48" s="2"/>
      <c r="C48" s="2" t="s">
        <v>73</v>
      </c>
      <c r="D48" s="2">
        <v>0</v>
      </c>
      <c r="E48" s="2">
        <v>1</v>
      </c>
      <c r="F48" s="2">
        <v>0</v>
      </c>
      <c r="G48" s="9" t="s">
        <v>88</v>
      </c>
      <c r="H48" s="9" t="s">
        <v>88</v>
      </c>
      <c r="I48" s="9" t="s">
        <v>88</v>
      </c>
      <c r="J48" s="11" t="s">
        <v>88</v>
      </c>
      <c r="K48" s="11" t="s">
        <v>88</v>
      </c>
      <c r="L48" s="11" t="s">
        <v>88</v>
      </c>
      <c r="M48" s="13" t="s">
        <v>88</v>
      </c>
      <c r="N48" s="13" t="s">
        <v>88</v>
      </c>
      <c r="O48" s="13" t="s">
        <v>88</v>
      </c>
      <c r="P48" s="2" t="s">
        <v>50</v>
      </c>
    </row>
    <row r="49" spans="2:16" customFormat="1" x14ac:dyDescent="0.2">
      <c r="B49" s="2"/>
      <c r="C49" s="2" t="s">
        <v>73</v>
      </c>
      <c r="D49" s="2">
        <v>1</v>
      </c>
      <c r="E49" s="2">
        <v>1</v>
      </c>
      <c r="F49" s="2">
        <v>0</v>
      </c>
      <c r="G49" s="9" t="s">
        <v>91</v>
      </c>
      <c r="H49" s="9" t="s">
        <v>88</v>
      </c>
      <c r="I49" s="9" t="s">
        <v>91</v>
      </c>
      <c r="J49" s="11" t="s">
        <v>88</v>
      </c>
      <c r="K49" s="11" t="s">
        <v>88</v>
      </c>
      <c r="L49" s="11" t="s">
        <v>88</v>
      </c>
      <c r="M49" s="13" t="s">
        <v>90</v>
      </c>
      <c r="N49" s="13" t="s">
        <v>90</v>
      </c>
      <c r="O49" s="13" t="s">
        <v>90</v>
      </c>
      <c r="P49" s="2" t="s">
        <v>52</v>
      </c>
    </row>
    <row r="50" spans="2:16" customFormat="1" x14ac:dyDescent="0.2">
      <c r="B50" s="2"/>
      <c r="C50" s="2" t="s">
        <v>73</v>
      </c>
      <c r="D50" s="2">
        <v>1</v>
      </c>
      <c r="E50" s="2">
        <v>1</v>
      </c>
      <c r="F50" s="2">
        <v>0</v>
      </c>
      <c r="G50" s="9" t="s">
        <v>88</v>
      </c>
      <c r="H50" s="9" t="s">
        <v>88</v>
      </c>
      <c r="I50" s="9" t="s">
        <v>88</v>
      </c>
      <c r="J50" s="11" t="s">
        <v>88</v>
      </c>
      <c r="K50" s="11" t="s">
        <v>88</v>
      </c>
      <c r="L50" s="11" t="s">
        <v>88</v>
      </c>
      <c r="M50" s="13" t="s">
        <v>88</v>
      </c>
      <c r="N50" s="13" t="s">
        <v>88</v>
      </c>
      <c r="O50" s="13" t="s">
        <v>88</v>
      </c>
      <c r="P50" s="2" t="s">
        <v>111</v>
      </c>
    </row>
    <row r="51" spans="2:16" customFormat="1" x14ac:dyDescent="0.2">
      <c r="B51" s="2"/>
      <c r="C51" s="2" t="s">
        <v>69</v>
      </c>
      <c r="D51" s="2">
        <v>0</v>
      </c>
      <c r="E51" s="2">
        <v>0</v>
      </c>
      <c r="F51" s="2">
        <v>1</v>
      </c>
      <c r="G51" s="9" t="s">
        <v>88</v>
      </c>
      <c r="H51" s="9" t="s">
        <v>88</v>
      </c>
      <c r="I51" s="9" t="s">
        <v>88</v>
      </c>
      <c r="J51" s="11" t="s">
        <v>88</v>
      </c>
      <c r="K51" s="11" t="s">
        <v>88</v>
      </c>
      <c r="L51" s="11" t="s">
        <v>88</v>
      </c>
      <c r="M51" s="13" t="s">
        <v>90</v>
      </c>
      <c r="N51" s="13" t="s">
        <v>88</v>
      </c>
      <c r="O51" s="13" t="s">
        <v>88</v>
      </c>
      <c r="P51" s="2" t="s">
        <v>112</v>
      </c>
    </row>
    <row r="52" spans="2:16" customFormat="1" x14ac:dyDescent="0.2">
      <c r="B52" s="2"/>
      <c r="C52" s="16" t="s">
        <v>41</v>
      </c>
      <c r="D52" s="16">
        <v>0</v>
      </c>
      <c r="E52" s="16">
        <v>1</v>
      </c>
      <c r="F52" s="16">
        <v>0</v>
      </c>
      <c r="G52" s="17" t="s">
        <v>94</v>
      </c>
      <c r="H52" s="17" t="s">
        <v>88</v>
      </c>
      <c r="I52" s="17" t="s">
        <v>91</v>
      </c>
      <c r="J52" s="18" t="s">
        <v>90</v>
      </c>
      <c r="K52" s="18" t="s">
        <v>94</v>
      </c>
      <c r="L52" s="18" t="s">
        <v>94</v>
      </c>
      <c r="M52" s="19" t="s">
        <v>88</v>
      </c>
      <c r="N52" s="20" t="s">
        <v>87</v>
      </c>
      <c r="O52" s="19" t="s">
        <v>90</v>
      </c>
      <c r="P52" s="16" t="s">
        <v>41</v>
      </c>
    </row>
    <row r="53" spans="2:16" customFormat="1" x14ac:dyDescent="0.2"/>
    <row r="54" spans="2:16" customFormat="1" x14ac:dyDescent="0.2"/>
  </sheetData>
  <autoFilter ref="A1:O29" xr:uid="{914B8857-8C72-514E-BABA-170456E45672}">
    <filterColumn colId="0">
      <filters>
        <filter val="14"/>
      </filters>
    </filterColumn>
  </autoFilter>
  <mergeCells count="9">
    <mergeCell ref="P32:P34"/>
    <mergeCell ref="G33:I33"/>
    <mergeCell ref="J33:L33"/>
    <mergeCell ref="M33:O33"/>
    <mergeCell ref="G32:O32"/>
    <mergeCell ref="C32:C34"/>
    <mergeCell ref="D32:D34"/>
    <mergeCell ref="E32:E34"/>
    <mergeCell ref="F32:F34"/>
  </mergeCells>
  <conditionalFormatting sqref="G2:O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CE11-A19C-8D41-A94C-58B777002B49}">
  <dimension ref="A1:AA29"/>
  <sheetViews>
    <sheetView workbookViewId="0">
      <selection activeCell="J1" sqref="J1:R29"/>
    </sheetView>
  </sheetViews>
  <sheetFormatPr baseColWidth="10" defaultRowHeight="15" x14ac:dyDescent="0.2"/>
  <cols>
    <col min="1" max="1" width="9.6640625" style="3" bestFit="1" customWidth="1"/>
    <col min="2" max="9" width="9.6640625" bestFit="1" customWidth="1"/>
    <col min="10" max="10" width="9.6640625" style="3" bestFit="1" customWidth="1"/>
    <col min="11" max="11" width="9.6640625" bestFit="1" customWidth="1"/>
    <col min="12" max="12" width="9" bestFit="1" customWidth="1"/>
    <col min="13" max="18" width="9.6640625" bestFit="1" customWidth="1"/>
  </cols>
  <sheetData>
    <row r="1" spans="1:27" x14ac:dyDescent="0.2">
      <c r="A1" s="3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3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s="3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</row>
    <row r="2" spans="1:27" x14ac:dyDescent="0.2">
      <c r="A2" s="4">
        <v>2.3190984179939735</v>
      </c>
      <c r="B2" s="5">
        <v>2.0286576168929109</v>
      </c>
      <c r="C2" s="5">
        <v>1.0404829545454544</v>
      </c>
      <c r="D2" s="5">
        <v>1.7414714227176298</v>
      </c>
      <c r="E2" s="5">
        <v>0.51369863013698625</v>
      </c>
      <c r="F2" s="5">
        <v>1.0557624193987829</v>
      </c>
      <c r="G2" s="5">
        <v>0.70422535211267612</v>
      </c>
      <c r="H2" s="5">
        <v>0.19531250000000006</v>
      </c>
      <c r="I2" s="5">
        <v>0.35714285714285715</v>
      </c>
      <c r="J2" s="4">
        <v>0.43103448275862066</v>
      </c>
      <c r="K2" s="5">
        <v>0</v>
      </c>
      <c r="L2" s="5">
        <v>0.36231884057971014</v>
      </c>
      <c r="M2" s="5">
        <v>1.8123817405756335</v>
      </c>
      <c r="N2" s="5">
        <v>0.26595744680851069</v>
      </c>
      <c r="O2" s="5">
        <v>0.7526036936951811</v>
      </c>
      <c r="P2" s="5">
        <v>0.78125</v>
      </c>
      <c r="Q2" s="5">
        <v>0.18115942028985507</v>
      </c>
      <c r="R2" s="5">
        <v>0.35714285714285715</v>
      </c>
      <c r="S2" s="4">
        <v>0</v>
      </c>
      <c r="T2" s="5">
        <v>0</v>
      </c>
      <c r="U2" s="5">
        <v>0</v>
      </c>
      <c r="V2" s="5">
        <v>0</v>
      </c>
      <c r="W2" s="5">
        <v>0</v>
      </c>
      <c r="X2" s="5">
        <v>0.33783783783783783</v>
      </c>
      <c r="Y2" s="5">
        <v>0.3968253968253968</v>
      </c>
      <c r="Z2" s="5">
        <v>0.19230769230769229</v>
      </c>
      <c r="AA2" s="5">
        <v>0</v>
      </c>
    </row>
    <row r="3" spans="1:27" x14ac:dyDescent="0.2">
      <c r="A3" s="4">
        <v>3.5019371502367629</v>
      </c>
      <c r="B3" s="5">
        <v>11.13294548588666</v>
      </c>
      <c r="C3" s="5">
        <v>7.9726092258198422</v>
      </c>
      <c r="D3" s="5">
        <v>9.5788107797828062</v>
      </c>
      <c r="E3" s="5">
        <v>11.949819051041814</v>
      </c>
      <c r="F3" s="5">
        <v>6.4365957009497672</v>
      </c>
      <c r="G3" s="5">
        <v>5.2858771972468297</v>
      </c>
      <c r="H3" s="5">
        <v>9.1231913438452299</v>
      </c>
      <c r="I3" s="5">
        <v>4.5306171951816419</v>
      </c>
      <c r="J3" s="4">
        <v>1.2122844827586206</v>
      </c>
      <c r="K3" s="5">
        <v>5.8265389529719691</v>
      </c>
      <c r="L3" s="5">
        <v>4.2540871332626367</v>
      </c>
      <c r="M3" s="5">
        <v>8.7087149791321821</v>
      </c>
      <c r="N3" s="5">
        <v>8.6810170541763512</v>
      </c>
      <c r="O3" s="5">
        <v>6.6188459846582983</v>
      </c>
      <c r="P3" s="5">
        <v>5.2634591285907071</v>
      </c>
      <c r="Q3" s="5">
        <v>8.8526280077248281</v>
      </c>
      <c r="R3" s="5">
        <v>4.4245103517286974</v>
      </c>
      <c r="S3" s="4">
        <v>0.65789473684210531</v>
      </c>
      <c r="T3" s="5">
        <v>0.78125</v>
      </c>
      <c r="U3" s="5">
        <v>0</v>
      </c>
      <c r="V3" s="5">
        <v>0.86206896551724133</v>
      </c>
      <c r="W3" s="5">
        <v>3.0376344086021505</v>
      </c>
      <c r="X3" s="5">
        <v>5.1375832354093225</v>
      </c>
      <c r="Y3" s="5">
        <v>3.5547084002140181</v>
      </c>
      <c r="Z3" s="5">
        <v>8.7280701754385959</v>
      </c>
      <c r="AA3" s="5">
        <v>3.8064046197208317</v>
      </c>
    </row>
    <row r="4" spans="1:27" x14ac:dyDescent="0.2">
      <c r="A4" s="4">
        <v>7.2088068181818175</v>
      </c>
      <c r="B4" s="5"/>
      <c r="C4" s="5">
        <v>5.3642590286425902</v>
      </c>
      <c r="D4" s="5">
        <v>3.2675754133535277</v>
      </c>
      <c r="E4" s="5">
        <v>0.79545454545454541</v>
      </c>
      <c r="F4" s="5">
        <v>1.2987012987012987</v>
      </c>
      <c r="G4" s="5"/>
      <c r="H4" s="5">
        <v>5.8823529411764701</v>
      </c>
      <c r="I4" s="5">
        <v>1.1380145278450362</v>
      </c>
      <c r="J4" s="4">
        <v>0</v>
      </c>
      <c r="K4" s="5"/>
      <c r="L4" s="5">
        <v>6.25</v>
      </c>
      <c r="M4" s="5">
        <v>3.3325823119442441</v>
      </c>
      <c r="N4" s="5">
        <v>0.88836477987421381</v>
      </c>
      <c r="O4" s="5">
        <v>1.3698630136986301</v>
      </c>
      <c r="P4" s="5"/>
      <c r="Q4" s="5">
        <v>5.8823529411764701</v>
      </c>
      <c r="R4" s="5">
        <v>1.1380145278450362</v>
      </c>
      <c r="S4" s="4">
        <v>0</v>
      </c>
      <c r="T4" s="5"/>
      <c r="U4" s="5">
        <v>0</v>
      </c>
      <c r="V4" s="5">
        <v>2.7851458885941645</v>
      </c>
      <c r="W4" s="5">
        <v>0.93859649122807021</v>
      </c>
      <c r="X4" s="5">
        <v>1.3513513513513513</v>
      </c>
      <c r="Y4" s="5"/>
      <c r="Z4" s="5">
        <v>5.5555555555555554</v>
      </c>
      <c r="AA4" s="5">
        <v>0</v>
      </c>
    </row>
    <row r="5" spans="1:27" x14ac:dyDescent="0.2">
      <c r="A5" s="4">
        <v>0</v>
      </c>
      <c r="B5" s="5"/>
      <c r="C5" s="5">
        <v>0.19531249999999992</v>
      </c>
      <c r="D5" s="5">
        <v>0.35971223021582732</v>
      </c>
      <c r="E5" s="5">
        <v>0.68493150684931503</v>
      </c>
      <c r="F5" s="5">
        <v>1.7482517482517481</v>
      </c>
      <c r="G5" s="5"/>
      <c r="H5" s="5">
        <v>2.7163461538461542</v>
      </c>
      <c r="I5" s="5">
        <v>1.5280262373285629</v>
      </c>
      <c r="J5" s="4">
        <v>0</v>
      </c>
      <c r="K5" s="5"/>
      <c r="L5" s="5">
        <v>0</v>
      </c>
      <c r="M5" s="5">
        <v>0.41666666666666669</v>
      </c>
      <c r="N5" s="5">
        <v>1.0638297872340428</v>
      </c>
      <c r="O5" s="5">
        <v>2.4809160305343507</v>
      </c>
      <c r="P5" s="5"/>
      <c r="Q5" s="5">
        <v>2.4492753623188404</v>
      </c>
      <c r="R5" s="5">
        <v>2.4195575666163895</v>
      </c>
      <c r="S5" s="4">
        <v>0</v>
      </c>
      <c r="T5" s="5"/>
      <c r="U5" s="5">
        <v>0</v>
      </c>
      <c r="V5" s="5">
        <v>0</v>
      </c>
      <c r="W5" s="5">
        <v>0</v>
      </c>
      <c r="X5" s="5">
        <v>0.21739130434782608</v>
      </c>
      <c r="Y5" s="5"/>
      <c r="Z5" s="5">
        <v>0.76923076923076916</v>
      </c>
      <c r="AA5" s="5">
        <v>0</v>
      </c>
    </row>
    <row r="6" spans="1:27" x14ac:dyDescent="0.2">
      <c r="A6" s="4">
        <v>7.227722772277227</v>
      </c>
      <c r="B6" s="5"/>
      <c r="C6" s="5">
        <v>5.1988636363636358</v>
      </c>
      <c r="D6" s="5">
        <v>0</v>
      </c>
      <c r="E6" s="5">
        <v>0</v>
      </c>
      <c r="F6" s="5">
        <v>5.2288620470438651</v>
      </c>
      <c r="G6" s="5">
        <v>5.3349007032132114</v>
      </c>
      <c r="H6" s="5">
        <v>0.7782451923076924</v>
      </c>
      <c r="I6" s="5">
        <v>1.3975849731663685</v>
      </c>
      <c r="J6" s="4">
        <v>1.2526939655172413</v>
      </c>
      <c r="K6" s="5"/>
      <c r="L6" s="5">
        <v>1.0869565217391304</v>
      </c>
      <c r="M6" s="5">
        <v>0</v>
      </c>
      <c r="N6" s="5">
        <v>0</v>
      </c>
      <c r="O6" s="5">
        <v>4.4629704031070041</v>
      </c>
      <c r="P6" s="5">
        <v>5.1163816994409093</v>
      </c>
      <c r="Q6" s="5">
        <v>1.0724637681159419</v>
      </c>
      <c r="R6" s="5">
        <v>1.3009049773755654</v>
      </c>
      <c r="S6" s="4">
        <v>0</v>
      </c>
      <c r="T6" s="5"/>
      <c r="U6" s="5">
        <v>0</v>
      </c>
      <c r="V6" s="5">
        <v>0.46296296296296302</v>
      </c>
      <c r="W6" s="5">
        <v>0.5376344086021505</v>
      </c>
      <c r="X6" s="5">
        <v>13.954285427996247</v>
      </c>
      <c r="Y6" s="5">
        <v>9.3837375240714014</v>
      </c>
      <c r="Z6" s="5">
        <v>3.9498987854251006</v>
      </c>
      <c r="AA6" s="5">
        <v>7.7869646663652219</v>
      </c>
    </row>
    <row r="7" spans="1:27" x14ac:dyDescent="0.2">
      <c r="A7" s="4"/>
      <c r="B7" s="5"/>
      <c r="C7" s="5"/>
      <c r="D7" s="5"/>
      <c r="E7" s="5"/>
      <c r="F7" s="5"/>
      <c r="G7" s="5"/>
      <c r="H7" s="5">
        <v>0.90082908163265318</v>
      </c>
      <c r="I7" s="5"/>
      <c r="J7" s="4"/>
      <c r="K7" s="5"/>
      <c r="L7" s="5"/>
      <c r="M7" s="5"/>
      <c r="N7" s="5"/>
      <c r="O7" s="5"/>
      <c r="P7" s="5"/>
      <c r="Q7" s="5">
        <v>0.87252292221236316</v>
      </c>
      <c r="R7" s="5"/>
      <c r="S7" s="4"/>
      <c r="T7" s="5"/>
      <c r="U7" s="5"/>
      <c r="V7" s="5"/>
      <c r="W7" s="5"/>
      <c r="X7" s="5"/>
      <c r="Y7" s="5"/>
      <c r="Z7" s="5">
        <v>0.38461538461538458</v>
      </c>
      <c r="AA7" s="5"/>
    </row>
    <row r="8" spans="1:27" x14ac:dyDescent="0.2">
      <c r="A8" s="4">
        <v>0</v>
      </c>
      <c r="B8" s="5">
        <v>0</v>
      </c>
      <c r="C8" s="5">
        <v>0</v>
      </c>
      <c r="D8" s="5">
        <v>0.85616438356164359</v>
      </c>
      <c r="E8" s="5">
        <v>0.16778523489932881</v>
      </c>
      <c r="F8" s="5">
        <v>3.4806102987921164</v>
      </c>
      <c r="G8" s="5">
        <v>2.2625519667412854</v>
      </c>
      <c r="H8" s="5">
        <v>1.346153846153846</v>
      </c>
      <c r="I8" s="5">
        <v>2.4746571258199168</v>
      </c>
      <c r="J8" s="4">
        <v>0</v>
      </c>
      <c r="K8" s="5">
        <v>0</v>
      </c>
      <c r="L8" s="5">
        <v>0</v>
      </c>
      <c r="M8" s="5">
        <v>0.70422535211267612</v>
      </c>
      <c r="N8" s="5">
        <v>0.15923566878980888</v>
      </c>
      <c r="O8" s="5">
        <v>1.4212535154680594</v>
      </c>
      <c r="P8" s="5">
        <v>1.8483709273182956</v>
      </c>
      <c r="Q8" s="5">
        <v>1.1666666666666665</v>
      </c>
      <c r="R8" s="5">
        <v>2.114756158873806</v>
      </c>
      <c r="S8" s="4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x14ac:dyDescent="0.2">
      <c r="A9" s="4">
        <v>15.229981557938402</v>
      </c>
      <c r="B9" s="5">
        <v>23.320135746606333</v>
      </c>
      <c r="C9" s="5">
        <v>11.026278409090907</v>
      </c>
      <c r="D9" s="5">
        <v>14.643539962550506</v>
      </c>
      <c r="E9" s="5">
        <v>13.132687544749693</v>
      </c>
      <c r="F9" s="5">
        <v>22.487112170126522</v>
      </c>
      <c r="G9" s="5">
        <v>13.243456193863999</v>
      </c>
      <c r="H9" s="5">
        <v>2.1892783555729984</v>
      </c>
      <c r="I9" s="5">
        <v>7.4948166404611021</v>
      </c>
      <c r="J9" s="4">
        <v>1.7241379310344827</v>
      </c>
      <c r="K9" s="5">
        <v>12.799107656624852</v>
      </c>
      <c r="L9" s="5">
        <v>3.6739130434782608</v>
      </c>
      <c r="M9" s="5">
        <v>15.383063219499647</v>
      </c>
      <c r="N9" s="5">
        <v>14.696116209436774</v>
      </c>
      <c r="O9" s="5">
        <v>23.612023425517869</v>
      </c>
      <c r="P9" s="5">
        <v>13.640923221515326</v>
      </c>
      <c r="Q9" s="5">
        <v>2.0928719313812478</v>
      </c>
      <c r="R9" s="5">
        <v>7.9671820923067163</v>
      </c>
      <c r="S9" s="4">
        <v>0</v>
      </c>
      <c r="T9" s="5">
        <v>0</v>
      </c>
      <c r="U9" s="5">
        <v>0</v>
      </c>
      <c r="V9" s="5">
        <v>16.440334940056854</v>
      </c>
      <c r="W9" s="5">
        <v>13.433864345145635</v>
      </c>
      <c r="X9" s="5">
        <v>24.519978775539947</v>
      </c>
      <c r="Y9" s="5">
        <v>13.755046387539988</v>
      </c>
      <c r="Z9" s="5">
        <v>2.1676788124156539</v>
      </c>
      <c r="AA9" s="5">
        <v>8.9614604119313999</v>
      </c>
    </row>
    <row r="10" spans="1:27" x14ac:dyDescent="0.2">
      <c r="A10" s="4"/>
      <c r="B10" s="5">
        <v>0</v>
      </c>
      <c r="C10" s="5"/>
      <c r="D10" s="5"/>
      <c r="E10" s="5"/>
      <c r="F10" s="5"/>
      <c r="G10" s="5"/>
      <c r="H10" s="5"/>
      <c r="I10" s="5"/>
      <c r="J10" s="4"/>
      <c r="K10" s="5">
        <v>0</v>
      </c>
      <c r="L10" s="5"/>
      <c r="M10" s="5"/>
      <c r="N10" s="5"/>
      <c r="O10" s="5"/>
      <c r="P10" s="5"/>
      <c r="Q10" s="5"/>
      <c r="R10" s="5"/>
      <c r="S10" s="4"/>
      <c r="T10" s="5">
        <v>0</v>
      </c>
      <c r="U10" s="5"/>
      <c r="V10" s="5"/>
      <c r="W10" s="5"/>
      <c r="X10" s="5"/>
      <c r="Y10" s="5"/>
      <c r="Z10" s="5"/>
      <c r="AA10" s="5"/>
    </row>
    <row r="11" spans="1:27" x14ac:dyDescent="0.2">
      <c r="A11" s="4"/>
      <c r="B11" s="5">
        <v>0</v>
      </c>
      <c r="C11" s="5">
        <v>0.37878787878787878</v>
      </c>
      <c r="D11" s="5"/>
      <c r="E11" s="5"/>
      <c r="F11" s="5"/>
      <c r="G11" s="5"/>
      <c r="H11" s="5"/>
      <c r="I11" s="5"/>
      <c r="J11" s="4"/>
      <c r="K11" s="5">
        <v>0</v>
      </c>
      <c r="L11" s="5">
        <v>0</v>
      </c>
      <c r="M11" s="5"/>
      <c r="N11" s="5"/>
      <c r="O11" s="5"/>
      <c r="P11" s="5"/>
      <c r="Q11" s="5"/>
      <c r="R11" s="5"/>
      <c r="S11" s="4"/>
      <c r="T11" s="5">
        <v>0</v>
      </c>
      <c r="U11" s="5">
        <v>0</v>
      </c>
      <c r="V11" s="5"/>
      <c r="W11" s="5"/>
      <c r="X11" s="5"/>
      <c r="Y11" s="5"/>
      <c r="Z11" s="5"/>
      <c r="AA11" s="5"/>
    </row>
    <row r="12" spans="1:27" x14ac:dyDescent="0.2">
      <c r="A12" s="4">
        <v>1.3947481704692208</v>
      </c>
      <c r="B12" s="5">
        <v>5.8872549019607838</v>
      </c>
      <c r="C12" s="5">
        <v>3.5156249999999987</v>
      </c>
      <c r="D12" s="5">
        <v>5.5669163299497377</v>
      </c>
      <c r="E12" s="5">
        <v>4.5991541785418768</v>
      </c>
      <c r="F12" s="5">
        <v>4.6249205340114425</v>
      </c>
      <c r="G12" s="5">
        <v>6.3292825924741507</v>
      </c>
      <c r="H12" s="5">
        <v>1.7548076923076927</v>
      </c>
      <c r="I12" s="5">
        <v>6.9394752534287427</v>
      </c>
      <c r="J12" s="4">
        <v>1.171875</v>
      </c>
      <c r="K12" s="5">
        <v>2.3648648648648645</v>
      </c>
      <c r="L12" s="5">
        <v>0</v>
      </c>
      <c r="M12" s="5">
        <v>4.759389671361502</v>
      </c>
      <c r="N12" s="5">
        <v>3.2423092559967479</v>
      </c>
      <c r="O12" s="5">
        <v>3.6142359716084096</v>
      </c>
      <c r="P12" s="5">
        <v>6.030701754385964</v>
      </c>
      <c r="Q12" s="5">
        <v>1.6159420289855073</v>
      </c>
      <c r="R12" s="5">
        <v>5.6623931623931618</v>
      </c>
      <c r="S12" s="4">
        <v>0</v>
      </c>
      <c r="T12" s="5">
        <v>0</v>
      </c>
      <c r="U12" s="5">
        <v>0</v>
      </c>
      <c r="V12" s="5">
        <v>0.23148148148148151</v>
      </c>
      <c r="W12" s="5">
        <v>0.1773049645390071</v>
      </c>
      <c r="X12" s="5">
        <v>0.21739130434782608</v>
      </c>
      <c r="Y12" s="5">
        <v>3.6516853932584263</v>
      </c>
      <c r="Z12" s="5">
        <v>0.93370445344129549</v>
      </c>
      <c r="AA12" s="5">
        <v>0</v>
      </c>
    </row>
    <row r="13" spans="1:27" x14ac:dyDescent="0.2">
      <c r="A13" s="4"/>
      <c r="B13" s="5">
        <v>0.49019607843137253</v>
      </c>
      <c r="C13" s="5">
        <v>0.22727272727272727</v>
      </c>
      <c r="D13" s="5"/>
      <c r="E13" s="5"/>
      <c r="F13" s="5">
        <v>0.41322314049586778</v>
      </c>
      <c r="G13" s="5">
        <v>0.5263298155846925</v>
      </c>
      <c r="H13" s="5">
        <v>0.38461538461538458</v>
      </c>
      <c r="I13" s="5">
        <v>1.1217948717948718</v>
      </c>
      <c r="J13" s="4"/>
      <c r="K13" s="5">
        <v>0.33783783783783783</v>
      </c>
      <c r="L13" s="5">
        <v>0</v>
      </c>
      <c r="M13" s="5"/>
      <c r="N13" s="5"/>
      <c r="O13" s="5">
        <v>0.43859649122807015</v>
      </c>
      <c r="P13" s="5">
        <v>0.51691729323308266</v>
      </c>
      <c r="Q13" s="5">
        <v>0.33333333333333331</v>
      </c>
      <c r="R13" s="5">
        <v>1.3071895424836601</v>
      </c>
      <c r="S13" s="4"/>
      <c r="T13" s="5">
        <v>0</v>
      </c>
      <c r="U13" s="5">
        <v>0</v>
      </c>
      <c r="V13" s="5"/>
      <c r="W13" s="5"/>
      <c r="X13" s="5">
        <v>0.21739130434782608</v>
      </c>
      <c r="Y13" s="5">
        <v>0</v>
      </c>
      <c r="Z13" s="5">
        <v>0</v>
      </c>
      <c r="AA13" s="5">
        <v>0.22123893805309736</v>
      </c>
    </row>
    <row r="14" spans="1:27" x14ac:dyDescent="0.2">
      <c r="A14" s="4">
        <v>7.5226000860955651</v>
      </c>
      <c r="B14" s="5">
        <v>5.4950980392156854</v>
      </c>
      <c r="C14" s="5">
        <v>11.154119318181815</v>
      </c>
      <c r="D14" s="5">
        <v>5.3427121316645305</v>
      </c>
      <c r="E14" s="5">
        <v>5.0404523306058646</v>
      </c>
      <c r="F14" s="5">
        <v>7.4062301335028593</v>
      </c>
      <c r="G14" s="5">
        <v>4.2999147212450683</v>
      </c>
      <c r="H14" s="5">
        <v>1.3551682692307692</v>
      </c>
      <c r="I14" s="5">
        <v>5.7170542635658919</v>
      </c>
      <c r="J14" s="4">
        <v>3.3674568965517246</v>
      </c>
      <c r="K14" s="5">
        <v>5.28169014084507</v>
      </c>
      <c r="L14" s="5">
        <v>8.5217391304347814</v>
      </c>
      <c r="M14" s="5">
        <v>8.8736413917293717</v>
      </c>
      <c r="N14" s="5">
        <v>5.8238469530650034</v>
      </c>
      <c r="O14" s="5">
        <v>8.7669077273335994</v>
      </c>
      <c r="P14" s="5">
        <v>3.7907268170426058</v>
      </c>
      <c r="Q14" s="5">
        <v>3.9275362318840576</v>
      </c>
      <c r="R14" s="5">
        <v>5.3293112116641517</v>
      </c>
      <c r="S14" s="4">
        <v>25.328947368421051</v>
      </c>
      <c r="T14" s="5">
        <v>13.995535714285714</v>
      </c>
      <c r="U14" s="5">
        <v>33.151700087183954</v>
      </c>
      <c r="V14" s="5">
        <v>15.006128208297286</v>
      </c>
      <c r="W14" s="5">
        <v>12.706016929764356</v>
      </c>
      <c r="X14" s="5">
        <v>5.8323085471720457</v>
      </c>
      <c r="Y14" s="5">
        <v>3.9556962025316453</v>
      </c>
      <c r="Z14" s="5">
        <v>0.96153846153846145</v>
      </c>
      <c r="AA14" s="5">
        <v>0.40372068987791487</v>
      </c>
    </row>
    <row r="15" spans="1:27" x14ac:dyDescent="0.2">
      <c r="A15" s="4">
        <v>0</v>
      </c>
      <c r="B15" s="5"/>
      <c r="C15" s="5">
        <v>0</v>
      </c>
      <c r="D15" s="5">
        <v>0.17123287671232873</v>
      </c>
      <c r="E15" s="5">
        <v>0.16778523489932881</v>
      </c>
      <c r="F15" s="5">
        <v>0.38143674507310865</v>
      </c>
      <c r="G15" s="5">
        <v>2.2758767721991262</v>
      </c>
      <c r="H15" s="5">
        <v>0.38762019230769235</v>
      </c>
      <c r="I15" s="5">
        <v>4.7443351222420986</v>
      </c>
      <c r="J15" s="4">
        <v>0</v>
      </c>
      <c r="K15" s="5"/>
      <c r="L15" s="5">
        <v>0</v>
      </c>
      <c r="M15" s="5">
        <v>0</v>
      </c>
      <c r="N15" s="5">
        <v>0.15923566878980888</v>
      </c>
      <c r="O15" s="5">
        <v>0.8771929824561403</v>
      </c>
      <c r="P15" s="5">
        <v>2.3417919799498743</v>
      </c>
      <c r="Q15" s="5">
        <v>0.34782608695652173</v>
      </c>
      <c r="R15" s="5">
        <v>4.8579688285570626</v>
      </c>
      <c r="S15" s="4">
        <v>0</v>
      </c>
      <c r="T15" s="5"/>
      <c r="U15" s="5">
        <v>0</v>
      </c>
      <c r="V15" s="5">
        <v>0</v>
      </c>
      <c r="W15" s="5">
        <v>0</v>
      </c>
      <c r="X15" s="5">
        <v>0</v>
      </c>
      <c r="Y15" s="5">
        <v>0.43912672450576024</v>
      </c>
      <c r="Z15" s="5">
        <v>0</v>
      </c>
      <c r="AA15" s="5">
        <v>0.76868419352754991</v>
      </c>
    </row>
    <row r="16" spans="1:27" x14ac:dyDescent="0.2">
      <c r="A16" s="4">
        <v>17.233871145266701</v>
      </c>
      <c r="B16" s="5">
        <v>17.077138547726783</v>
      </c>
      <c r="C16" s="5">
        <v>11.322125363221254</v>
      </c>
      <c r="D16" s="5">
        <v>17.576904590242727</v>
      </c>
      <c r="E16" s="5">
        <v>19.087047035585233</v>
      </c>
      <c r="F16" s="5">
        <v>15.935499906791772</v>
      </c>
      <c r="G16" s="5">
        <v>19.627780781413705</v>
      </c>
      <c r="H16" s="5">
        <v>21.44982872956875</v>
      </c>
      <c r="I16" s="5">
        <v>17.769128618064368</v>
      </c>
      <c r="J16" s="4">
        <v>11.565563725490197</v>
      </c>
      <c r="K16" s="5">
        <v>3.6711711711711712</v>
      </c>
      <c r="L16" s="5">
        <v>4.6112804878048781</v>
      </c>
      <c r="M16" s="5">
        <v>18.572145441744436</v>
      </c>
      <c r="N16" s="5">
        <v>22.9500352010337</v>
      </c>
      <c r="O16" s="5">
        <v>16.370939802807143</v>
      </c>
      <c r="P16" s="5">
        <v>22.081043956043956</v>
      </c>
      <c r="Q16" s="5">
        <v>20.814960766915462</v>
      </c>
      <c r="R16" s="5">
        <v>18.296812858128909</v>
      </c>
      <c r="S16" s="4">
        <v>0</v>
      </c>
      <c r="T16" s="5">
        <v>0</v>
      </c>
      <c r="U16" s="5">
        <v>0</v>
      </c>
      <c r="V16" s="5">
        <v>14.157824933687003</v>
      </c>
      <c r="W16" s="5">
        <v>24.38876446435237</v>
      </c>
      <c r="X16" s="5">
        <v>18.083627105366233</v>
      </c>
      <c r="Y16" s="5">
        <v>22.425971971066907</v>
      </c>
      <c r="Z16" s="5">
        <v>24.267459514170042</v>
      </c>
      <c r="AA16" s="5">
        <v>27.461334562447384</v>
      </c>
    </row>
    <row r="17" spans="1:27" x14ac:dyDescent="0.2">
      <c r="A17" s="4">
        <v>0</v>
      </c>
      <c r="B17" s="5"/>
      <c r="C17" s="5"/>
      <c r="D17" s="5"/>
      <c r="E17" s="5"/>
      <c r="F17" s="5">
        <v>0.64935064935064934</v>
      </c>
      <c r="G17" s="5">
        <v>0.70422535211267612</v>
      </c>
      <c r="H17" s="5">
        <v>0</v>
      </c>
      <c r="I17" s="5">
        <v>0.7142857142857143</v>
      </c>
      <c r="J17" s="4">
        <v>0</v>
      </c>
      <c r="K17" s="5"/>
      <c r="L17" s="5"/>
      <c r="M17" s="5"/>
      <c r="N17" s="5"/>
      <c r="O17" s="5">
        <v>0.87577120150580356</v>
      </c>
      <c r="P17" s="5">
        <v>0.78125</v>
      </c>
      <c r="Q17" s="5">
        <v>0</v>
      </c>
      <c r="R17" s="5">
        <v>0.7142857142857143</v>
      </c>
      <c r="S17" s="4">
        <v>0</v>
      </c>
      <c r="T17" s="5"/>
      <c r="U17" s="5"/>
      <c r="V17" s="5"/>
      <c r="W17" s="5"/>
      <c r="X17" s="5">
        <v>0</v>
      </c>
      <c r="Y17" s="5">
        <v>1.1904761904761905</v>
      </c>
      <c r="Z17" s="5">
        <v>1.9444444444444449</v>
      </c>
      <c r="AA17" s="5">
        <v>1.1904761904761905</v>
      </c>
    </row>
    <row r="18" spans="1:27" x14ac:dyDescent="0.2">
      <c r="A18" s="4">
        <v>5.3256497524752477</v>
      </c>
      <c r="B18" s="5">
        <v>2.3076923076923079</v>
      </c>
      <c r="C18" s="5"/>
      <c r="D18" s="5">
        <v>3.1929824561403506</v>
      </c>
      <c r="E18" s="5">
        <v>1.2121212121212122</v>
      </c>
      <c r="F18" s="5">
        <v>2.6230348598769648</v>
      </c>
      <c r="G18" s="5"/>
      <c r="H18" s="5">
        <v>4.8439375750300124</v>
      </c>
      <c r="I18" s="5">
        <v>3.5472154963680387</v>
      </c>
      <c r="J18" s="4">
        <v>7.7380952380952381</v>
      </c>
      <c r="K18" s="5">
        <v>2.9069767441860463</v>
      </c>
      <c r="L18" s="5"/>
      <c r="M18" s="5">
        <v>3.2203797164143229</v>
      </c>
      <c r="N18" s="5">
        <v>1.3600628930817611</v>
      </c>
      <c r="O18" s="5">
        <v>2.6329834549012632</v>
      </c>
      <c r="P18" s="5"/>
      <c r="Q18" s="5">
        <v>4.8439375750300124</v>
      </c>
      <c r="R18" s="5">
        <v>3.5472154963680387</v>
      </c>
      <c r="S18" s="4">
        <v>9.0909090909090917</v>
      </c>
      <c r="T18" s="5">
        <v>1.5151515151515151</v>
      </c>
      <c r="U18" s="5"/>
      <c r="V18" s="5">
        <v>3.2161803713527854</v>
      </c>
      <c r="W18" s="5">
        <v>1.3157894736842104</v>
      </c>
      <c r="X18" s="5">
        <v>3.1756756756756754</v>
      </c>
      <c r="Y18" s="5"/>
      <c r="Z18" s="5">
        <v>4.1319444444444438</v>
      </c>
      <c r="AA18" s="5">
        <v>2.1551724137931036</v>
      </c>
    </row>
    <row r="19" spans="1:27" x14ac:dyDescent="0.2">
      <c r="A19" s="4">
        <v>0.49504950495049499</v>
      </c>
      <c r="B19" s="5">
        <v>0.24509803921568626</v>
      </c>
      <c r="C19" s="5">
        <v>1.0286458333333333</v>
      </c>
      <c r="D19" s="5">
        <v>2.3698630136986298</v>
      </c>
      <c r="E19" s="5">
        <v>0.16778523489932881</v>
      </c>
      <c r="F19" s="5">
        <v>0.34965034965034958</v>
      </c>
      <c r="G19" s="5">
        <v>0.62893081761006275</v>
      </c>
      <c r="H19" s="5">
        <v>0.78125000000000022</v>
      </c>
      <c r="I19" s="5">
        <v>0.64102564102564097</v>
      </c>
      <c r="J19" s="4">
        <v>0.86206896551724133</v>
      </c>
      <c r="K19" s="5">
        <v>0.33783783783783783</v>
      </c>
      <c r="L19" s="5">
        <v>1.9720749381406857</v>
      </c>
      <c r="M19" s="5">
        <v>2.4358479644993247</v>
      </c>
      <c r="N19" s="5">
        <v>0.15923566878980888</v>
      </c>
      <c r="O19" s="5">
        <v>0.38167938931297707</v>
      </c>
      <c r="P19" s="5">
        <v>0.59523809523809512</v>
      </c>
      <c r="Q19" s="5">
        <v>0.72463768115942029</v>
      </c>
      <c r="R19" s="5">
        <v>0.65359477124183007</v>
      </c>
      <c r="S19" s="4">
        <v>0</v>
      </c>
      <c r="T19" s="5">
        <v>0</v>
      </c>
      <c r="U19" s="5">
        <v>0</v>
      </c>
      <c r="V19" s="5">
        <v>2.4824393358876113</v>
      </c>
      <c r="W19" s="5">
        <v>0</v>
      </c>
      <c r="X19" s="5">
        <v>0.38759689922480622</v>
      </c>
      <c r="Y19" s="5">
        <v>0.4746835443037975</v>
      </c>
      <c r="Z19" s="5">
        <v>0.38461538461538458</v>
      </c>
      <c r="AA19" s="5">
        <v>0.58620244170273239</v>
      </c>
    </row>
    <row r="20" spans="1:27" x14ac:dyDescent="0.2">
      <c r="A20" s="4">
        <v>1.5820060266896256</v>
      </c>
      <c r="B20" s="5">
        <v>3.0090497737556561</v>
      </c>
      <c r="C20" s="5">
        <v>1.1363636363636362</v>
      </c>
      <c r="D20" s="5">
        <v>1.2851192730026506</v>
      </c>
      <c r="E20" s="5">
        <v>0</v>
      </c>
      <c r="F20" s="5">
        <v>2.1485093853514905</v>
      </c>
      <c r="G20" s="5">
        <v>2.74282869195219</v>
      </c>
      <c r="H20" s="5">
        <v>2.6108243778280542</v>
      </c>
      <c r="I20" s="5">
        <v>4.8564920495350137</v>
      </c>
      <c r="J20" s="4">
        <v>0.390625</v>
      </c>
      <c r="K20" s="5">
        <v>2.8603603603603602</v>
      </c>
      <c r="L20" s="5">
        <v>1</v>
      </c>
      <c r="M20" s="5">
        <v>1.1235279980773851</v>
      </c>
      <c r="N20" s="5">
        <v>0</v>
      </c>
      <c r="O20" s="5">
        <v>2.1388916427084368</v>
      </c>
      <c r="P20" s="5">
        <v>3.0019459706959708</v>
      </c>
      <c r="Q20" s="5">
        <v>1.7941176470588234</v>
      </c>
      <c r="R20" s="5">
        <v>4.7511890458051971</v>
      </c>
      <c r="S20" s="4">
        <v>23.125483746130026</v>
      </c>
      <c r="T20" s="5">
        <v>34.239718614718612</v>
      </c>
      <c r="U20" s="5">
        <v>39.821272885789014</v>
      </c>
      <c r="V20" s="5">
        <v>0.43103448275862066</v>
      </c>
      <c r="W20" s="5">
        <v>0.3546099290780142</v>
      </c>
      <c r="X20" s="5">
        <v>1.443798449612403</v>
      </c>
      <c r="Y20" s="5">
        <v>3.1934398231866581</v>
      </c>
      <c r="Z20" s="5">
        <v>0.93567251461988299</v>
      </c>
      <c r="AA20" s="5">
        <v>4.5682540672506118</v>
      </c>
    </row>
    <row r="21" spans="1:27" x14ac:dyDescent="0.2">
      <c r="A21" s="4">
        <v>2.8562204046491608</v>
      </c>
      <c r="B21" s="5">
        <v>2.2107843137254899</v>
      </c>
      <c r="C21" s="5">
        <v>0.90909090909090906</v>
      </c>
      <c r="D21" s="5">
        <v>3.725238986892677</v>
      </c>
      <c r="E21" s="5">
        <v>3.7671232876712328</v>
      </c>
      <c r="F21" s="5">
        <v>1.080737444373808</v>
      </c>
      <c r="G21" s="5">
        <v>2.4161250414758033</v>
      </c>
      <c r="H21" s="5">
        <v>11.862919446624804</v>
      </c>
      <c r="I21" s="5">
        <v>1.2956810631229236</v>
      </c>
      <c r="J21" s="4">
        <v>3.90625</v>
      </c>
      <c r="K21" s="5">
        <v>1.0135135135135134</v>
      </c>
      <c r="L21" s="5">
        <v>0.5</v>
      </c>
      <c r="M21" s="5">
        <v>4.1813380281690131</v>
      </c>
      <c r="N21" s="5">
        <v>3.9893617021276593</v>
      </c>
      <c r="O21" s="5">
        <v>1.5551761082094548</v>
      </c>
      <c r="P21" s="5">
        <v>2.4426300125313283</v>
      </c>
      <c r="Q21" s="5">
        <v>10.94232475598935</v>
      </c>
      <c r="R21" s="5">
        <v>1.0347985347985347</v>
      </c>
      <c r="S21" s="4">
        <v>0</v>
      </c>
      <c r="T21" s="5">
        <v>0.7142857142857143</v>
      </c>
      <c r="U21" s="5">
        <v>0</v>
      </c>
      <c r="V21" s="5">
        <v>1.4710274790919953</v>
      </c>
      <c r="W21" s="5">
        <v>0.26881720430107525</v>
      </c>
      <c r="X21" s="5">
        <v>0.60498820357263228</v>
      </c>
      <c r="Y21" s="5">
        <v>1.9595476269491345</v>
      </c>
      <c r="Z21" s="5">
        <v>7.0799595141700395</v>
      </c>
      <c r="AA21" s="5">
        <v>0.36496350364963503</v>
      </c>
    </row>
    <row r="22" spans="1:27" x14ac:dyDescent="0.2">
      <c r="A22" s="4">
        <v>0</v>
      </c>
      <c r="B22" s="5"/>
      <c r="C22" s="5"/>
      <c r="D22" s="5">
        <v>1.7985611510791366</v>
      </c>
      <c r="E22" s="5">
        <v>1.0239496184609727</v>
      </c>
      <c r="F22" s="5">
        <v>3.6872218690400502</v>
      </c>
      <c r="G22" s="5">
        <v>2.9594392921863344</v>
      </c>
      <c r="H22" s="5">
        <v>1.7548076923076927</v>
      </c>
      <c r="I22" s="5">
        <v>1.4982110912343471</v>
      </c>
      <c r="J22" s="4">
        <v>0</v>
      </c>
      <c r="K22" s="5"/>
      <c r="L22" s="5"/>
      <c r="M22" s="5">
        <v>0.625</v>
      </c>
      <c r="N22" s="5">
        <v>0.69115056240683026</v>
      </c>
      <c r="O22" s="5">
        <v>1.2873309227266638</v>
      </c>
      <c r="P22" s="5">
        <v>3.3051378446115285</v>
      </c>
      <c r="Q22" s="5">
        <v>2.7826086956521738</v>
      </c>
      <c r="R22" s="5">
        <v>2.4164152840623427</v>
      </c>
      <c r="S22" s="4">
        <v>0</v>
      </c>
      <c r="T22" s="5"/>
      <c r="U22" s="5"/>
      <c r="V22" s="5">
        <v>0</v>
      </c>
      <c r="W22" s="5">
        <v>0.1773049645390071</v>
      </c>
      <c r="X22" s="5">
        <v>0.43478260869565216</v>
      </c>
      <c r="Y22" s="5">
        <v>10.839496515431659</v>
      </c>
      <c r="Z22" s="5">
        <v>13.061740890688258</v>
      </c>
      <c r="AA22" s="5">
        <v>18.16743104450617</v>
      </c>
    </row>
    <row r="23" spans="1:27" x14ac:dyDescent="0.2">
      <c r="A23" s="4">
        <v>0.93626482213438744</v>
      </c>
      <c r="B23" s="5">
        <v>1.7303921568627449</v>
      </c>
      <c r="C23" s="5">
        <v>0.68181818181818177</v>
      </c>
      <c r="D23" s="5">
        <v>6.9403090361164566</v>
      </c>
      <c r="E23" s="5">
        <v>4.9174864392755344</v>
      </c>
      <c r="F23" s="5">
        <v>6.3125271857329261</v>
      </c>
      <c r="G23" s="5">
        <v>4.3272075986311282</v>
      </c>
      <c r="H23" s="5">
        <v>6.1989182692307683</v>
      </c>
      <c r="I23" s="5">
        <v>8.8103612325133813</v>
      </c>
      <c r="J23" s="4">
        <v>0</v>
      </c>
      <c r="K23" s="5">
        <v>0.33783783783783783</v>
      </c>
      <c r="L23" s="5">
        <v>0</v>
      </c>
      <c r="M23" s="5">
        <v>4.8578580954605304</v>
      </c>
      <c r="N23" s="5">
        <v>3.7725301531372812</v>
      </c>
      <c r="O23" s="5">
        <v>5.4484537158301718</v>
      </c>
      <c r="P23" s="5">
        <v>5.0625361480624633</v>
      </c>
      <c r="Q23" s="5">
        <v>5.5507246376811583</v>
      </c>
      <c r="R23" s="5">
        <v>9.1864120702605234</v>
      </c>
      <c r="S23" s="4">
        <v>0</v>
      </c>
      <c r="T23" s="5">
        <v>0</v>
      </c>
      <c r="U23" s="5">
        <v>0</v>
      </c>
      <c r="V23" s="5">
        <v>1.6407119021134595</v>
      </c>
      <c r="W23" s="5">
        <v>2.4021962937542893</v>
      </c>
      <c r="X23" s="5">
        <v>1.6611897539602292</v>
      </c>
      <c r="Y23" s="5">
        <v>3.4204919878632714</v>
      </c>
      <c r="Z23" s="5">
        <v>5.7085020242914979</v>
      </c>
      <c r="AA23" s="5">
        <v>10.361339696130507</v>
      </c>
    </row>
    <row r="24" spans="1:27" x14ac:dyDescent="0.2">
      <c r="A24" s="4">
        <v>0</v>
      </c>
      <c r="B24" s="5">
        <v>0</v>
      </c>
      <c r="C24" s="5"/>
      <c r="D24" s="5">
        <v>1.3698630136986298</v>
      </c>
      <c r="E24" s="5">
        <v>3.6912751677852338</v>
      </c>
      <c r="F24" s="5"/>
      <c r="G24" s="5"/>
      <c r="H24" s="5">
        <v>7.9326923076923084</v>
      </c>
      <c r="I24" s="5"/>
      <c r="J24" s="4">
        <v>0</v>
      </c>
      <c r="K24" s="5">
        <v>0</v>
      </c>
      <c r="L24" s="5"/>
      <c r="M24" s="5">
        <v>0.88028169014084512</v>
      </c>
      <c r="N24" s="5">
        <v>3.5031847133757954</v>
      </c>
      <c r="O24" s="5"/>
      <c r="P24" s="5"/>
      <c r="Q24" s="5">
        <v>4.6739130434782599</v>
      </c>
      <c r="R24" s="5"/>
      <c r="S24" s="4">
        <v>0</v>
      </c>
      <c r="T24" s="5">
        <v>0</v>
      </c>
      <c r="U24" s="5"/>
      <c r="V24" s="5">
        <v>0</v>
      </c>
      <c r="W24" s="5">
        <v>1.7730496453900706</v>
      </c>
      <c r="X24" s="5"/>
      <c r="Y24" s="5"/>
      <c r="Z24" s="5">
        <v>4.5824898785425088</v>
      </c>
      <c r="AA24" s="5"/>
    </row>
    <row r="25" spans="1:27" x14ac:dyDescent="0.2">
      <c r="A25" s="4"/>
      <c r="B25" s="5">
        <v>0</v>
      </c>
      <c r="C25" s="5"/>
      <c r="D25" s="5">
        <v>2.1582733812949639</v>
      </c>
      <c r="E25" s="5">
        <v>5.993150684931507</v>
      </c>
      <c r="F25" s="5">
        <v>0.20661157024793389</v>
      </c>
      <c r="G25" s="5">
        <v>0</v>
      </c>
      <c r="H25" s="5">
        <v>0.19531250000000006</v>
      </c>
      <c r="I25" s="5">
        <v>0.48076923076923078</v>
      </c>
      <c r="J25" s="4"/>
      <c r="K25" s="5">
        <v>0</v>
      </c>
      <c r="L25" s="5"/>
      <c r="M25" s="5">
        <v>1.4583333333333333</v>
      </c>
      <c r="N25" s="5">
        <v>5.5851063829787231</v>
      </c>
      <c r="O25" s="5">
        <v>0.21929824561403508</v>
      </c>
      <c r="P25" s="5">
        <v>0</v>
      </c>
      <c r="Q25" s="5">
        <v>0.18115942028985507</v>
      </c>
      <c r="R25" s="5">
        <v>0</v>
      </c>
      <c r="S25" s="4"/>
      <c r="T25" s="5">
        <v>0</v>
      </c>
      <c r="U25" s="5"/>
      <c r="V25" s="5">
        <v>3.0241935483870965</v>
      </c>
      <c r="W25" s="5">
        <v>2.6881720430107525</v>
      </c>
      <c r="X25" s="5">
        <v>0</v>
      </c>
      <c r="Y25" s="5">
        <v>0</v>
      </c>
      <c r="Z25" s="5">
        <v>0</v>
      </c>
      <c r="AA25" s="5">
        <v>0</v>
      </c>
    </row>
    <row r="26" spans="1:27" x14ac:dyDescent="0.2">
      <c r="A26" s="4"/>
      <c r="B26" s="5">
        <v>0.49509803921568624</v>
      </c>
      <c r="C26" s="5">
        <v>1.3435132575757573</v>
      </c>
      <c r="D26" s="5">
        <v>0</v>
      </c>
      <c r="E26" s="5">
        <v>0.16778523489932881</v>
      </c>
      <c r="F26" s="5"/>
      <c r="G26" s="5">
        <v>0.64289888953828167</v>
      </c>
      <c r="H26" s="5"/>
      <c r="I26" s="5">
        <v>0.35714285714285715</v>
      </c>
      <c r="J26" s="4"/>
      <c r="K26" s="5">
        <v>0.33783783783783783</v>
      </c>
      <c r="L26" s="5">
        <v>1.5818310357016614</v>
      </c>
      <c r="M26" s="5">
        <v>0</v>
      </c>
      <c r="N26" s="5">
        <v>0.57590233545647562</v>
      </c>
      <c r="O26" s="5"/>
      <c r="P26" s="5">
        <v>0.70006747638326583</v>
      </c>
      <c r="Q26" s="5"/>
      <c r="R26" s="5">
        <v>0.35714285714285715</v>
      </c>
      <c r="S26" s="4"/>
      <c r="T26" s="5">
        <v>0</v>
      </c>
      <c r="U26" s="5">
        <v>0</v>
      </c>
      <c r="V26" s="5">
        <v>0</v>
      </c>
      <c r="W26" s="5">
        <v>0</v>
      </c>
      <c r="X26" s="5"/>
      <c r="Y26" s="5">
        <v>0.52083333333333326</v>
      </c>
      <c r="Z26" s="5"/>
      <c r="AA26" s="5">
        <v>0.59523809523809523</v>
      </c>
    </row>
    <row r="27" spans="1:27" x14ac:dyDescent="0.2">
      <c r="A27" s="4">
        <v>0.78125</v>
      </c>
      <c r="B27" s="5">
        <v>0.73529411764705876</v>
      </c>
      <c r="C27" s="5">
        <v>0.68493150684931503</v>
      </c>
      <c r="D27" s="5">
        <v>2.7813146742879669</v>
      </c>
      <c r="E27" s="5">
        <v>2.9767078712100314</v>
      </c>
      <c r="F27" s="5">
        <v>2.2999727545182092</v>
      </c>
      <c r="G27" s="5">
        <v>1.6203151110050134</v>
      </c>
      <c r="H27" s="5">
        <v>0.97656250000000022</v>
      </c>
      <c r="I27" s="5">
        <v>1.7791809425628897</v>
      </c>
      <c r="J27" s="4">
        <v>0</v>
      </c>
      <c r="K27" s="5">
        <v>0.33783783783783783</v>
      </c>
      <c r="L27" s="5">
        <v>0</v>
      </c>
      <c r="M27" s="5">
        <v>2.2870441829056531</v>
      </c>
      <c r="N27" s="5">
        <v>2.0649252382888377</v>
      </c>
      <c r="O27" s="5">
        <v>2.437895690811259</v>
      </c>
      <c r="P27" s="5">
        <v>0.21929824561403508</v>
      </c>
      <c r="Q27" s="5">
        <v>0.54347826086956519</v>
      </c>
      <c r="R27" s="5">
        <v>1.3313691404419221</v>
      </c>
      <c r="S27" s="4">
        <v>0</v>
      </c>
      <c r="T27" s="5">
        <v>0</v>
      </c>
      <c r="U27" s="5">
        <v>0</v>
      </c>
      <c r="V27" s="5">
        <v>0.60483870967741937</v>
      </c>
      <c r="W27" s="5">
        <v>0.5</v>
      </c>
      <c r="X27" s="5">
        <v>0.33783783783783783</v>
      </c>
      <c r="Y27" s="5">
        <v>0.2808988764044944</v>
      </c>
      <c r="Z27" s="5">
        <v>0.57692307692307687</v>
      </c>
      <c r="AA27" s="5">
        <v>1.9295064695544482</v>
      </c>
    </row>
    <row r="28" spans="1:27" x14ac:dyDescent="0.2">
      <c r="A28" s="4"/>
      <c r="B28" s="5">
        <v>1.1904761904761905</v>
      </c>
      <c r="C28" s="5">
        <v>1.5151515151515151</v>
      </c>
      <c r="D28" s="5">
        <v>1.7543859649122806</v>
      </c>
      <c r="E28" s="5">
        <v>0.41666666666666669</v>
      </c>
      <c r="F28" s="5">
        <v>1.3157894736842104</v>
      </c>
      <c r="G28" s="5"/>
      <c r="H28" s="5"/>
      <c r="I28" s="5">
        <v>2.1428571428571428</v>
      </c>
      <c r="J28" s="4"/>
      <c r="K28" s="5">
        <v>0</v>
      </c>
      <c r="L28" s="5">
        <v>0</v>
      </c>
      <c r="M28" s="5">
        <v>1.7543859649122806</v>
      </c>
      <c r="N28" s="5">
        <v>0</v>
      </c>
      <c r="O28" s="5">
        <v>1.2987012987012987</v>
      </c>
      <c r="P28" s="5"/>
      <c r="Q28" s="5"/>
      <c r="R28" s="5">
        <v>2.1428571428571428</v>
      </c>
      <c r="S28" s="4"/>
      <c r="T28" s="5">
        <v>0</v>
      </c>
      <c r="U28" s="5">
        <v>0</v>
      </c>
      <c r="V28" s="5">
        <v>0</v>
      </c>
      <c r="W28" s="5">
        <v>0</v>
      </c>
      <c r="X28" s="5">
        <v>0.83333333333333337</v>
      </c>
      <c r="Y28" s="5"/>
      <c r="Z28" s="5"/>
      <c r="AA28" s="5">
        <v>0.59523809523809523</v>
      </c>
    </row>
    <row r="29" spans="1:27" x14ac:dyDescent="0.2">
      <c r="A29" s="4">
        <v>2.4752475247524748</v>
      </c>
      <c r="B29" s="5">
        <v>0</v>
      </c>
      <c r="C29" s="5">
        <v>2.9936079545454533</v>
      </c>
      <c r="D29" s="5">
        <v>0.51369863013698613</v>
      </c>
      <c r="E29" s="5">
        <v>0.33557046979865762</v>
      </c>
      <c r="F29" s="5">
        <v>1.144310235219326</v>
      </c>
      <c r="G29" s="5">
        <v>5.6590448779447824</v>
      </c>
      <c r="H29" s="5">
        <v>1.9531250000000004</v>
      </c>
      <c r="I29" s="5">
        <v>5.444991055456172</v>
      </c>
      <c r="J29" s="4">
        <v>1.2931034482758623</v>
      </c>
      <c r="K29" s="5">
        <v>2.041301865245527</v>
      </c>
      <c r="L29" s="5">
        <v>0</v>
      </c>
      <c r="M29" s="5">
        <v>2.61150234741784</v>
      </c>
      <c r="N29" s="5">
        <v>0.31847133757961776</v>
      </c>
      <c r="O29" s="5">
        <v>4.0930092406588985</v>
      </c>
      <c r="P29" s="5">
        <v>6.2343358395989963</v>
      </c>
      <c r="Q29" s="5">
        <v>5.6449275362318829</v>
      </c>
      <c r="R29" s="5">
        <v>5.8477878330819504</v>
      </c>
      <c r="S29" s="4">
        <v>0</v>
      </c>
      <c r="T29" s="5">
        <v>0</v>
      </c>
      <c r="U29" s="5">
        <v>0</v>
      </c>
      <c r="V29" s="5">
        <v>17.389434762905285</v>
      </c>
      <c r="W29" s="5">
        <v>15.191031800503316</v>
      </c>
      <c r="X29" s="5">
        <v>16.976562001840058</v>
      </c>
      <c r="Y29" s="5">
        <v>4.5654956620679839</v>
      </c>
      <c r="Z29" s="5">
        <v>2.4999999999999996</v>
      </c>
      <c r="AA29" s="5">
        <v>2.8922550222853816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2025-12-07T14:27:40Z</dcterms:created>
  <dcterms:modified xsi:type="dcterms:W3CDTF">2025-12-08T08:39:27Z</dcterms:modified>
</cp:coreProperties>
</file>