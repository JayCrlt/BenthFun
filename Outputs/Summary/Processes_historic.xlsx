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Outputs/Summary/"/>
    </mc:Choice>
  </mc:AlternateContent>
  <xr:revisionPtr revIDLastSave="0" documentId="13_ncr:1_{0031600F-9C53-4542-87C1-FB96CAB52F2E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F8" i="1"/>
  <c r="E8" i="1"/>
  <c r="D8" i="1"/>
  <c r="C8" i="1"/>
</calcChain>
</file>

<file path=xl/sharedStrings.xml><?xml version="1.0" encoding="utf-8"?>
<sst xmlns="http://schemas.openxmlformats.org/spreadsheetml/2006/main" count="61" uniqueCount="16">
  <si>
    <t>pH</t>
  </si>
  <si>
    <t>Comm</t>
  </si>
  <si>
    <t>Estimate</t>
  </si>
  <si>
    <t>Est.Error</t>
  </si>
  <si>
    <t>ribbon_neg</t>
  </si>
  <si>
    <t>ribbon_pos</t>
  </si>
  <si>
    <t>ELOW</t>
  </si>
  <si>
    <t>LOW</t>
  </si>
  <si>
    <t>AMB</t>
  </si>
  <si>
    <t>Forest</t>
  </si>
  <si>
    <t>Mixed</t>
  </si>
  <si>
    <t>Encrusting</t>
  </si>
  <si>
    <t>CR</t>
  </si>
  <si>
    <t>DR</t>
  </si>
  <si>
    <t>GPP</t>
  </si>
  <si>
    <t>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</si>
</sst>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" sqref="G2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</row>
    <row r="2" spans="1:7" x14ac:dyDescent="0.2">
      <c r="A2" t="s">
        <v>6</v>
      </c>
      <c r="B2" t="s">
        <v>9</v>
      </c>
      <c r="C2">
        <v>0</v>
      </c>
      <c r="D2">
        <v>0</v>
      </c>
      <c r="E2">
        <v>0</v>
      </c>
      <c r="F2">
        <v>0</v>
      </c>
      <c r="G2" t="s">
        <v>12</v>
      </c>
    </row>
    <row r="3" spans="1:7" x14ac:dyDescent="0.2">
      <c r="A3" t="s">
        <v>7</v>
      </c>
      <c r="B3" t="s">
        <v>10</v>
      </c>
      <c r="C3">
        <v>1.9733952145204239</v>
      </c>
      <c r="D3">
        <v>0.63354489993568397</v>
      </c>
      <c r="E3">
        <v>1.3398503145847398</v>
      </c>
      <c r="F3">
        <v>2.606940114456108</v>
      </c>
      <c r="G3" t="s">
        <v>12</v>
      </c>
    </row>
    <row r="4" spans="1:7" x14ac:dyDescent="0.2">
      <c r="A4" t="s">
        <v>7</v>
      </c>
      <c r="B4" t="s">
        <v>9</v>
      </c>
      <c r="C4">
        <v>1.2531655369915016</v>
      </c>
      <c r="D4">
        <v>0.12613519438494369</v>
      </c>
      <c r="E4">
        <v>1.1270303426065578</v>
      </c>
      <c r="F4">
        <v>1.3793007313764454</v>
      </c>
      <c r="G4" t="s">
        <v>12</v>
      </c>
    </row>
    <row r="5" spans="1:7" x14ac:dyDescent="0.2">
      <c r="A5" t="s">
        <v>8</v>
      </c>
      <c r="B5" t="s">
        <v>10</v>
      </c>
      <c r="C5">
        <v>2.1631613309832041</v>
      </c>
      <c r="D5">
        <v>0.19512779291695603</v>
      </c>
      <c r="E5">
        <v>1.9680335380662481</v>
      </c>
      <c r="F5">
        <v>2.35828912390016</v>
      </c>
      <c r="G5" t="s">
        <v>12</v>
      </c>
    </row>
    <row r="6" spans="1:7" x14ac:dyDescent="0.2">
      <c r="A6" t="s">
        <v>8</v>
      </c>
      <c r="B6" t="s">
        <v>9</v>
      </c>
      <c r="C6">
        <v>6.960846937932355</v>
      </c>
      <c r="D6">
        <v>2.124129624346399</v>
      </c>
      <c r="E6">
        <v>4.8367173135859556</v>
      </c>
      <c r="F6">
        <v>9.0849765622787544</v>
      </c>
      <c r="G6" t="s">
        <v>12</v>
      </c>
    </row>
    <row r="7" spans="1:7" x14ac:dyDescent="0.2">
      <c r="A7" t="s">
        <v>8</v>
      </c>
      <c r="B7" t="s">
        <v>11</v>
      </c>
      <c r="C7">
        <v>2.4513749913962677</v>
      </c>
      <c r="D7">
        <v>0.3308821906675069</v>
      </c>
      <c r="E7">
        <v>2.1204928007287607</v>
      </c>
      <c r="F7">
        <v>2.7822571820637747</v>
      </c>
      <c r="G7" t="s">
        <v>12</v>
      </c>
    </row>
    <row r="8" spans="1:7" x14ac:dyDescent="0.2">
      <c r="A8" t="s">
        <v>6</v>
      </c>
      <c r="B8" t="s">
        <v>9</v>
      </c>
      <c r="C8">
        <f>84.038678309871/10</f>
        <v>8.4038678309870996</v>
      </c>
      <c r="D8">
        <f>34.9836638485722/10</f>
        <v>3.4983663848572197</v>
      </c>
      <c r="E8">
        <f>49.0550144612988/10</f>
        <v>4.9055014461298807</v>
      </c>
      <c r="F8">
        <f>119.022342158443/10</f>
        <v>11.902234215844299</v>
      </c>
      <c r="G8" t="s">
        <v>13</v>
      </c>
    </row>
    <row r="9" spans="1:7" x14ac:dyDescent="0.2">
      <c r="A9" t="s">
        <v>7</v>
      </c>
      <c r="B9" t="s">
        <v>10</v>
      </c>
      <c r="C9">
        <v>3.3262372596056959</v>
      </c>
      <c r="D9">
        <v>1.411793346536206</v>
      </c>
      <c r="E9">
        <v>1.9144439130694899</v>
      </c>
      <c r="F9">
        <v>4.7380306061419022</v>
      </c>
      <c r="G9" t="s">
        <v>13</v>
      </c>
    </row>
    <row r="10" spans="1:7" x14ac:dyDescent="0.2">
      <c r="A10" t="s">
        <v>7</v>
      </c>
      <c r="B10" t="s">
        <v>9</v>
      </c>
      <c r="C10">
        <v>3.208187657235825</v>
      </c>
      <c r="D10">
        <v>1.453553465258016</v>
      </c>
      <c r="E10">
        <v>1.754634191977809</v>
      </c>
      <c r="F10">
        <v>4.661741122493841</v>
      </c>
      <c r="G10" t="s">
        <v>13</v>
      </c>
    </row>
    <row r="11" spans="1:7" x14ac:dyDescent="0.2">
      <c r="A11" t="s">
        <v>8</v>
      </c>
      <c r="B11" t="s">
        <v>10</v>
      </c>
      <c r="C11">
        <v>3.0965365401211842</v>
      </c>
      <c r="D11">
        <v>1.3120124801028541</v>
      </c>
      <c r="E11">
        <v>1.7845240600183301</v>
      </c>
      <c r="F11">
        <v>4.4085490202240383</v>
      </c>
      <c r="G11" t="s">
        <v>13</v>
      </c>
    </row>
    <row r="12" spans="1:7" x14ac:dyDescent="0.2">
      <c r="A12" t="s">
        <v>8</v>
      </c>
      <c r="B12" t="s">
        <v>9</v>
      </c>
      <c r="C12">
        <v>5.3131320874054344</v>
      </c>
      <c r="D12">
        <v>2.4776985940955001</v>
      </c>
      <c r="E12">
        <v>2.8354334933099343</v>
      </c>
      <c r="F12">
        <v>7.7908306815009345</v>
      </c>
      <c r="G12" t="s">
        <v>13</v>
      </c>
    </row>
    <row r="13" spans="1:7" x14ac:dyDescent="0.2">
      <c r="A13" t="s">
        <v>8</v>
      </c>
      <c r="B13" t="s">
        <v>11</v>
      </c>
      <c r="C13">
        <v>2.9316214113714194</v>
      </c>
      <c r="D13">
        <v>1.8056934195050711</v>
      </c>
      <c r="E13">
        <v>1.1259279918663483</v>
      </c>
      <c r="F13">
        <v>4.7373148308764907</v>
      </c>
      <c r="G13" t="s">
        <v>13</v>
      </c>
    </row>
    <row r="14" spans="1:7" x14ac:dyDescent="0.2">
      <c r="A14" t="s">
        <v>6</v>
      </c>
      <c r="B14" t="s">
        <v>9</v>
      </c>
      <c r="C14">
        <f>329.045131068222/10</f>
        <v>32.904513106822201</v>
      </c>
      <c r="D14">
        <f>115.369485487807/10</f>
        <v>11.5369485487807</v>
      </c>
      <c r="E14">
        <f>213.675645580414/10</f>
        <v>21.367564558041401</v>
      </c>
      <c r="F14">
        <f>444.414616556029/10</f>
        <v>44.4414616556029</v>
      </c>
      <c r="G14" t="s">
        <v>14</v>
      </c>
    </row>
    <row r="15" spans="1:7" x14ac:dyDescent="0.2">
      <c r="A15" t="s">
        <v>7</v>
      </c>
      <c r="B15" t="s">
        <v>10</v>
      </c>
      <c r="C15">
        <v>21.262769795227022</v>
      </c>
      <c r="D15">
        <v>7.6561917786405109</v>
      </c>
      <c r="E15">
        <v>13.606578016586511</v>
      </c>
      <c r="F15">
        <v>28.918961573867534</v>
      </c>
      <c r="G15" t="s">
        <v>14</v>
      </c>
    </row>
    <row r="16" spans="1:7" x14ac:dyDescent="0.2">
      <c r="A16" t="s">
        <v>7</v>
      </c>
      <c r="B16" t="s">
        <v>9</v>
      </c>
      <c r="C16">
        <v>16.133701057431512</v>
      </c>
      <c r="D16">
        <v>6.468197839119239</v>
      </c>
      <c r="E16">
        <v>9.6655032183122742</v>
      </c>
      <c r="F16">
        <v>22.60189889655075</v>
      </c>
      <c r="G16" t="s">
        <v>14</v>
      </c>
    </row>
    <row r="17" spans="1:7" x14ac:dyDescent="0.2">
      <c r="A17" t="s">
        <v>8</v>
      </c>
      <c r="B17" t="s">
        <v>10</v>
      </c>
      <c r="C17">
        <v>18.718022075869445</v>
      </c>
      <c r="D17">
        <v>6.5870293868851508</v>
      </c>
      <c r="E17">
        <v>12.130992688984295</v>
      </c>
      <c r="F17">
        <v>25.305051462754598</v>
      </c>
      <c r="G17" t="s">
        <v>14</v>
      </c>
    </row>
    <row r="18" spans="1:7" x14ac:dyDescent="0.2">
      <c r="A18" t="s">
        <v>8</v>
      </c>
      <c r="B18" t="s">
        <v>9</v>
      </c>
      <c r="C18">
        <v>13.500419499081357</v>
      </c>
      <c r="D18">
        <v>4.9155626657637734</v>
      </c>
      <c r="E18">
        <v>8.5848568333175841</v>
      </c>
      <c r="F18">
        <v>18.415982164845129</v>
      </c>
      <c r="G18" t="s">
        <v>14</v>
      </c>
    </row>
    <row r="19" spans="1:7" x14ac:dyDescent="0.2">
      <c r="A19" t="s">
        <v>8</v>
      </c>
      <c r="B19" t="s">
        <v>11</v>
      </c>
      <c r="C19">
        <v>18.046895597551813</v>
      </c>
      <c r="D19">
        <v>8.4183104748493811</v>
      </c>
      <c r="E19">
        <v>9.6285851227024324</v>
      </c>
      <c r="F19">
        <v>26.465206072401195</v>
      </c>
      <c r="G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2024-06-18T12:59:02Z</dcterms:created>
  <dcterms:modified xsi:type="dcterms:W3CDTF">2024-06-18T13:13:28Z</dcterms:modified>
</cp:coreProperties>
</file>