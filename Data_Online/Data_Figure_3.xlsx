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remycarlot/Documents/Post-Doc – LOV/Projets/Villefranche/Projets/BenthFun – Jeremy (pending)/BenthFun/Data_Online/"/>
    </mc:Choice>
  </mc:AlternateContent>
  <xr:revisionPtr revIDLastSave="0" documentId="13_ncr:1_{F01FDAA7-6D15-2F4B-A0AD-5D9812AB6F9C}" xr6:coauthVersionLast="47" xr6:coauthVersionMax="47" xr10:uidLastSave="{00000000-0000-0000-0000-000000000000}"/>
  <bookViews>
    <workbookView xWindow="5580" yWindow="2340" windowWidth="24660" windowHeight="15760" xr2:uid="{1D4EC3A9-013E-0246-A943-FFCF0A83DE7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/>
  <c r="G39" i="1"/>
  <c r="H39" i="1"/>
  <c r="G40" i="1"/>
  <c r="H40" i="1"/>
  <c r="H38" i="1"/>
  <c r="G38" i="1"/>
  <c r="H30" i="1"/>
  <c r="G30" i="1"/>
  <c r="H33" i="1"/>
  <c r="H34" i="1"/>
  <c r="H32" i="1"/>
  <c r="H27" i="1"/>
  <c r="H28" i="1"/>
  <c r="H26" i="1"/>
  <c r="H15" i="1"/>
  <c r="H16" i="1"/>
  <c r="H14" i="1"/>
</calcChain>
</file>

<file path=xl/sharedStrings.xml><?xml version="1.0" encoding="utf-8"?>
<sst xmlns="http://schemas.openxmlformats.org/spreadsheetml/2006/main" count="225" uniqueCount="22">
  <si>
    <t>Number of days</t>
  </si>
  <si>
    <t>Experiment</t>
  </si>
  <si>
    <t>pH</t>
  </si>
  <si>
    <t>Comm</t>
  </si>
  <si>
    <t>Estimate ratio</t>
  </si>
  <si>
    <t>Est.Error ratio</t>
  </si>
  <si>
    <t>Estimate unit</t>
  </si>
  <si>
    <t>Est.Error unit</t>
  </si>
  <si>
    <t>Function</t>
  </si>
  <si>
    <t>Transplants</t>
  </si>
  <si>
    <t>ELOW</t>
  </si>
  <si>
    <t>Fleshy</t>
  </si>
  <si>
    <t>CR</t>
  </si>
  <si>
    <t>Mixed</t>
  </si>
  <si>
    <t>Calcifying</t>
  </si>
  <si>
    <t>LOW</t>
  </si>
  <si>
    <t>AMB</t>
  </si>
  <si>
    <t>DR</t>
  </si>
  <si>
    <t>GP</t>
  </si>
  <si>
    <t>NH4</t>
  </si>
  <si>
    <t>NO3</t>
  </si>
  <si>
    <t>PO4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</si>
</sst>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0" fontId="0" fillId="0" borderId="0" xfId="0" applyFill="1"/>
    <xf numFmtId="2" fontId="1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5F4F-EDA3-864F-95E9-6CC845FB2C7B}">
  <dimension ref="A1:I55"/>
  <sheetViews>
    <sheetView tabSelected="1" topLeftCell="A24" workbookViewId="0">
      <selection activeCell="F28" sqref="F28"/>
    </sheetView>
  </sheetViews>
  <sheetFormatPr baseColWidth="10" defaultRowHeight="16" x14ac:dyDescent="0.2"/>
  <sheetData>
    <row r="1" spans="1:9" s="4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s="4" customFormat="1" x14ac:dyDescent="0.2">
      <c r="A2" s="3">
        <v>100</v>
      </c>
      <c r="B2" s="3" t="s">
        <v>9</v>
      </c>
      <c r="C2" s="3" t="s">
        <v>10</v>
      </c>
      <c r="D2" s="3" t="s">
        <v>11</v>
      </c>
      <c r="E2" s="3">
        <v>-67.94</v>
      </c>
      <c r="F2" s="5">
        <v>-17.299999999999997</v>
      </c>
      <c r="G2" s="5">
        <v>-122.292</v>
      </c>
      <c r="H2" s="5">
        <v>-31.139999999999997</v>
      </c>
      <c r="I2" s="5" t="s">
        <v>12</v>
      </c>
    </row>
    <row r="3" spans="1:9" s="4" customFormat="1" x14ac:dyDescent="0.2">
      <c r="A3" s="3">
        <v>100</v>
      </c>
      <c r="B3" s="3" t="s">
        <v>9</v>
      </c>
      <c r="C3" s="3" t="s">
        <v>10</v>
      </c>
      <c r="D3" s="3" t="s">
        <v>13</v>
      </c>
      <c r="E3" s="3">
        <v>-67.86</v>
      </c>
      <c r="F3" s="5">
        <v>-17.369999999999997</v>
      </c>
      <c r="G3" s="5">
        <v>-122.148</v>
      </c>
      <c r="H3" s="5">
        <v>-31.265999999999995</v>
      </c>
      <c r="I3" s="5" t="s">
        <v>12</v>
      </c>
    </row>
    <row r="4" spans="1:9" s="4" customFormat="1" x14ac:dyDescent="0.2">
      <c r="A4" s="3">
        <v>100</v>
      </c>
      <c r="B4" s="3" t="s">
        <v>9</v>
      </c>
      <c r="C4" s="3" t="s">
        <v>10</v>
      </c>
      <c r="D4" s="3" t="s">
        <v>14</v>
      </c>
      <c r="E4" s="3">
        <v>-66.89</v>
      </c>
      <c r="F4" s="5">
        <v>-17.03</v>
      </c>
      <c r="G4" s="5">
        <v>-120.402</v>
      </c>
      <c r="H4" s="5">
        <v>-30.654000000000003</v>
      </c>
      <c r="I4" s="5" t="s">
        <v>12</v>
      </c>
    </row>
    <row r="5" spans="1:9" s="4" customFormat="1" x14ac:dyDescent="0.2">
      <c r="A5" s="3">
        <v>100</v>
      </c>
      <c r="B5" s="3" t="s">
        <v>9</v>
      </c>
      <c r="C5" s="3" t="s">
        <v>15</v>
      </c>
      <c r="D5" s="3" t="s">
        <v>11</v>
      </c>
      <c r="E5" s="3">
        <v>1.56658168268287</v>
      </c>
      <c r="F5" s="5">
        <v>0.32341831731712989</v>
      </c>
      <c r="G5" s="5">
        <v>2.8198470288291659</v>
      </c>
      <c r="H5" s="5">
        <v>0.58215297117083387</v>
      </c>
      <c r="I5" s="5" t="s">
        <v>12</v>
      </c>
    </row>
    <row r="6" spans="1:9" s="4" customFormat="1" x14ac:dyDescent="0.2">
      <c r="A6" s="3">
        <v>100</v>
      </c>
      <c r="B6" s="3" t="s">
        <v>9</v>
      </c>
      <c r="C6" s="3" t="s">
        <v>15</v>
      </c>
      <c r="D6" s="3" t="s">
        <v>13</v>
      </c>
      <c r="E6" s="3">
        <v>1.49205726613061</v>
      </c>
      <c r="F6" s="5">
        <v>0.34794273386939012</v>
      </c>
      <c r="G6" s="5">
        <v>2.6857030790350982</v>
      </c>
      <c r="H6" s="5">
        <v>0.62629692096490219</v>
      </c>
      <c r="I6" s="5" t="s">
        <v>12</v>
      </c>
    </row>
    <row r="7" spans="1:9" s="4" customFormat="1" x14ac:dyDescent="0.2">
      <c r="A7" s="3">
        <v>100</v>
      </c>
      <c r="B7" s="3" t="s">
        <v>9</v>
      </c>
      <c r="C7" s="3" t="s">
        <v>15</v>
      </c>
      <c r="D7" s="3" t="s">
        <v>14</v>
      </c>
      <c r="E7" s="3">
        <v>2.3604628358501598</v>
      </c>
      <c r="F7" s="5">
        <v>0.33953716414984036</v>
      </c>
      <c r="G7" s="5">
        <v>4.2488331045302878</v>
      </c>
      <c r="H7" s="5">
        <v>0.6111668954697127</v>
      </c>
      <c r="I7" s="5" t="s">
        <v>12</v>
      </c>
    </row>
    <row r="8" spans="1:9" s="4" customFormat="1" x14ac:dyDescent="0.2">
      <c r="A8" s="3">
        <v>100</v>
      </c>
      <c r="B8" s="3" t="s">
        <v>9</v>
      </c>
      <c r="C8" s="3" t="s">
        <v>16</v>
      </c>
      <c r="D8" s="3" t="s">
        <v>11</v>
      </c>
      <c r="E8" s="3">
        <v>1.98176112963326</v>
      </c>
      <c r="F8" s="5">
        <v>0.84153755638360006</v>
      </c>
      <c r="G8" s="5">
        <v>3.5671700333398682</v>
      </c>
      <c r="H8" s="5">
        <v>1.5147676014904801</v>
      </c>
      <c r="I8" s="5" t="s">
        <v>12</v>
      </c>
    </row>
    <row r="9" spans="1:9" s="4" customFormat="1" x14ac:dyDescent="0.2">
      <c r="A9" s="3">
        <v>100</v>
      </c>
      <c r="B9" s="3" t="s">
        <v>9</v>
      </c>
      <c r="C9" s="3" t="s">
        <v>16</v>
      </c>
      <c r="D9" s="3" t="s">
        <v>13</v>
      </c>
      <c r="E9" s="3">
        <v>1.87762306334575</v>
      </c>
      <c r="F9" s="5">
        <v>0.86237693665425019</v>
      </c>
      <c r="G9" s="5">
        <v>3.37972151402235</v>
      </c>
      <c r="H9" s="5">
        <v>1.5522784859776504</v>
      </c>
      <c r="I9" s="5" t="s">
        <v>12</v>
      </c>
    </row>
    <row r="10" spans="1:9" s="4" customFormat="1" x14ac:dyDescent="0.2">
      <c r="A10" s="3">
        <v>100</v>
      </c>
      <c r="B10" s="3" t="s">
        <v>9</v>
      </c>
      <c r="C10" s="3" t="s">
        <v>16</v>
      </c>
      <c r="D10" s="3" t="s">
        <v>14</v>
      </c>
      <c r="E10" s="3">
        <v>2.7426946460090198</v>
      </c>
      <c r="F10" s="5">
        <v>0.84730535399098006</v>
      </c>
      <c r="G10" s="5">
        <v>4.9368503628162355</v>
      </c>
      <c r="H10" s="5">
        <v>1.5251496371837641</v>
      </c>
      <c r="I10" s="5" t="s">
        <v>12</v>
      </c>
    </row>
    <row r="11" spans="1:9" s="4" customFormat="1" x14ac:dyDescent="0.2">
      <c r="A11" s="3">
        <v>100</v>
      </c>
      <c r="B11" s="3" t="s">
        <v>9</v>
      </c>
      <c r="C11" s="3" t="s">
        <v>10</v>
      </c>
      <c r="D11" s="3" t="s">
        <v>11</v>
      </c>
      <c r="E11" s="3">
        <v>6.4</v>
      </c>
      <c r="F11" s="5">
        <v>5.36</v>
      </c>
      <c r="G11" s="5">
        <v>10.240000000000002</v>
      </c>
      <c r="H11" s="5">
        <v>8.5760000000000005</v>
      </c>
      <c r="I11" s="5" t="s">
        <v>17</v>
      </c>
    </row>
    <row r="12" spans="1:9" s="4" customFormat="1" x14ac:dyDescent="0.2">
      <c r="A12" s="3">
        <v>100</v>
      </c>
      <c r="B12" s="3" t="s">
        <v>9</v>
      </c>
      <c r="C12" s="3" t="s">
        <v>10</v>
      </c>
      <c r="D12" s="3" t="s">
        <v>13</v>
      </c>
      <c r="E12" s="3">
        <v>6.39</v>
      </c>
      <c r="F12" s="5">
        <v>5.04</v>
      </c>
      <c r="G12" s="5">
        <v>10.224</v>
      </c>
      <c r="H12" s="5">
        <v>8.0640000000000001</v>
      </c>
      <c r="I12" s="5" t="s">
        <v>17</v>
      </c>
    </row>
    <row r="13" spans="1:9" s="4" customFormat="1" x14ac:dyDescent="0.2">
      <c r="A13" s="3">
        <v>100</v>
      </c>
      <c r="B13" s="3" t="s">
        <v>9</v>
      </c>
      <c r="C13" s="3" t="s">
        <v>10</v>
      </c>
      <c r="D13" s="3" t="s">
        <v>14</v>
      </c>
      <c r="E13" s="3">
        <v>6.37</v>
      </c>
      <c r="F13" s="5">
        <v>5.33</v>
      </c>
      <c r="G13" s="5">
        <v>10.192</v>
      </c>
      <c r="H13" s="5">
        <v>8.5280000000000005</v>
      </c>
      <c r="I13" s="5" t="s">
        <v>17</v>
      </c>
    </row>
    <row r="14" spans="1:9" s="4" customFormat="1" x14ac:dyDescent="0.2">
      <c r="A14" s="3">
        <v>100</v>
      </c>
      <c r="B14" s="3" t="s">
        <v>9</v>
      </c>
      <c r="C14" s="3" t="s">
        <v>15</v>
      </c>
      <c r="D14" s="3" t="s">
        <v>11</v>
      </c>
      <c r="E14" s="3">
        <v>2.6</v>
      </c>
      <c r="F14" s="5">
        <v>0.49</v>
      </c>
      <c r="G14" s="5">
        <v>4.16</v>
      </c>
      <c r="H14" s="5">
        <f>F14*1.6</f>
        <v>0.78400000000000003</v>
      </c>
      <c r="I14" s="5" t="s">
        <v>17</v>
      </c>
    </row>
    <row r="15" spans="1:9" s="4" customFormat="1" x14ac:dyDescent="0.2">
      <c r="A15" s="3">
        <v>100</v>
      </c>
      <c r="B15" s="3" t="s">
        <v>9</v>
      </c>
      <c r="C15" s="3" t="s">
        <v>15</v>
      </c>
      <c r="D15" s="3" t="s">
        <v>13</v>
      </c>
      <c r="E15" s="3">
        <v>2.4300000000000002</v>
      </c>
      <c r="F15" s="5">
        <v>0.4700000000000002</v>
      </c>
      <c r="G15" s="5">
        <v>3.8880000000000003</v>
      </c>
      <c r="H15" s="5">
        <f t="shared" ref="H15:H16" si="0">F15*1.6</f>
        <v>0.75200000000000033</v>
      </c>
      <c r="I15" s="5" t="s">
        <v>17</v>
      </c>
    </row>
    <row r="16" spans="1:9" s="4" customFormat="1" x14ac:dyDescent="0.2">
      <c r="A16" s="3">
        <v>100</v>
      </c>
      <c r="B16" s="3" t="s">
        <v>9</v>
      </c>
      <c r="C16" s="3" t="s">
        <v>15</v>
      </c>
      <c r="D16" s="3" t="s">
        <v>14</v>
      </c>
      <c r="E16" s="3">
        <v>2.2200000000000002</v>
      </c>
      <c r="F16" s="5">
        <v>0.48</v>
      </c>
      <c r="G16" s="5">
        <v>3.5520000000000005</v>
      </c>
      <c r="H16" s="5">
        <f t="shared" si="0"/>
        <v>0.76800000000000002</v>
      </c>
      <c r="I16" s="5" t="s">
        <v>17</v>
      </c>
    </row>
    <row r="17" spans="1:9" s="4" customFormat="1" x14ac:dyDescent="0.2">
      <c r="A17" s="3">
        <v>100</v>
      </c>
      <c r="B17" s="3" t="s">
        <v>9</v>
      </c>
      <c r="C17" s="3" t="s">
        <v>16</v>
      </c>
      <c r="D17" s="3" t="s">
        <v>11</v>
      </c>
      <c r="E17" s="3">
        <v>1.04</v>
      </c>
      <c r="F17" s="5">
        <v>0.26</v>
      </c>
      <c r="G17" s="5">
        <v>1.6640000000000001</v>
      </c>
      <c r="H17" s="5">
        <v>0.41600000000000004</v>
      </c>
      <c r="I17" s="5" t="s">
        <v>17</v>
      </c>
    </row>
    <row r="18" spans="1:9" s="4" customFormat="1" x14ac:dyDescent="0.2">
      <c r="A18" s="3">
        <v>100</v>
      </c>
      <c r="B18" s="3" t="s">
        <v>9</v>
      </c>
      <c r="C18" s="3" t="s">
        <v>16</v>
      </c>
      <c r="D18" s="3" t="s">
        <v>13</v>
      </c>
      <c r="E18" s="3">
        <v>0.94</v>
      </c>
      <c r="F18" s="5">
        <v>0.25</v>
      </c>
      <c r="G18" s="5">
        <v>1.504</v>
      </c>
      <c r="H18" s="5">
        <v>0.4</v>
      </c>
      <c r="I18" s="5" t="s">
        <v>17</v>
      </c>
    </row>
    <row r="19" spans="1:9" s="4" customFormat="1" x14ac:dyDescent="0.2">
      <c r="A19" s="3">
        <v>100</v>
      </c>
      <c r="B19" s="3" t="s">
        <v>9</v>
      </c>
      <c r="C19" s="3" t="s">
        <v>16</v>
      </c>
      <c r="D19" s="3" t="s">
        <v>14</v>
      </c>
      <c r="E19" s="3">
        <v>0.81</v>
      </c>
      <c r="F19" s="5">
        <v>0.27</v>
      </c>
      <c r="G19" s="5">
        <v>1.2960000000000003</v>
      </c>
      <c r="H19" s="5">
        <v>0.43200000000000005</v>
      </c>
      <c r="I19" s="5" t="s">
        <v>17</v>
      </c>
    </row>
    <row r="20" spans="1:9" s="4" customFormat="1" x14ac:dyDescent="0.2">
      <c r="A20" s="3">
        <v>100</v>
      </c>
      <c r="B20" s="3" t="s">
        <v>9</v>
      </c>
      <c r="C20" s="3" t="s">
        <v>10</v>
      </c>
      <c r="D20" s="3" t="s">
        <v>11</v>
      </c>
      <c r="E20" s="3">
        <v>5.26</v>
      </c>
      <c r="F20" s="5">
        <v>1.0599999999999996</v>
      </c>
      <c r="G20" s="5">
        <v>35.768000000000001</v>
      </c>
      <c r="H20" s="5">
        <v>7.2079999999999975</v>
      </c>
      <c r="I20" s="5" t="s">
        <v>18</v>
      </c>
    </row>
    <row r="21" spans="1:9" s="4" customFormat="1" x14ac:dyDescent="0.2">
      <c r="A21" s="3">
        <v>100</v>
      </c>
      <c r="B21" s="3" t="s">
        <v>9</v>
      </c>
      <c r="C21" s="3" t="s">
        <v>10</v>
      </c>
      <c r="D21" s="3" t="s">
        <v>13</v>
      </c>
      <c r="E21" s="3">
        <v>5.1100000000000003</v>
      </c>
      <c r="F21" s="5">
        <v>1.0300000000000002</v>
      </c>
      <c r="G21" s="5">
        <v>34.748000000000005</v>
      </c>
      <c r="H21" s="5">
        <v>7.0040000000000013</v>
      </c>
      <c r="I21" s="5" t="s">
        <v>18</v>
      </c>
    </row>
    <row r="22" spans="1:9" s="4" customFormat="1" x14ac:dyDescent="0.2">
      <c r="A22" s="3">
        <v>100</v>
      </c>
      <c r="B22" s="3" t="s">
        <v>9</v>
      </c>
      <c r="C22" s="3" t="s">
        <v>10</v>
      </c>
      <c r="D22" s="3" t="s">
        <v>14</v>
      </c>
      <c r="E22" s="3">
        <v>4.99</v>
      </c>
      <c r="F22" s="5">
        <v>1.06</v>
      </c>
      <c r="G22" s="5">
        <v>33.932000000000002</v>
      </c>
      <c r="H22" s="5">
        <v>7.2080000000000002</v>
      </c>
      <c r="I22" s="5" t="s">
        <v>18</v>
      </c>
    </row>
    <row r="23" spans="1:9" s="4" customFormat="1" x14ac:dyDescent="0.2">
      <c r="A23" s="3">
        <v>100</v>
      </c>
      <c r="B23" s="3" t="s">
        <v>9</v>
      </c>
      <c r="C23" s="3" t="s">
        <v>15</v>
      </c>
      <c r="D23" s="3" t="s">
        <v>11</v>
      </c>
      <c r="E23" s="3">
        <v>2.6</v>
      </c>
      <c r="F23" s="5">
        <v>1</v>
      </c>
      <c r="G23" s="5">
        <v>17.68</v>
      </c>
      <c r="H23" s="5">
        <v>6.8</v>
      </c>
      <c r="I23" s="5" t="s">
        <v>18</v>
      </c>
    </row>
    <row r="24" spans="1:9" s="4" customFormat="1" x14ac:dyDescent="0.2">
      <c r="A24" s="3">
        <v>100</v>
      </c>
      <c r="B24" s="3" t="s">
        <v>9</v>
      </c>
      <c r="C24" s="3" t="s">
        <v>15</v>
      </c>
      <c r="D24" s="3" t="s">
        <v>13</v>
      </c>
      <c r="E24" s="3">
        <v>2.5299999999999998</v>
      </c>
      <c r="F24" s="5">
        <v>1.02</v>
      </c>
      <c r="G24" s="5">
        <v>17.203999999999997</v>
      </c>
      <c r="H24" s="5">
        <v>6.9359999999999999</v>
      </c>
      <c r="I24" s="5" t="s">
        <v>18</v>
      </c>
    </row>
    <row r="25" spans="1:9" s="4" customFormat="1" x14ac:dyDescent="0.2">
      <c r="A25" s="3">
        <v>100</v>
      </c>
      <c r="B25" s="3" t="s">
        <v>9</v>
      </c>
      <c r="C25" s="3" t="s">
        <v>15</v>
      </c>
      <c r="D25" s="3" t="s">
        <v>14</v>
      </c>
      <c r="E25" s="3">
        <v>2.46</v>
      </c>
      <c r="F25" s="5">
        <v>1.08</v>
      </c>
      <c r="G25" s="5">
        <v>16.727999999999998</v>
      </c>
      <c r="H25" s="5">
        <v>7.3440000000000003</v>
      </c>
      <c r="I25" s="5" t="s">
        <v>18</v>
      </c>
    </row>
    <row r="26" spans="1:9" s="4" customFormat="1" x14ac:dyDescent="0.2">
      <c r="A26" s="3">
        <v>100</v>
      </c>
      <c r="B26" s="3" t="s">
        <v>9</v>
      </c>
      <c r="C26" s="3" t="s">
        <v>16</v>
      </c>
      <c r="D26" s="3" t="s">
        <v>11</v>
      </c>
      <c r="E26" s="3">
        <v>1.6</v>
      </c>
      <c r="F26" s="5">
        <v>0.5</v>
      </c>
      <c r="G26" s="5">
        <v>10.88</v>
      </c>
      <c r="H26" s="5">
        <f>F26*6.8</f>
        <v>3.4</v>
      </c>
      <c r="I26" s="5" t="s">
        <v>18</v>
      </c>
    </row>
    <row r="27" spans="1:9" s="4" customFormat="1" x14ac:dyDescent="0.2">
      <c r="A27" s="3">
        <v>100</v>
      </c>
      <c r="B27" s="3" t="s">
        <v>9</v>
      </c>
      <c r="C27" s="3" t="s">
        <v>16</v>
      </c>
      <c r="D27" s="3" t="s">
        <v>13</v>
      </c>
      <c r="E27" s="3">
        <v>1.47</v>
      </c>
      <c r="F27" s="5">
        <v>0.51</v>
      </c>
      <c r="G27" s="5">
        <v>9.9960000000000004</v>
      </c>
      <c r="H27" s="5">
        <f t="shared" ref="H27:H28" si="1">F27*6.8</f>
        <v>3.468</v>
      </c>
      <c r="I27" s="5" t="s">
        <v>18</v>
      </c>
    </row>
    <row r="28" spans="1:9" s="4" customFormat="1" x14ac:dyDescent="0.2">
      <c r="A28" s="3">
        <v>100</v>
      </c>
      <c r="B28" s="3" t="s">
        <v>9</v>
      </c>
      <c r="C28" s="3" t="s">
        <v>16</v>
      </c>
      <c r="D28" s="3" t="s">
        <v>14</v>
      </c>
      <c r="E28" s="3">
        <v>1.37</v>
      </c>
      <c r="F28" s="5">
        <v>0.52</v>
      </c>
      <c r="G28" s="5">
        <v>9.3160000000000007</v>
      </c>
      <c r="H28" s="5">
        <f t="shared" si="1"/>
        <v>3.536</v>
      </c>
      <c r="I28" s="5" t="s">
        <v>18</v>
      </c>
    </row>
    <row r="29" spans="1:9" s="4" customFormat="1" x14ac:dyDescent="0.2">
      <c r="A29" s="3">
        <v>100</v>
      </c>
      <c r="B29" s="3" t="s">
        <v>9</v>
      </c>
      <c r="C29" s="3" t="s">
        <v>10</v>
      </c>
      <c r="D29" s="3" t="s">
        <v>11</v>
      </c>
      <c r="E29" s="3">
        <v>218.11</v>
      </c>
      <c r="F29" s="5">
        <v>113.89000000000001</v>
      </c>
      <c r="G29" s="5">
        <v>2617.3200000000002</v>
      </c>
      <c r="H29" s="5">
        <v>1366.6800000000003</v>
      </c>
      <c r="I29" s="5" t="s">
        <v>19</v>
      </c>
    </row>
    <row r="30" spans="1:9" s="4" customFormat="1" x14ac:dyDescent="0.2">
      <c r="A30" s="3">
        <v>100</v>
      </c>
      <c r="B30" s="3" t="s">
        <v>9</v>
      </c>
      <c r="C30" s="3" t="s">
        <v>10</v>
      </c>
      <c r="D30" s="3" t="s">
        <v>13</v>
      </c>
      <c r="E30" s="3">
        <v>213.25</v>
      </c>
      <c r="F30" s="5">
        <v>111.95</v>
      </c>
      <c r="G30" s="5">
        <f>E30*12</f>
        <v>2559</v>
      </c>
      <c r="H30" s="5">
        <f>F30*12</f>
        <v>1343.4</v>
      </c>
      <c r="I30" s="5" t="s">
        <v>19</v>
      </c>
    </row>
    <row r="31" spans="1:9" s="4" customFormat="1" x14ac:dyDescent="0.2">
      <c r="A31" s="3">
        <v>100</v>
      </c>
      <c r="B31" s="3" t="s">
        <v>9</v>
      </c>
      <c r="C31" s="3" t="s">
        <v>10</v>
      </c>
      <c r="D31" s="3" t="s">
        <v>14</v>
      </c>
      <c r="E31" s="3">
        <v>215.43</v>
      </c>
      <c r="F31" s="5">
        <v>114.62</v>
      </c>
      <c r="G31" s="5">
        <v>2585.16</v>
      </c>
      <c r="H31" s="5">
        <v>1375.44</v>
      </c>
      <c r="I31" s="5" t="s">
        <v>19</v>
      </c>
    </row>
    <row r="32" spans="1:9" s="4" customFormat="1" x14ac:dyDescent="0.2">
      <c r="A32" s="3">
        <v>100</v>
      </c>
      <c r="B32" s="3" t="s">
        <v>9</v>
      </c>
      <c r="C32" s="3" t="s">
        <v>15</v>
      </c>
      <c r="D32" s="3" t="s">
        <v>11</v>
      </c>
      <c r="E32" s="3">
        <v>8.2100000000000009</v>
      </c>
      <c r="F32" s="5">
        <v>3.6</v>
      </c>
      <c r="G32" s="5">
        <v>98.52000000000001</v>
      </c>
      <c r="H32" s="5">
        <f>F32*12</f>
        <v>43.2</v>
      </c>
      <c r="I32" s="5" t="s">
        <v>19</v>
      </c>
    </row>
    <row r="33" spans="1:9" s="4" customFormat="1" x14ac:dyDescent="0.2">
      <c r="A33" s="3">
        <v>100</v>
      </c>
      <c r="B33" s="3" t="s">
        <v>9</v>
      </c>
      <c r="C33" s="3" t="s">
        <v>15</v>
      </c>
      <c r="D33" s="3" t="s">
        <v>13</v>
      </c>
      <c r="E33" s="3">
        <v>9.34</v>
      </c>
      <c r="F33" s="5">
        <v>3.58</v>
      </c>
      <c r="G33" s="5">
        <v>112.08</v>
      </c>
      <c r="H33" s="5">
        <f t="shared" ref="H33:H34" si="2">F33*12</f>
        <v>42.96</v>
      </c>
      <c r="I33" s="5" t="s">
        <v>19</v>
      </c>
    </row>
    <row r="34" spans="1:9" s="4" customFormat="1" x14ac:dyDescent="0.2">
      <c r="A34" s="3">
        <v>100</v>
      </c>
      <c r="B34" s="3" t="s">
        <v>9</v>
      </c>
      <c r="C34" s="3" t="s">
        <v>15</v>
      </c>
      <c r="D34" s="3" t="s">
        <v>14</v>
      </c>
      <c r="E34" s="3">
        <v>10.220000000000001</v>
      </c>
      <c r="F34" s="5">
        <v>3.6300000000000008</v>
      </c>
      <c r="G34" s="5">
        <v>122.64000000000001</v>
      </c>
      <c r="H34" s="5">
        <f t="shared" si="2"/>
        <v>43.560000000000009</v>
      </c>
      <c r="I34" s="5" t="s">
        <v>19</v>
      </c>
    </row>
    <row r="35" spans="1:9" s="4" customFormat="1" x14ac:dyDescent="0.2">
      <c r="A35" s="3">
        <v>100</v>
      </c>
      <c r="B35" s="3" t="s">
        <v>9</v>
      </c>
      <c r="C35" s="3" t="s">
        <v>16</v>
      </c>
      <c r="D35" s="3" t="s">
        <v>11</v>
      </c>
      <c r="E35" s="3">
        <v>4.3</v>
      </c>
      <c r="F35" s="5">
        <v>1.5299999999999998</v>
      </c>
      <c r="G35" s="5">
        <v>51.599999999999994</v>
      </c>
      <c r="H35" s="5">
        <v>18.36</v>
      </c>
      <c r="I35" s="5" t="s">
        <v>19</v>
      </c>
    </row>
    <row r="36" spans="1:9" s="4" customFormat="1" x14ac:dyDescent="0.2">
      <c r="A36" s="3">
        <v>100</v>
      </c>
      <c r="B36" s="3" t="s">
        <v>9</v>
      </c>
      <c r="C36" s="3" t="s">
        <v>16</v>
      </c>
      <c r="D36" s="3" t="s">
        <v>13</v>
      </c>
      <c r="E36" s="3">
        <v>6.04</v>
      </c>
      <c r="F36" s="5">
        <v>1.62</v>
      </c>
      <c r="G36" s="5">
        <v>72.48</v>
      </c>
      <c r="H36" s="5">
        <v>19.440000000000001</v>
      </c>
      <c r="I36" s="5" t="s">
        <v>19</v>
      </c>
    </row>
    <row r="37" spans="1:9" s="4" customFormat="1" x14ac:dyDescent="0.2">
      <c r="A37" s="3">
        <v>100</v>
      </c>
      <c r="B37" s="3" t="s">
        <v>9</v>
      </c>
      <c r="C37" s="3" t="s">
        <v>16</v>
      </c>
      <c r="D37" s="3" t="s">
        <v>14</v>
      </c>
      <c r="E37" s="3">
        <v>6.83</v>
      </c>
      <c r="F37" s="5">
        <v>1.6600000000000001</v>
      </c>
      <c r="G37" s="5">
        <v>81.960000000000008</v>
      </c>
      <c r="H37" s="5">
        <v>19.920000000000002</v>
      </c>
      <c r="I37" s="5" t="s">
        <v>19</v>
      </c>
    </row>
    <row r="38" spans="1:9" s="4" customFormat="1" x14ac:dyDescent="0.2">
      <c r="A38" s="3">
        <v>100</v>
      </c>
      <c r="B38" s="3" t="s">
        <v>9</v>
      </c>
      <c r="C38" s="3" t="s">
        <v>10</v>
      </c>
      <c r="D38" s="3" t="s">
        <v>11</v>
      </c>
      <c r="E38" s="3">
        <v>237.38</v>
      </c>
      <c r="F38" s="5">
        <v>120.16</v>
      </c>
      <c r="G38" s="5">
        <f>E38*3</f>
        <v>712.14</v>
      </c>
      <c r="H38" s="5">
        <f>F38*3</f>
        <v>360.48</v>
      </c>
      <c r="I38" s="5" t="s">
        <v>20</v>
      </c>
    </row>
    <row r="39" spans="1:9" s="4" customFormat="1" x14ac:dyDescent="0.2">
      <c r="A39" s="3">
        <v>100</v>
      </c>
      <c r="B39" s="3" t="s">
        <v>9</v>
      </c>
      <c r="C39" s="3" t="s">
        <v>10</v>
      </c>
      <c r="D39" s="3" t="s">
        <v>13</v>
      </c>
      <c r="E39" s="3">
        <v>233.45</v>
      </c>
      <c r="F39" s="5">
        <v>117.62</v>
      </c>
      <c r="G39" s="5">
        <f t="shared" ref="G39:G40" si="3">E39*3</f>
        <v>700.34999999999991</v>
      </c>
      <c r="H39" s="5">
        <f t="shared" ref="H39:H40" si="4">F39*3</f>
        <v>352.86</v>
      </c>
      <c r="I39" s="5" t="s">
        <v>20</v>
      </c>
    </row>
    <row r="40" spans="1:9" s="4" customFormat="1" x14ac:dyDescent="0.2">
      <c r="A40" s="3">
        <v>100</v>
      </c>
      <c r="B40" s="3" t="s">
        <v>9</v>
      </c>
      <c r="C40" s="3" t="s">
        <v>10</v>
      </c>
      <c r="D40" s="3" t="s">
        <v>14</v>
      </c>
      <c r="E40" s="3">
        <v>235.67</v>
      </c>
      <c r="F40" s="5">
        <v>118.99</v>
      </c>
      <c r="G40" s="5">
        <f t="shared" si="3"/>
        <v>707.01</v>
      </c>
      <c r="H40" s="5">
        <f t="shared" si="4"/>
        <v>356.96999999999997</v>
      </c>
      <c r="I40" s="5" t="s">
        <v>20</v>
      </c>
    </row>
    <row r="41" spans="1:9" x14ac:dyDescent="0.2">
      <c r="A41" s="1">
        <v>100</v>
      </c>
      <c r="B41" s="1" t="s">
        <v>9</v>
      </c>
      <c r="C41" s="1" t="s">
        <v>15</v>
      </c>
      <c r="D41" s="1" t="s">
        <v>11</v>
      </c>
      <c r="E41" s="1">
        <v>19.100000000000001</v>
      </c>
      <c r="F41" s="2">
        <v>9.870000000000001</v>
      </c>
      <c r="G41" s="2">
        <v>57.300000000000004</v>
      </c>
      <c r="H41" s="2">
        <v>29.610000000000003</v>
      </c>
      <c r="I41" s="2" t="s">
        <v>20</v>
      </c>
    </row>
    <row r="42" spans="1:9" x14ac:dyDescent="0.2">
      <c r="A42" s="1">
        <v>100</v>
      </c>
      <c r="B42" s="1" t="s">
        <v>9</v>
      </c>
      <c r="C42" s="1" t="s">
        <v>15</v>
      </c>
      <c r="D42" s="1" t="s">
        <v>13</v>
      </c>
      <c r="E42" s="1">
        <v>8.5500000000000007</v>
      </c>
      <c r="F42" s="2">
        <v>10.45</v>
      </c>
      <c r="G42" s="2">
        <v>25.650000000000002</v>
      </c>
      <c r="H42" s="2">
        <v>31.349999999999998</v>
      </c>
      <c r="I42" s="2" t="s">
        <v>20</v>
      </c>
    </row>
    <row r="43" spans="1:9" x14ac:dyDescent="0.2">
      <c r="A43" s="1">
        <v>100</v>
      </c>
      <c r="B43" s="1" t="s">
        <v>9</v>
      </c>
      <c r="C43" s="1" t="s">
        <v>15</v>
      </c>
      <c r="D43" s="1" t="s">
        <v>14</v>
      </c>
      <c r="E43" s="1">
        <v>27.64</v>
      </c>
      <c r="F43" s="2">
        <v>9.82</v>
      </c>
      <c r="G43" s="2">
        <v>82.92</v>
      </c>
      <c r="H43" s="2">
        <v>29.46</v>
      </c>
      <c r="I43" s="2" t="s">
        <v>20</v>
      </c>
    </row>
    <row r="44" spans="1:9" x14ac:dyDescent="0.2">
      <c r="A44" s="1">
        <v>100</v>
      </c>
      <c r="B44" s="1" t="s">
        <v>9</v>
      </c>
      <c r="C44" s="1" t="s">
        <v>16</v>
      </c>
      <c r="D44" s="1" t="s">
        <v>11</v>
      </c>
      <c r="E44" s="1">
        <v>9.35</v>
      </c>
      <c r="F44" s="2">
        <v>6.59</v>
      </c>
      <c r="G44" s="2">
        <v>28.049999999999997</v>
      </c>
      <c r="H44" s="2">
        <v>19.77</v>
      </c>
      <c r="I44" s="2" t="s">
        <v>20</v>
      </c>
    </row>
    <row r="45" spans="1:9" x14ac:dyDescent="0.2">
      <c r="A45" s="1">
        <v>100</v>
      </c>
      <c r="B45" s="1" t="s">
        <v>9</v>
      </c>
      <c r="C45" s="1" t="s">
        <v>16</v>
      </c>
      <c r="D45" s="1" t="s">
        <v>13</v>
      </c>
      <c r="E45" s="1">
        <v>3.63</v>
      </c>
      <c r="F45" s="2">
        <v>6.6000000000000005</v>
      </c>
      <c r="G45" s="2">
        <v>10.89</v>
      </c>
      <c r="H45" s="2">
        <v>19.8</v>
      </c>
      <c r="I45" s="2" t="s">
        <v>20</v>
      </c>
    </row>
    <row r="46" spans="1:9" x14ac:dyDescent="0.2">
      <c r="A46" s="1">
        <v>100</v>
      </c>
      <c r="B46" s="1" t="s">
        <v>9</v>
      </c>
      <c r="C46" s="1" t="s">
        <v>16</v>
      </c>
      <c r="D46" s="1" t="s">
        <v>14</v>
      </c>
      <c r="E46" s="1">
        <v>22.48</v>
      </c>
      <c r="F46" s="2">
        <v>5.5100000000000016</v>
      </c>
      <c r="G46" s="2">
        <v>67.44</v>
      </c>
      <c r="H46" s="2">
        <v>16.530000000000005</v>
      </c>
      <c r="I46" s="2" t="s">
        <v>20</v>
      </c>
    </row>
    <row r="47" spans="1:9" x14ac:dyDescent="0.2">
      <c r="A47" s="1">
        <v>100</v>
      </c>
      <c r="B47" s="1" t="s">
        <v>9</v>
      </c>
      <c r="C47" s="1" t="s">
        <v>10</v>
      </c>
      <c r="D47" s="1" t="s">
        <v>11</v>
      </c>
      <c r="E47" s="1">
        <v>212.31</v>
      </c>
      <c r="F47" s="2">
        <v>102.29</v>
      </c>
      <c r="G47" s="2">
        <v>424.62</v>
      </c>
      <c r="H47" s="2">
        <v>204.58</v>
      </c>
      <c r="I47" s="2" t="s">
        <v>21</v>
      </c>
    </row>
    <row r="48" spans="1:9" x14ac:dyDescent="0.2">
      <c r="A48" s="1">
        <v>100</v>
      </c>
      <c r="B48" s="1" t="s">
        <v>9</v>
      </c>
      <c r="C48" s="1" t="s">
        <v>10</v>
      </c>
      <c r="D48" s="1" t="s">
        <v>13</v>
      </c>
      <c r="E48" s="1">
        <v>209.46</v>
      </c>
      <c r="F48" s="2">
        <v>103.56</v>
      </c>
      <c r="G48" s="2">
        <v>418.92</v>
      </c>
      <c r="H48" s="2">
        <f>F48*2</f>
        <v>207.12</v>
      </c>
      <c r="I48" s="2" t="s">
        <v>21</v>
      </c>
    </row>
    <row r="49" spans="1:9" x14ac:dyDescent="0.2">
      <c r="A49" s="1">
        <v>100</v>
      </c>
      <c r="B49" s="1" t="s">
        <v>9</v>
      </c>
      <c r="C49" s="1" t="s">
        <v>10</v>
      </c>
      <c r="D49" s="1" t="s">
        <v>14</v>
      </c>
      <c r="E49" s="1">
        <v>208.65</v>
      </c>
      <c r="F49" s="2">
        <v>103.15</v>
      </c>
      <c r="G49" s="2">
        <v>417.3</v>
      </c>
      <c r="H49" s="2">
        <v>206.3</v>
      </c>
      <c r="I49" s="2" t="s">
        <v>21</v>
      </c>
    </row>
    <row r="50" spans="1:9" x14ac:dyDescent="0.2">
      <c r="A50" s="1">
        <v>100</v>
      </c>
      <c r="B50" s="1" t="s">
        <v>9</v>
      </c>
      <c r="C50" s="1" t="s">
        <v>15</v>
      </c>
      <c r="D50" s="1" t="s">
        <v>11</v>
      </c>
      <c r="E50" s="1">
        <v>1.36</v>
      </c>
      <c r="F50" s="2">
        <v>0.37000000000000011</v>
      </c>
      <c r="G50" s="2">
        <v>2.72</v>
      </c>
      <c r="H50" s="2">
        <v>0.74000000000000021</v>
      </c>
      <c r="I50" s="2" t="s">
        <v>21</v>
      </c>
    </row>
    <row r="51" spans="1:9" x14ac:dyDescent="0.2">
      <c r="A51" s="1">
        <v>100</v>
      </c>
      <c r="B51" s="1" t="s">
        <v>9</v>
      </c>
      <c r="C51" s="1" t="s">
        <v>15</v>
      </c>
      <c r="D51" s="1" t="s">
        <v>13</v>
      </c>
      <c r="E51" s="1">
        <v>1.26</v>
      </c>
      <c r="F51" s="2">
        <v>0.36</v>
      </c>
      <c r="G51" s="2">
        <v>2.52</v>
      </c>
      <c r="H51" s="2">
        <v>0.72</v>
      </c>
      <c r="I51" s="2" t="s">
        <v>21</v>
      </c>
    </row>
    <row r="52" spans="1:9" x14ac:dyDescent="0.2">
      <c r="A52" s="1">
        <v>100</v>
      </c>
      <c r="B52" s="1" t="s">
        <v>9</v>
      </c>
      <c r="C52" s="1" t="s">
        <v>15</v>
      </c>
      <c r="D52" s="1" t="s">
        <v>14</v>
      </c>
      <c r="E52" s="1">
        <v>1.1499999999999999</v>
      </c>
      <c r="F52" s="2">
        <v>0.39999999999999991</v>
      </c>
      <c r="G52" s="2">
        <v>2.2999999999999998</v>
      </c>
      <c r="H52" s="2">
        <v>0.79999999999999982</v>
      </c>
      <c r="I52" s="2" t="s">
        <v>21</v>
      </c>
    </row>
    <row r="53" spans="1:9" x14ac:dyDescent="0.2">
      <c r="A53" s="1">
        <v>100</v>
      </c>
      <c r="B53" s="1" t="s">
        <v>9</v>
      </c>
      <c r="C53" s="1" t="s">
        <v>16</v>
      </c>
      <c r="D53" s="1" t="s">
        <v>11</v>
      </c>
      <c r="E53" s="1">
        <v>0.82</v>
      </c>
      <c r="F53" s="2">
        <v>0.38999999999999996</v>
      </c>
      <c r="G53" s="2">
        <v>1.64</v>
      </c>
      <c r="H53" s="2">
        <v>0.77999999999999992</v>
      </c>
      <c r="I53" s="2" t="s">
        <v>21</v>
      </c>
    </row>
    <row r="54" spans="1:9" x14ac:dyDescent="0.2">
      <c r="A54" s="1">
        <v>100</v>
      </c>
      <c r="B54" s="1" t="s">
        <v>9</v>
      </c>
      <c r="C54" s="1" t="s">
        <v>16</v>
      </c>
      <c r="D54" s="1" t="s">
        <v>13</v>
      </c>
      <c r="E54" s="1">
        <v>0.67</v>
      </c>
      <c r="F54" s="2">
        <v>0.33</v>
      </c>
      <c r="G54" s="2">
        <v>1.34</v>
      </c>
      <c r="H54" s="2">
        <v>0.66</v>
      </c>
      <c r="I54" s="2" t="s">
        <v>21</v>
      </c>
    </row>
    <row r="55" spans="1:9" x14ac:dyDescent="0.2">
      <c r="A55" s="1">
        <v>100</v>
      </c>
      <c r="B55" s="1" t="s">
        <v>9</v>
      </c>
      <c r="C55" s="1" t="s">
        <v>16</v>
      </c>
      <c r="D55" s="1" t="s">
        <v>14</v>
      </c>
      <c r="E55" s="1">
        <v>0.54</v>
      </c>
      <c r="F55" s="2">
        <v>0.38</v>
      </c>
      <c r="G55" s="2">
        <v>1.08</v>
      </c>
      <c r="H55" s="2">
        <v>0.76</v>
      </c>
      <c r="I55" s="2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Jérémy Carlot</dc:creator>
  <cp:lastModifiedBy>Jérémy Carlot</cp:lastModifiedBy>
  <dcterms:created xsi:type="dcterms:W3CDTF">2026-02-15T13:32:34Z</dcterms:created>
  <dcterms:modified xsi:type="dcterms:W3CDTF">2026-02-16T02:04:34Z</dcterms:modified>
</cp:coreProperties>
</file>