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4. Visual census/Species Biomass Weight/"/>
    </mc:Choice>
  </mc:AlternateContent>
  <xr:revisionPtr revIDLastSave="0" documentId="13_ncr:1_{F1C25AC7-1DA8-F946-AE06-52468CD0C84F}" xr6:coauthVersionLast="47" xr6:coauthVersionMax="47" xr10:uidLastSave="{00000000-0000-0000-0000-000000000000}"/>
  <bookViews>
    <workbookView xWindow="0" yWindow="760" windowWidth="30240" windowHeight="17260" xr2:uid="{FAAE5483-3841-C24C-9C0E-AC92270D4489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B81" i="1"/>
  <c r="B80" i="1"/>
  <c r="B79" i="1"/>
  <c r="B78" i="1"/>
  <c r="B77" i="1"/>
  <c r="B76" i="1"/>
  <c r="B75" i="1"/>
  <c r="B74" i="1"/>
  <c r="B73" i="1"/>
  <c r="B71" i="1"/>
  <c r="B72" i="1"/>
  <c r="B70" i="1"/>
  <c r="B69" i="1"/>
  <c r="B68" i="1"/>
  <c r="B65" i="1"/>
  <c r="B67" i="1"/>
  <c r="B66" i="1"/>
  <c r="B64" i="1"/>
  <c r="B63" i="1"/>
  <c r="B62" i="1"/>
  <c r="B61" i="1"/>
  <c r="B60" i="1"/>
  <c r="B59" i="1"/>
  <c r="B58" i="1"/>
  <c r="B57" i="1"/>
  <c r="B56" i="1"/>
</calcChain>
</file>

<file path=xl/sharedStrings.xml><?xml version="1.0" encoding="utf-8"?>
<sst xmlns="http://schemas.openxmlformats.org/spreadsheetml/2006/main" count="83" uniqueCount="29">
  <si>
    <t>Species</t>
  </si>
  <si>
    <t>Corallina officinalis</t>
  </si>
  <si>
    <t>Tricleocarpa fragilis</t>
  </si>
  <si>
    <t>Padina pavonica</t>
  </si>
  <si>
    <t>Halopteris filicina</t>
  </si>
  <si>
    <t>Perforatus perforatus</t>
  </si>
  <si>
    <t>Crambe crambe</t>
  </si>
  <si>
    <t>Halipton virgatum</t>
  </si>
  <si>
    <t>Turf</t>
  </si>
  <si>
    <t>Amphiroa rigida</t>
  </si>
  <si>
    <t>Dry weight (g)</t>
  </si>
  <si>
    <t>Acetabularia acetabulum</t>
  </si>
  <si>
    <t>Bryopsis sp.</t>
  </si>
  <si>
    <t>Dictyota sp.</t>
  </si>
  <si>
    <t>Encrusting bryozoan</t>
  </si>
  <si>
    <t>Flabellia petiolata</t>
  </si>
  <si>
    <t>Halopteris scoparia</t>
  </si>
  <si>
    <t>Anadyomene stellata</t>
  </si>
  <si>
    <t>Peyssonnelia squamaria</t>
  </si>
  <si>
    <t>Hydroliton farinosum</t>
  </si>
  <si>
    <t>Cladophora sp.</t>
  </si>
  <si>
    <t>Parvaucalis parvulus</t>
  </si>
  <si>
    <t>CCA</t>
  </si>
  <si>
    <t>Pseudolithoderma adriaticum</t>
  </si>
  <si>
    <t>Clathrina clathrus</t>
  </si>
  <si>
    <t>Schizoporella grimaldii</t>
  </si>
  <si>
    <t>Bugula neritina</t>
  </si>
  <si>
    <t>Celleporina caminata</t>
  </si>
  <si>
    <t>Lima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</si>
</sst>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6635-3ABC-784F-B671-78C772F617A3}">
  <dimension ref="A1:D82"/>
  <sheetViews>
    <sheetView tabSelected="1" workbookViewId="0">
      <selection activeCell="H8" sqref="H8"/>
    </sheetView>
  </sheetViews>
  <sheetFormatPr baseColWidth="10" defaultRowHeight="16" x14ac:dyDescent="0.2"/>
  <cols>
    <col min="1" max="1" width="25.6640625" bestFit="1" customWidth="1"/>
    <col min="2" max="2" width="15.33203125" style="1" bestFit="1" customWidth="1"/>
  </cols>
  <sheetData>
    <row r="1" spans="1:3" x14ac:dyDescent="0.2">
      <c r="A1" t="s">
        <v>0</v>
      </c>
      <c r="B1" t="s">
        <v>10</v>
      </c>
    </row>
    <row r="2" spans="1:3" ht="17" x14ac:dyDescent="0.2">
      <c r="A2" s="2" t="s">
        <v>11</v>
      </c>
      <c r="B2" s="1">
        <v>2.53E-2</v>
      </c>
    </row>
    <row r="3" spans="1:3" ht="17" x14ac:dyDescent="0.2">
      <c r="A3" s="2" t="s">
        <v>11</v>
      </c>
      <c r="B3" s="1">
        <v>6.2100000000000002E-2</v>
      </c>
    </row>
    <row r="4" spans="1:3" ht="17" x14ac:dyDescent="0.2">
      <c r="A4" s="2" t="s">
        <v>11</v>
      </c>
      <c r="B4" s="1">
        <v>2.1899999999999999E-2</v>
      </c>
    </row>
    <row r="5" spans="1:3" ht="17" x14ac:dyDescent="0.2">
      <c r="A5" s="2" t="s">
        <v>9</v>
      </c>
      <c r="B5" s="1">
        <v>1.3693</v>
      </c>
      <c r="C5" s="3"/>
    </row>
    <row r="6" spans="1:3" ht="17" x14ac:dyDescent="0.2">
      <c r="A6" s="2" t="s">
        <v>9</v>
      </c>
      <c r="B6" s="1">
        <v>0.9909</v>
      </c>
    </row>
    <row r="7" spans="1:3" ht="17" x14ac:dyDescent="0.2">
      <c r="A7" s="2" t="s">
        <v>9</v>
      </c>
      <c r="B7" s="1">
        <v>0.56840000000000002</v>
      </c>
    </row>
    <row r="8" spans="1:3" ht="17" x14ac:dyDescent="0.2">
      <c r="A8" s="2" t="s">
        <v>17</v>
      </c>
      <c r="B8" s="1">
        <v>0.1028</v>
      </c>
    </row>
    <row r="9" spans="1:3" ht="17" x14ac:dyDescent="0.2">
      <c r="A9" s="2" t="s">
        <v>17</v>
      </c>
      <c r="B9" s="1">
        <v>0.1085</v>
      </c>
    </row>
    <row r="10" spans="1:3" ht="17" x14ac:dyDescent="0.2">
      <c r="A10" s="2" t="s">
        <v>17</v>
      </c>
      <c r="B10" s="1">
        <v>0.1835</v>
      </c>
    </row>
    <row r="11" spans="1:3" ht="17" x14ac:dyDescent="0.2">
      <c r="A11" s="2" t="s">
        <v>12</v>
      </c>
      <c r="B11" s="1">
        <v>0.65169999999999995</v>
      </c>
    </row>
    <row r="12" spans="1:3" ht="17" x14ac:dyDescent="0.2">
      <c r="A12" s="2" t="s">
        <v>12</v>
      </c>
      <c r="B12" s="1">
        <v>0.34820000000000001</v>
      </c>
    </row>
    <row r="13" spans="1:3" ht="17" x14ac:dyDescent="0.2">
      <c r="A13" s="2" t="s">
        <v>12</v>
      </c>
      <c r="B13" s="1">
        <v>0.4793</v>
      </c>
    </row>
    <row r="14" spans="1:3" ht="17" x14ac:dyDescent="0.2">
      <c r="A14" s="2" t="s">
        <v>1</v>
      </c>
      <c r="B14" s="1">
        <v>0.71160000000000001</v>
      </c>
    </row>
    <row r="15" spans="1:3" ht="17" x14ac:dyDescent="0.2">
      <c r="A15" s="2" t="s">
        <v>1</v>
      </c>
      <c r="B15" s="1">
        <v>1.7615000000000001</v>
      </c>
    </row>
    <row r="16" spans="1:3" ht="17" x14ac:dyDescent="0.2">
      <c r="A16" s="2" t="s">
        <v>1</v>
      </c>
      <c r="B16" s="1">
        <v>0.79969999999999997</v>
      </c>
    </row>
    <row r="17" spans="1:4" ht="17" x14ac:dyDescent="0.2">
      <c r="A17" s="2" t="s">
        <v>6</v>
      </c>
      <c r="B17" s="1">
        <v>1.1984999999999999</v>
      </c>
    </row>
    <row r="18" spans="1:4" ht="17" x14ac:dyDescent="0.2">
      <c r="A18" s="2" t="s">
        <v>6</v>
      </c>
      <c r="B18" s="1">
        <v>0.80149999999999999</v>
      </c>
    </row>
    <row r="19" spans="1:4" ht="17" x14ac:dyDescent="0.2">
      <c r="A19" s="2" t="s">
        <v>6</v>
      </c>
      <c r="B19" s="1">
        <v>0.23019999999999999</v>
      </c>
    </row>
    <row r="20" spans="1:4" ht="17" x14ac:dyDescent="0.2">
      <c r="A20" s="2" t="s">
        <v>13</v>
      </c>
      <c r="B20" s="1">
        <v>4.4999999999999998E-2</v>
      </c>
    </row>
    <row r="21" spans="1:4" ht="17" x14ac:dyDescent="0.2">
      <c r="A21" s="2" t="s">
        <v>13</v>
      </c>
      <c r="B21" s="1">
        <v>6.5799999999999997E-2</v>
      </c>
    </row>
    <row r="22" spans="1:4" ht="17" x14ac:dyDescent="0.2">
      <c r="A22" s="2" t="s">
        <v>13</v>
      </c>
      <c r="B22" s="1">
        <v>8.2600000000000007E-2</v>
      </c>
    </row>
    <row r="23" spans="1:4" ht="17" x14ac:dyDescent="0.2">
      <c r="A23" s="2" t="s">
        <v>14</v>
      </c>
      <c r="B23" s="1">
        <v>0.79590000000000005</v>
      </c>
    </row>
    <row r="24" spans="1:4" ht="17" x14ac:dyDescent="0.2">
      <c r="A24" s="2" t="s">
        <v>14</v>
      </c>
      <c r="B24" s="1">
        <v>0.46311999999999998</v>
      </c>
    </row>
    <row r="25" spans="1:4" ht="17" x14ac:dyDescent="0.2">
      <c r="A25" s="2" t="s">
        <v>14</v>
      </c>
      <c r="B25" s="1">
        <v>0.24393000000000001</v>
      </c>
    </row>
    <row r="26" spans="1:4" ht="17" x14ac:dyDescent="0.2">
      <c r="A26" s="2" t="s">
        <v>15</v>
      </c>
      <c r="B26" s="1">
        <v>0.29430000000000001</v>
      </c>
    </row>
    <row r="27" spans="1:4" ht="17" x14ac:dyDescent="0.2">
      <c r="A27" s="2" t="s">
        <v>15</v>
      </c>
      <c r="B27" s="1">
        <v>0.38479999999999998</v>
      </c>
    </row>
    <row r="28" spans="1:4" ht="17" x14ac:dyDescent="0.2">
      <c r="A28" s="2" t="s">
        <v>15</v>
      </c>
      <c r="B28" s="1">
        <v>0.27529999999999999</v>
      </c>
    </row>
    <row r="29" spans="1:4" ht="17" x14ac:dyDescent="0.2">
      <c r="A29" s="2" t="s">
        <v>7</v>
      </c>
      <c r="B29" s="1">
        <v>0.1067</v>
      </c>
    </row>
    <row r="30" spans="1:4" ht="17" x14ac:dyDescent="0.2">
      <c r="A30" s="2" t="s">
        <v>7</v>
      </c>
      <c r="B30" s="1">
        <v>6.1899999999999997E-2</v>
      </c>
    </row>
    <row r="31" spans="1:4" ht="17" x14ac:dyDescent="0.2">
      <c r="A31" s="2" t="s">
        <v>7</v>
      </c>
      <c r="B31" s="1">
        <v>0.2175</v>
      </c>
    </row>
    <row r="32" spans="1:4" ht="17" x14ac:dyDescent="0.2">
      <c r="A32" s="2" t="s">
        <v>16</v>
      </c>
      <c r="B32" s="1">
        <v>0.61099999999999999</v>
      </c>
      <c r="D32" s="3"/>
    </row>
    <row r="33" spans="1:4" ht="17" x14ac:dyDescent="0.2">
      <c r="A33" s="2" t="s">
        <v>16</v>
      </c>
      <c r="B33" s="1">
        <v>0.44450000000000001</v>
      </c>
    </row>
    <row r="34" spans="1:4" ht="17" x14ac:dyDescent="0.2">
      <c r="A34" s="2" t="s">
        <v>16</v>
      </c>
      <c r="B34" s="1">
        <v>0.8871</v>
      </c>
    </row>
    <row r="35" spans="1:4" ht="17" x14ac:dyDescent="0.2">
      <c r="A35" s="2" t="s">
        <v>4</v>
      </c>
      <c r="B35" s="1">
        <v>6.5100000000000005E-2</v>
      </c>
    </row>
    <row r="36" spans="1:4" ht="17" x14ac:dyDescent="0.2">
      <c r="A36" s="2" t="s">
        <v>4</v>
      </c>
      <c r="B36" s="1">
        <v>0.30919999999999997</v>
      </c>
    </row>
    <row r="37" spans="1:4" ht="17" x14ac:dyDescent="0.2">
      <c r="A37" s="2" t="s">
        <v>4</v>
      </c>
      <c r="B37" s="1">
        <v>0.34350000000000003</v>
      </c>
    </row>
    <row r="38" spans="1:4" ht="17" x14ac:dyDescent="0.2">
      <c r="A38" s="2" t="s">
        <v>19</v>
      </c>
      <c r="B38" s="1">
        <v>0.18859000000000001</v>
      </c>
    </row>
    <row r="39" spans="1:4" ht="17" x14ac:dyDescent="0.2">
      <c r="A39" s="2" t="s">
        <v>19</v>
      </c>
      <c r="B39" s="1">
        <v>0.28919</v>
      </c>
    </row>
    <row r="40" spans="1:4" ht="17" x14ac:dyDescent="0.2">
      <c r="A40" s="2" t="s">
        <v>19</v>
      </c>
      <c r="B40" s="1">
        <v>0.28120000000000001</v>
      </c>
    </row>
    <row r="41" spans="1:4" ht="17" x14ac:dyDescent="0.2">
      <c r="A41" s="2" t="s">
        <v>3</v>
      </c>
      <c r="B41" s="1">
        <v>0.1817</v>
      </c>
    </row>
    <row r="42" spans="1:4" ht="17" x14ac:dyDescent="0.2">
      <c r="A42" s="2" t="s">
        <v>3</v>
      </c>
      <c r="B42" s="1">
        <v>0.34339999999999998</v>
      </c>
    </row>
    <row r="43" spans="1:4" ht="17" x14ac:dyDescent="0.2">
      <c r="A43" s="2" t="s">
        <v>3</v>
      </c>
      <c r="B43" s="1">
        <v>0.20250000000000001</v>
      </c>
    </row>
    <row r="44" spans="1:4" ht="17" x14ac:dyDescent="0.2">
      <c r="A44" s="2" t="s">
        <v>5</v>
      </c>
      <c r="B44" s="1">
        <v>2.1070000000000002</v>
      </c>
    </row>
    <row r="45" spans="1:4" ht="17" x14ac:dyDescent="0.2">
      <c r="A45" s="2" t="s">
        <v>5</v>
      </c>
      <c r="B45" s="1">
        <v>2.6305999999999998</v>
      </c>
    </row>
    <row r="46" spans="1:4" ht="17" x14ac:dyDescent="0.2">
      <c r="A46" s="2" t="s">
        <v>5</v>
      </c>
      <c r="B46" s="1">
        <v>1.8154999999999999</v>
      </c>
    </row>
    <row r="47" spans="1:4" ht="17" x14ac:dyDescent="0.2">
      <c r="A47" s="2" t="s">
        <v>18</v>
      </c>
      <c r="B47" s="1">
        <v>0.61350000000000005</v>
      </c>
    </row>
    <row r="48" spans="1:4" ht="17" x14ac:dyDescent="0.2">
      <c r="A48" s="2" t="s">
        <v>18</v>
      </c>
      <c r="B48" s="1">
        <v>0.38579999999999998</v>
      </c>
      <c r="D48" s="3"/>
    </row>
    <row r="49" spans="1:2" ht="17" x14ac:dyDescent="0.2">
      <c r="A49" s="2" t="s">
        <v>18</v>
      </c>
      <c r="B49" s="1">
        <v>0.34699999999999998</v>
      </c>
    </row>
    <row r="50" spans="1:2" ht="17" x14ac:dyDescent="0.2">
      <c r="A50" s="2" t="s">
        <v>2</v>
      </c>
      <c r="B50" s="1">
        <v>1.6799999999999999E-2</v>
      </c>
    </row>
    <row r="51" spans="1:2" ht="17" x14ac:dyDescent="0.2">
      <c r="A51" s="2" t="s">
        <v>2</v>
      </c>
      <c r="B51" s="1">
        <v>0.1981</v>
      </c>
    </row>
    <row r="52" spans="1:2" ht="17" x14ac:dyDescent="0.2">
      <c r="A52" s="2" t="s">
        <v>2</v>
      </c>
      <c r="B52" s="1">
        <v>0.1143</v>
      </c>
    </row>
    <row r="53" spans="1:2" ht="17" x14ac:dyDescent="0.2">
      <c r="A53" s="2" t="s">
        <v>8</v>
      </c>
      <c r="B53" s="1">
        <v>0.28960000000000002</v>
      </c>
    </row>
    <row r="54" spans="1:2" ht="17" x14ac:dyDescent="0.2">
      <c r="A54" s="2" t="s">
        <v>8</v>
      </c>
      <c r="B54" s="1">
        <v>0.66110000000000002</v>
      </c>
    </row>
    <row r="55" spans="1:2" ht="17" x14ac:dyDescent="0.2">
      <c r="A55" s="2" t="s">
        <v>8</v>
      </c>
      <c r="B55" s="1">
        <v>0.32890000000000003</v>
      </c>
    </row>
    <row r="56" spans="1:2" ht="17" x14ac:dyDescent="0.2">
      <c r="A56" s="2" t="s">
        <v>20</v>
      </c>
      <c r="B56" s="1">
        <f>18.3875-17.8245</f>
        <v>0.56299999999999883</v>
      </c>
    </row>
    <row r="57" spans="1:2" ht="17" x14ac:dyDescent="0.2">
      <c r="A57" s="2" t="s">
        <v>20</v>
      </c>
      <c r="B57" s="1">
        <f>21.7615-21.4852</f>
        <v>0.27630000000000265</v>
      </c>
    </row>
    <row r="58" spans="1:2" ht="17" x14ac:dyDescent="0.2">
      <c r="A58" s="2" t="s">
        <v>20</v>
      </c>
      <c r="B58" s="1">
        <f>20.5396-20.2173</f>
        <v>0.32229999999999848</v>
      </c>
    </row>
    <row r="59" spans="1:2" ht="17" x14ac:dyDescent="0.2">
      <c r="A59" s="2" t="s">
        <v>21</v>
      </c>
      <c r="B59" s="1">
        <f>(0.3224-0.271)/3</f>
        <v>1.7133333333333334E-2</v>
      </c>
    </row>
    <row r="60" spans="1:2" ht="17" x14ac:dyDescent="0.2">
      <c r="A60" s="2" t="s">
        <v>21</v>
      </c>
      <c r="B60" s="1">
        <f>(0.3224-0.271)/3</f>
        <v>1.7133333333333334E-2</v>
      </c>
    </row>
    <row r="61" spans="1:2" ht="17" x14ac:dyDescent="0.2">
      <c r="A61" s="2" t="s">
        <v>21</v>
      </c>
      <c r="B61" s="1">
        <f>(0.3224-0.271)/3</f>
        <v>1.7133333333333334E-2</v>
      </c>
    </row>
    <row r="62" spans="1:2" ht="17" x14ac:dyDescent="0.2">
      <c r="A62" s="2" t="s">
        <v>22</v>
      </c>
      <c r="B62" s="1">
        <f>(27.3764-23.6196)/3</f>
        <v>1.2522666666666673</v>
      </c>
    </row>
    <row r="63" spans="1:2" ht="17" x14ac:dyDescent="0.2">
      <c r="A63" s="2" t="s">
        <v>22</v>
      </c>
      <c r="B63" s="1">
        <f>(27.3764-23.6196)/3</f>
        <v>1.2522666666666673</v>
      </c>
    </row>
    <row r="64" spans="1:2" ht="17" x14ac:dyDescent="0.2">
      <c r="A64" s="2" t="s">
        <v>22</v>
      </c>
      <c r="B64" s="1">
        <f>(27.3764-23.6196)/3</f>
        <v>1.2522666666666673</v>
      </c>
    </row>
    <row r="65" spans="1:2" ht="17" x14ac:dyDescent="0.2">
      <c r="A65" s="2" t="s">
        <v>23</v>
      </c>
      <c r="B65" s="1">
        <f>(3.3206-0.335)/3</f>
        <v>0.99520000000000008</v>
      </c>
    </row>
    <row r="66" spans="1:2" ht="17" x14ac:dyDescent="0.2">
      <c r="A66" s="2" t="s">
        <v>23</v>
      </c>
      <c r="B66" s="1">
        <f>(3.3206-0.335)/3</f>
        <v>0.99520000000000008</v>
      </c>
    </row>
    <row r="67" spans="1:2" ht="17" x14ac:dyDescent="0.2">
      <c r="A67" s="2" t="s">
        <v>23</v>
      </c>
      <c r="B67" s="1">
        <f>(3.3206-0.335)/3</f>
        <v>0.99520000000000008</v>
      </c>
    </row>
    <row r="68" spans="1:2" ht="17" x14ac:dyDescent="0.2">
      <c r="A68" s="2" t="s">
        <v>24</v>
      </c>
      <c r="B68" s="1">
        <f>(0.712-0.3361)/3</f>
        <v>0.12529999999999999</v>
      </c>
    </row>
    <row r="69" spans="1:2" ht="17" x14ac:dyDescent="0.2">
      <c r="A69" s="2" t="s">
        <v>24</v>
      </c>
      <c r="B69" s="1">
        <f>(0.712-0.3361)/3</f>
        <v>0.12529999999999999</v>
      </c>
    </row>
    <row r="70" spans="1:2" ht="17" x14ac:dyDescent="0.2">
      <c r="A70" s="2" t="s">
        <v>24</v>
      </c>
      <c r="B70" s="1">
        <f>(0.712-0.3361)/3</f>
        <v>0.12529999999999999</v>
      </c>
    </row>
    <row r="71" spans="1:2" ht="17" x14ac:dyDescent="0.2">
      <c r="A71" s="2" t="s">
        <v>25</v>
      </c>
      <c r="B71" s="1">
        <f>2.2803-0.154</f>
        <v>2.1263000000000001</v>
      </c>
    </row>
    <row r="72" spans="1:2" ht="17" x14ac:dyDescent="0.2">
      <c r="A72" s="2" t="s">
        <v>25</v>
      </c>
      <c r="B72" s="1">
        <f>0.9175-0.1015</f>
        <v>0.81599999999999995</v>
      </c>
    </row>
    <row r="73" spans="1:2" ht="17" x14ac:dyDescent="0.2">
      <c r="A73" s="2" t="s">
        <v>25</v>
      </c>
      <c r="B73" s="1">
        <f>0.7845-0.3142</f>
        <v>0.4703</v>
      </c>
    </row>
    <row r="74" spans="1:2" ht="17" x14ac:dyDescent="0.2">
      <c r="A74" s="2" t="s">
        <v>26</v>
      </c>
      <c r="B74" s="1">
        <f>0.3046-0.1002</f>
        <v>0.20439999999999997</v>
      </c>
    </row>
    <row r="75" spans="1:2" ht="17" x14ac:dyDescent="0.2">
      <c r="A75" s="2" t="s">
        <v>26</v>
      </c>
      <c r="B75" s="1">
        <f>0.222-0.157</f>
        <v>6.5000000000000002E-2</v>
      </c>
    </row>
    <row r="76" spans="1:2" ht="17" x14ac:dyDescent="0.2">
      <c r="A76" s="2" t="s">
        <v>26</v>
      </c>
      <c r="B76" s="1">
        <f>0.2323-0.1754</f>
        <v>5.6900000000000006E-2</v>
      </c>
    </row>
    <row r="77" spans="1:2" ht="17" x14ac:dyDescent="0.2">
      <c r="A77" s="2" t="s">
        <v>27</v>
      </c>
      <c r="B77" s="1">
        <f>(0.3733-0.2232)/3</f>
        <v>5.0033333333333339E-2</v>
      </c>
    </row>
    <row r="78" spans="1:2" ht="17" x14ac:dyDescent="0.2">
      <c r="A78" s="2" t="s">
        <v>27</v>
      </c>
      <c r="B78" s="1">
        <f>(0.3733-0.2232)/3</f>
        <v>5.0033333333333339E-2</v>
      </c>
    </row>
    <row r="79" spans="1:2" ht="17" x14ac:dyDescent="0.2">
      <c r="A79" s="2" t="s">
        <v>27</v>
      </c>
      <c r="B79" s="1">
        <f>(0.3733-0.2232)/3</f>
        <v>5.0033333333333339E-2</v>
      </c>
    </row>
    <row r="80" spans="1:2" ht="17" x14ac:dyDescent="0.2">
      <c r="A80" s="2" t="s">
        <v>28</v>
      </c>
      <c r="B80" s="1">
        <f>24.882-23.6931</f>
        <v>1.1889000000000003</v>
      </c>
    </row>
    <row r="81" spans="1:2" ht="17" x14ac:dyDescent="0.2">
      <c r="A81" s="2" t="s">
        <v>28</v>
      </c>
      <c r="B81" s="1">
        <f>24.882-23.6931</f>
        <v>1.1889000000000003</v>
      </c>
    </row>
    <row r="82" spans="1:2" ht="17" x14ac:dyDescent="0.2">
      <c r="A82" s="2" t="s">
        <v>28</v>
      </c>
      <c r="B82" s="1">
        <f>24.882-23.6931</f>
        <v>1.1889000000000003</v>
      </c>
    </row>
  </sheetData>
  <autoFilter ref="A1:B1" xr:uid="{913B6635-3ABC-784F-B671-78C772F617A3}">
    <sortState xmlns:xlrd2="http://schemas.microsoft.com/office/spreadsheetml/2017/richdata2" ref="A2:B55">
      <sortCondition ref="A1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2023-06-29T12:44:17Z</dcterms:created>
  <dcterms:modified xsi:type="dcterms:W3CDTF">2024-05-22T15:20:10Z</dcterms:modified>
</cp:coreProperties>
</file>