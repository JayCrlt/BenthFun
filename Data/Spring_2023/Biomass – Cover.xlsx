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Desktop/"/>
    </mc:Choice>
  </mc:AlternateContent>
  <xr:revisionPtr revIDLastSave="0" documentId="13_ncr:1_{ABCB2DDD-CFC4-B340-8069-7F10D180BDE5}" xr6:coauthVersionLast="47" xr6:coauthVersionMax="47" xr10:uidLastSave="{00000000-0000-0000-0000-000000000000}"/>
  <bookViews>
    <workbookView xWindow="380" yWindow="500" windowWidth="28040" windowHeight="16120" xr2:uid="{FAAE5483-3841-C24C-9C0E-AC92270D44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8" i="1"/>
  <c r="D11" i="1"/>
  <c r="D14" i="1"/>
  <c r="D17" i="1"/>
  <c r="D20" i="1"/>
  <c r="D23" i="1"/>
  <c r="D26" i="1"/>
  <c r="D29" i="1"/>
  <c r="D32" i="1"/>
  <c r="D35" i="1"/>
  <c r="D38" i="1"/>
  <c r="D41" i="1"/>
  <c r="D44" i="1"/>
  <c r="D47" i="1"/>
  <c r="D50" i="1"/>
  <c r="D53" i="1"/>
  <c r="D2" i="1"/>
  <c r="E5" i="1"/>
  <c r="E8" i="1"/>
  <c r="E11" i="1"/>
  <c r="E14" i="1"/>
  <c r="E17" i="1"/>
  <c r="E20" i="1"/>
  <c r="E23" i="1"/>
  <c r="E26" i="1"/>
  <c r="E29" i="1"/>
  <c r="E32" i="1"/>
  <c r="E35" i="1"/>
  <c r="E38" i="1"/>
  <c r="E41" i="1"/>
  <c r="E44" i="1"/>
  <c r="E47" i="1"/>
  <c r="E50" i="1"/>
  <c r="E53" i="1"/>
  <c r="E2" i="1"/>
</calcChain>
</file>

<file path=xl/sharedStrings.xml><?xml version="1.0" encoding="utf-8"?>
<sst xmlns="http://schemas.openxmlformats.org/spreadsheetml/2006/main" count="23" uniqueCount="23">
  <si>
    <t>Species</t>
  </si>
  <si>
    <t>ID</t>
  </si>
  <si>
    <t>Flabellia</t>
  </si>
  <si>
    <t>Corallina officinalis</t>
  </si>
  <si>
    <t>Tricleocarpa fragilis</t>
  </si>
  <si>
    <t>Acetabularia</t>
  </si>
  <si>
    <t>Padina pavonica</t>
  </si>
  <si>
    <t>Peyssonelia</t>
  </si>
  <si>
    <t>Dictyota dichotoma</t>
  </si>
  <si>
    <t>Halopteris filicina</t>
  </si>
  <si>
    <t>Halopetis scoparia</t>
  </si>
  <si>
    <t>Bryopsis</t>
  </si>
  <si>
    <t>Hrydoliton farinosum</t>
  </si>
  <si>
    <t>Perforatus perforatus</t>
  </si>
  <si>
    <t>Crambe crambe</t>
  </si>
  <si>
    <t>Encrusting bryozoans</t>
  </si>
  <si>
    <t>Halipton virgatum</t>
  </si>
  <si>
    <t>Turf</t>
  </si>
  <si>
    <t>Anadyoneme stellata</t>
  </si>
  <si>
    <t>Amphiroa rigida</t>
  </si>
  <si>
    <t>Mean weight</t>
  </si>
  <si>
    <t>sd weight</t>
  </si>
  <si>
    <t>Dry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</si>
</sst>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"/>
    <numFmt numFmtId="171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6635-3ABC-784F-B671-78C772F617A3}">
  <dimension ref="A1:E55"/>
  <sheetViews>
    <sheetView tabSelected="1" workbookViewId="0">
      <selection activeCell="I16" sqref="I16"/>
    </sheetView>
  </sheetViews>
  <sheetFormatPr baseColWidth="10" defaultRowHeight="16" x14ac:dyDescent="0.2"/>
  <cols>
    <col min="1" max="1" width="11.83203125" customWidth="1"/>
    <col min="3" max="3" width="12.83203125" bestFit="1" customWidth="1"/>
    <col min="4" max="5" width="12.6640625" bestFit="1" customWidth="1"/>
  </cols>
  <sheetData>
    <row r="1" spans="1:5" x14ac:dyDescent="0.2">
      <c r="A1" t="s">
        <v>0</v>
      </c>
      <c r="B1" t="s">
        <v>1</v>
      </c>
      <c r="C1" t="s">
        <v>22</v>
      </c>
      <c r="D1" t="s">
        <v>20</v>
      </c>
      <c r="E1" t="s">
        <v>21</v>
      </c>
    </row>
    <row r="2" spans="1:5" x14ac:dyDescent="0.2">
      <c r="A2" s="1" t="s">
        <v>2</v>
      </c>
      <c r="B2" s="2">
        <v>1</v>
      </c>
      <c r="C2" s="4">
        <v>0.29430000000000001</v>
      </c>
      <c r="D2" s="3">
        <f>AVERAGE(C2:C4)</f>
        <v>0.31813333333333332</v>
      </c>
      <c r="E2" s="3">
        <f>STDEV(C2:C4)</f>
        <v>5.8511394901619919E-2</v>
      </c>
    </row>
    <row r="3" spans="1:5" x14ac:dyDescent="0.2">
      <c r="A3" s="1"/>
      <c r="B3" s="2"/>
      <c r="C3" s="4">
        <v>0.38479999999999998</v>
      </c>
      <c r="D3" s="3"/>
      <c r="E3" s="3"/>
    </row>
    <row r="4" spans="1:5" x14ac:dyDescent="0.2">
      <c r="A4" s="1"/>
      <c r="B4" s="2"/>
      <c r="C4" s="4">
        <v>0.27529999999999999</v>
      </c>
      <c r="D4" s="3"/>
      <c r="E4" s="3"/>
    </row>
    <row r="5" spans="1:5" x14ac:dyDescent="0.2">
      <c r="A5" s="1" t="s">
        <v>3</v>
      </c>
      <c r="B5" s="2">
        <v>2</v>
      </c>
      <c r="C5" s="4">
        <v>0.71160000000000001</v>
      </c>
      <c r="D5" s="3">
        <f t="shared" ref="D5" si="0">AVERAGE(C5:C7)</f>
        <v>1.0909333333333333</v>
      </c>
      <c r="E5" s="3">
        <f t="shared" ref="E5" si="1">STDEV(C5:C7)</f>
        <v>0.58239603650208116</v>
      </c>
    </row>
    <row r="6" spans="1:5" x14ac:dyDescent="0.2">
      <c r="A6" s="1"/>
      <c r="B6" s="2"/>
      <c r="C6" s="4">
        <v>1.7615000000000001</v>
      </c>
      <c r="D6" s="3"/>
      <c r="E6" s="3"/>
    </row>
    <row r="7" spans="1:5" x14ac:dyDescent="0.2">
      <c r="A7" s="1"/>
      <c r="B7" s="2"/>
      <c r="C7" s="4">
        <v>0.79969999999999997</v>
      </c>
      <c r="D7" s="3"/>
      <c r="E7" s="3"/>
    </row>
    <row r="8" spans="1:5" x14ac:dyDescent="0.2">
      <c r="A8" s="1" t="s">
        <v>4</v>
      </c>
      <c r="B8" s="2">
        <v>3</v>
      </c>
      <c r="C8" s="4">
        <v>1.6799999999999999E-2</v>
      </c>
      <c r="D8" s="3">
        <f t="shared" ref="D8" si="2">AVERAGE(C8:C10)</f>
        <v>0.10973333333333334</v>
      </c>
      <c r="E8" s="3">
        <f t="shared" ref="E8" si="3">STDEV(C8:C10)</f>
        <v>9.0736229441901184E-2</v>
      </c>
    </row>
    <row r="9" spans="1:5" x14ac:dyDescent="0.2">
      <c r="A9" s="1"/>
      <c r="B9" s="2"/>
      <c r="C9" s="4">
        <v>0.1981</v>
      </c>
      <c r="D9" s="3"/>
      <c r="E9" s="3"/>
    </row>
    <row r="10" spans="1:5" x14ac:dyDescent="0.2">
      <c r="A10" s="1"/>
      <c r="B10" s="2"/>
      <c r="C10" s="4">
        <v>0.1143</v>
      </c>
      <c r="D10" s="3"/>
      <c r="E10" s="3"/>
    </row>
    <row r="11" spans="1:5" x14ac:dyDescent="0.2">
      <c r="A11" s="1" t="s">
        <v>5</v>
      </c>
      <c r="B11" s="2">
        <v>4</v>
      </c>
      <c r="C11" s="4">
        <v>2.53E-2</v>
      </c>
      <c r="D11" s="3">
        <f t="shared" ref="D11" si="4">AVERAGE(C11:C13)</f>
        <v>3.6433333333333338E-2</v>
      </c>
      <c r="E11" s="3">
        <f t="shared" ref="E11" si="5">STDEV(C11:C13)</f>
        <v>2.2292898719846486E-2</v>
      </c>
    </row>
    <row r="12" spans="1:5" x14ac:dyDescent="0.2">
      <c r="A12" s="1"/>
      <c r="B12" s="2"/>
      <c r="C12" s="4">
        <v>6.2100000000000002E-2</v>
      </c>
      <c r="D12" s="3"/>
      <c r="E12" s="3"/>
    </row>
    <row r="13" spans="1:5" x14ac:dyDescent="0.2">
      <c r="A13" s="1"/>
      <c r="B13" s="2"/>
      <c r="C13" s="4">
        <v>2.1899999999999999E-2</v>
      </c>
      <c r="D13" s="3"/>
      <c r="E13" s="3"/>
    </row>
    <row r="14" spans="1:5" x14ac:dyDescent="0.2">
      <c r="A14" s="1" t="s">
        <v>6</v>
      </c>
      <c r="B14" s="2">
        <v>5</v>
      </c>
      <c r="C14" s="4">
        <v>0.1817</v>
      </c>
      <c r="D14" s="3">
        <f t="shared" ref="D14" si="6">AVERAGE(C14:C16)</f>
        <v>0.24253333333333335</v>
      </c>
      <c r="E14" s="3">
        <f t="shared" ref="E14" si="7">STDEV(C14:C16)</f>
        <v>8.7970013830471275E-2</v>
      </c>
    </row>
    <row r="15" spans="1:5" x14ac:dyDescent="0.2">
      <c r="A15" s="1"/>
      <c r="B15" s="2"/>
      <c r="C15" s="4">
        <v>0.34339999999999998</v>
      </c>
      <c r="D15" s="3"/>
      <c r="E15" s="3"/>
    </row>
    <row r="16" spans="1:5" x14ac:dyDescent="0.2">
      <c r="A16" s="1"/>
      <c r="B16" s="2"/>
      <c r="C16" s="4">
        <v>0.20250000000000001</v>
      </c>
      <c r="D16" s="3"/>
      <c r="E16" s="3"/>
    </row>
    <row r="17" spans="1:5" x14ac:dyDescent="0.2">
      <c r="A17" s="1" t="s">
        <v>7</v>
      </c>
      <c r="B17" s="2">
        <v>6</v>
      </c>
      <c r="C17" s="4">
        <v>0.61350000000000005</v>
      </c>
      <c r="D17" s="3">
        <f t="shared" ref="D17" si="8">AVERAGE(C17:C19)</f>
        <v>0.4487666666666667</v>
      </c>
      <c r="E17" s="3">
        <f t="shared" ref="E17" si="9">STDEV(C17:C19)</f>
        <v>0.14397625961710944</v>
      </c>
    </row>
    <row r="18" spans="1:5" x14ac:dyDescent="0.2">
      <c r="A18" s="1"/>
      <c r="B18" s="2"/>
      <c r="C18" s="4">
        <v>0.38579999999999998</v>
      </c>
      <c r="D18" s="3"/>
      <c r="E18" s="3"/>
    </row>
    <row r="19" spans="1:5" x14ac:dyDescent="0.2">
      <c r="A19" s="1"/>
      <c r="B19" s="2"/>
      <c r="C19" s="4">
        <v>0.34699999999999998</v>
      </c>
      <c r="D19" s="3"/>
      <c r="E19" s="3"/>
    </row>
    <row r="20" spans="1:5" x14ac:dyDescent="0.2">
      <c r="A20" s="1" t="s">
        <v>8</v>
      </c>
      <c r="B20" s="2">
        <v>7</v>
      </c>
      <c r="C20" s="4">
        <v>4.4999999999999998E-2</v>
      </c>
      <c r="D20" s="3">
        <f t="shared" ref="D20" si="10">AVERAGE(C20:C22)</f>
        <v>6.4466666666666672E-2</v>
      </c>
      <c r="E20" s="3">
        <f t="shared" ref="E20" si="11">STDEV(C20:C22)</f>
        <v>1.8835427612170986E-2</v>
      </c>
    </row>
    <row r="21" spans="1:5" x14ac:dyDescent="0.2">
      <c r="A21" s="1"/>
      <c r="B21" s="2"/>
      <c r="C21" s="4">
        <v>6.5799999999999997E-2</v>
      </c>
      <c r="D21" s="3"/>
      <c r="E21" s="3"/>
    </row>
    <row r="22" spans="1:5" x14ac:dyDescent="0.2">
      <c r="A22" s="1"/>
      <c r="B22" s="2"/>
      <c r="C22" s="4">
        <v>8.2600000000000007E-2</v>
      </c>
      <c r="D22" s="3"/>
      <c r="E22" s="3"/>
    </row>
    <row r="23" spans="1:5" x14ac:dyDescent="0.2">
      <c r="A23" s="1" t="s">
        <v>9</v>
      </c>
      <c r="B23" s="2">
        <v>8</v>
      </c>
      <c r="C23" s="4">
        <v>6.5100000000000005E-2</v>
      </c>
      <c r="D23" s="3">
        <f t="shared" ref="D23" si="12">AVERAGE(C23:C25)</f>
        <v>0.23926666666666666</v>
      </c>
      <c r="E23" s="3">
        <f t="shared" ref="E23" si="13">STDEV(C23:C25)</f>
        <v>0.15180462223968452</v>
      </c>
    </row>
    <row r="24" spans="1:5" x14ac:dyDescent="0.2">
      <c r="A24" s="1"/>
      <c r="B24" s="2"/>
      <c r="C24" s="4">
        <v>0.30919999999999997</v>
      </c>
      <c r="D24" s="3"/>
      <c r="E24" s="3"/>
    </row>
    <row r="25" spans="1:5" x14ac:dyDescent="0.2">
      <c r="A25" s="1"/>
      <c r="B25" s="2"/>
      <c r="C25" s="4">
        <v>0.34350000000000003</v>
      </c>
      <c r="D25" s="3"/>
      <c r="E25" s="3"/>
    </row>
    <row r="26" spans="1:5" x14ac:dyDescent="0.2">
      <c r="A26" s="1" t="s">
        <v>10</v>
      </c>
      <c r="B26" s="2">
        <v>9</v>
      </c>
      <c r="C26" s="4">
        <v>0.61099999999999999</v>
      </c>
      <c r="D26" s="3">
        <f t="shared" ref="D26" si="14">AVERAGE(C26:C28)</f>
        <v>0.64753333333333329</v>
      </c>
      <c r="E26" s="3">
        <f t="shared" ref="E26" si="15">STDEV(C26:C28)</f>
        <v>0.22355022552735979</v>
      </c>
    </row>
    <row r="27" spans="1:5" x14ac:dyDescent="0.2">
      <c r="A27" s="1"/>
      <c r="B27" s="2"/>
      <c r="C27" s="4">
        <v>0.44450000000000001</v>
      </c>
      <c r="D27" s="3"/>
      <c r="E27" s="3"/>
    </row>
    <row r="28" spans="1:5" x14ac:dyDescent="0.2">
      <c r="A28" s="1"/>
      <c r="B28" s="2"/>
      <c r="C28" s="4">
        <v>0.8871</v>
      </c>
      <c r="D28" s="3"/>
      <c r="E28" s="3"/>
    </row>
    <row r="29" spans="1:5" x14ac:dyDescent="0.2">
      <c r="A29" s="1" t="s">
        <v>11</v>
      </c>
      <c r="B29" s="2">
        <v>10</v>
      </c>
      <c r="C29" s="4">
        <v>0.65169999999999995</v>
      </c>
      <c r="D29" s="3">
        <f t="shared" ref="D29" si="16">AVERAGE(C29:C31)</f>
        <v>0.49306666666666671</v>
      </c>
      <c r="E29" s="3">
        <f t="shared" ref="E29" si="17">STDEV(C29:C31)</f>
        <v>0.15221761834076011</v>
      </c>
    </row>
    <row r="30" spans="1:5" x14ac:dyDescent="0.2">
      <c r="A30" s="1"/>
      <c r="B30" s="2"/>
      <c r="C30" s="4">
        <v>0.34820000000000001</v>
      </c>
      <c r="D30" s="3"/>
      <c r="E30" s="3"/>
    </row>
    <row r="31" spans="1:5" x14ac:dyDescent="0.2">
      <c r="A31" s="1"/>
      <c r="B31" s="2"/>
      <c r="C31" s="4">
        <v>0.4793</v>
      </c>
      <c r="D31" s="3"/>
      <c r="E31" s="3"/>
    </row>
    <row r="32" spans="1:5" x14ac:dyDescent="0.2">
      <c r="A32" s="1" t="s">
        <v>12</v>
      </c>
      <c r="B32" s="2">
        <v>11</v>
      </c>
      <c r="C32" s="4">
        <v>0.18859000000000001</v>
      </c>
      <c r="D32" s="3">
        <f t="shared" ref="D32" si="18">AVERAGE(C32:C34)</f>
        <v>0.25299333333333335</v>
      </c>
      <c r="E32" s="3">
        <f t="shared" ref="E32" si="19">STDEV(C32:C34)</f>
        <v>5.591781499069267E-2</v>
      </c>
    </row>
    <row r="33" spans="1:5" x14ac:dyDescent="0.2">
      <c r="A33" s="1"/>
      <c r="B33" s="2"/>
      <c r="C33" s="4">
        <v>0.28919</v>
      </c>
      <c r="D33" s="3"/>
      <c r="E33" s="3"/>
    </row>
    <row r="34" spans="1:5" x14ac:dyDescent="0.2">
      <c r="A34" s="1"/>
      <c r="B34" s="2"/>
      <c r="C34" s="4">
        <v>0.28120000000000001</v>
      </c>
      <c r="D34" s="3"/>
      <c r="E34" s="3"/>
    </row>
    <row r="35" spans="1:5" x14ac:dyDescent="0.2">
      <c r="A35" s="1" t="s">
        <v>13</v>
      </c>
      <c r="B35" s="2">
        <v>13</v>
      </c>
      <c r="C35" s="4">
        <v>2.1070000000000002</v>
      </c>
      <c r="D35" s="3">
        <f t="shared" ref="D35" si="20">AVERAGE(C35:C37)</f>
        <v>2.184366666666667</v>
      </c>
      <c r="E35" s="3">
        <f t="shared" ref="E35" si="21">STDEV(C35:C37)</f>
        <v>0.41302082675493584</v>
      </c>
    </row>
    <row r="36" spans="1:5" x14ac:dyDescent="0.2">
      <c r="A36" s="1"/>
      <c r="B36" s="2"/>
      <c r="C36" s="4">
        <v>2.6305999999999998</v>
      </c>
      <c r="D36" s="3"/>
      <c r="E36" s="3"/>
    </row>
    <row r="37" spans="1:5" x14ac:dyDescent="0.2">
      <c r="A37" s="1"/>
      <c r="B37" s="2"/>
      <c r="C37" s="4">
        <v>1.8154999999999999</v>
      </c>
      <c r="D37" s="3"/>
      <c r="E37" s="3"/>
    </row>
    <row r="38" spans="1:5" x14ac:dyDescent="0.2">
      <c r="A38" s="1" t="s">
        <v>14</v>
      </c>
      <c r="B38" s="2">
        <v>14</v>
      </c>
      <c r="C38" s="4">
        <v>1.1984999999999999</v>
      </c>
      <c r="D38" s="3">
        <f t="shared" ref="D38" si="22">AVERAGE(C38:C40)</f>
        <v>0.74339999999999995</v>
      </c>
      <c r="E38" s="3">
        <f t="shared" ref="E38" si="23">STDEV(C38:C40)</f>
        <v>0.48675756799458159</v>
      </c>
    </row>
    <row r="39" spans="1:5" x14ac:dyDescent="0.2">
      <c r="A39" s="1"/>
      <c r="B39" s="2"/>
      <c r="C39" s="4">
        <v>0.80149999999999999</v>
      </c>
      <c r="D39" s="3"/>
      <c r="E39" s="3"/>
    </row>
    <row r="40" spans="1:5" x14ac:dyDescent="0.2">
      <c r="A40" s="1"/>
      <c r="B40" s="2"/>
      <c r="C40" s="4">
        <v>0.23019999999999999</v>
      </c>
      <c r="D40" s="3"/>
      <c r="E40" s="3"/>
    </row>
    <row r="41" spans="1:5" x14ac:dyDescent="0.2">
      <c r="A41" s="1" t="s">
        <v>15</v>
      </c>
      <c r="B41" s="2">
        <v>15</v>
      </c>
      <c r="C41" s="4">
        <v>0.79590000000000005</v>
      </c>
      <c r="D41" s="3">
        <f t="shared" ref="D41" si="24">AVERAGE(C41:C43)</f>
        <v>0.50098333333333334</v>
      </c>
      <c r="E41" s="3">
        <f t="shared" ref="E41" si="25">STDEV(C41:C43)</f>
        <v>0.27792614888371575</v>
      </c>
    </row>
    <row r="42" spans="1:5" x14ac:dyDescent="0.2">
      <c r="A42" s="1"/>
      <c r="B42" s="2"/>
      <c r="C42" s="4">
        <v>0.46311999999999998</v>
      </c>
      <c r="D42" s="3"/>
      <c r="E42" s="3"/>
    </row>
    <row r="43" spans="1:5" x14ac:dyDescent="0.2">
      <c r="A43" s="1"/>
      <c r="B43" s="2"/>
      <c r="C43" s="4">
        <v>0.24393000000000001</v>
      </c>
      <c r="D43" s="3"/>
      <c r="E43" s="3"/>
    </row>
    <row r="44" spans="1:5" x14ac:dyDescent="0.2">
      <c r="A44" s="1" t="s">
        <v>16</v>
      </c>
      <c r="B44" s="2">
        <v>17</v>
      </c>
      <c r="C44" s="4">
        <v>0.1067</v>
      </c>
      <c r="D44" s="3">
        <f t="shared" ref="D44" si="26">AVERAGE(C44:C46)</f>
        <v>0.12870000000000001</v>
      </c>
      <c r="E44" s="3">
        <f t="shared" ref="E44" si="27">STDEV(C44:C46)</f>
        <v>8.009893881943754E-2</v>
      </c>
    </row>
    <row r="45" spans="1:5" x14ac:dyDescent="0.2">
      <c r="A45" s="1"/>
      <c r="B45" s="2"/>
      <c r="C45" s="4">
        <v>6.1899999999999997E-2</v>
      </c>
      <c r="D45" s="3"/>
      <c r="E45" s="3"/>
    </row>
    <row r="46" spans="1:5" x14ac:dyDescent="0.2">
      <c r="A46" s="1"/>
      <c r="B46" s="2"/>
      <c r="C46" s="4">
        <v>0.2175</v>
      </c>
      <c r="D46" s="3"/>
      <c r="E46" s="3"/>
    </row>
    <row r="47" spans="1:5" x14ac:dyDescent="0.2">
      <c r="A47" s="1" t="s">
        <v>17</v>
      </c>
      <c r="B47" s="2">
        <v>18</v>
      </c>
      <c r="C47" s="4">
        <v>0.28960000000000002</v>
      </c>
      <c r="D47" s="3">
        <f t="shared" ref="D47" si="28">AVERAGE(C47:C49)</f>
        <v>0.42653333333333338</v>
      </c>
      <c r="E47" s="3">
        <f t="shared" ref="E47" si="29">STDEV(C47:C49)</f>
        <v>0.20408886136517443</v>
      </c>
    </row>
    <row r="48" spans="1:5" x14ac:dyDescent="0.2">
      <c r="A48" s="1"/>
      <c r="B48" s="2"/>
      <c r="C48" s="4">
        <v>0.66110000000000002</v>
      </c>
      <c r="D48" s="3"/>
      <c r="E48" s="3"/>
    </row>
    <row r="49" spans="1:5" x14ac:dyDescent="0.2">
      <c r="A49" s="1"/>
      <c r="B49" s="2"/>
      <c r="C49" s="4">
        <v>0.32890000000000003</v>
      </c>
      <c r="D49" s="3"/>
      <c r="E49" s="3"/>
    </row>
    <row r="50" spans="1:5" x14ac:dyDescent="0.2">
      <c r="A50" s="1" t="s">
        <v>18</v>
      </c>
      <c r="B50" s="2">
        <v>19</v>
      </c>
      <c r="C50" s="4">
        <v>0.1028</v>
      </c>
      <c r="D50" s="3">
        <f t="shared" ref="D50" si="30">AVERAGE(C50:C52)</f>
        <v>0.13159999999999999</v>
      </c>
      <c r="E50" s="3">
        <f t="shared" ref="E50" si="31">STDEV(C50:C52)</f>
        <v>4.5036984801382983E-2</v>
      </c>
    </row>
    <row r="51" spans="1:5" x14ac:dyDescent="0.2">
      <c r="A51" s="1"/>
      <c r="B51" s="2"/>
      <c r="C51" s="4">
        <v>0.1085</v>
      </c>
      <c r="D51" s="3"/>
      <c r="E51" s="3"/>
    </row>
    <row r="52" spans="1:5" x14ac:dyDescent="0.2">
      <c r="A52" s="1"/>
      <c r="B52" s="2"/>
      <c r="C52" s="4">
        <v>0.1835</v>
      </c>
      <c r="D52" s="3"/>
      <c r="E52" s="3"/>
    </row>
    <row r="53" spans="1:5" x14ac:dyDescent="0.2">
      <c r="A53" s="1" t="s">
        <v>19</v>
      </c>
      <c r="B53" s="2">
        <v>20</v>
      </c>
      <c r="C53" s="4">
        <v>1.3693</v>
      </c>
      <c r="D53" s="3">
        <f t="shared" ref="D53" si="32">AVERAGE(C53:C55)</f>
        <v>0.97619999999999996</v>
      </c>
      <c r="E53" s="3">
        <f t="shared" ref="E53" si="33">STDEV(C53:C55)</f>
        <v>0.40065230562172005</v>
      </c>
    </row>
    <row r="54" spans="1:5" x14ac:dyDescent="0.2">
      <c r="A54" s="1"/>
      <c r="B54" s="2"/>
      <c r="C54" s="4">
        <v>0.9909</v>
      </c>
      <c r="D54" s="3"/>
      <c r="E54" s="3"/>
    </row>
    <row r="55" spans="1:5" x14ac:dyDescent="0.2">
      <c r="A55" s="1"/>
      <c r="B55" s="2"/>
      <c r="C55" s="4">
        <v>0.56840000000000002</v>
      </c>
      <c r="D55" s="3"/>
      <c r="E55" s="3"/>
    </row>
  </sheetData>
  <mergeCells count="72">
    <mergeCell ref="E47:E49"/>
    <mergeCell ref="E50:E52"/>
    <mergeCell ref="E53:E55"/>
    <mergeCell ref="B35:B37"/>
    <mergeCell ref="B38:B40"/>
    <mergeCell ref="E29:E31"/>
    <mergeCell ref="E32:E34"/>
    <mergeCell ref="E35:E37"/>
    <mergeCell ref="E38:E40"/>
    <mergeCell ref="E41:E43"/>
    <mergeCell ref="E44:E46"/>
    <mergeCell ref="D53:D55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D35:D37"/>
    <mergeCell ref="D38:D40"/>
    <mergeCell ref="D41:D43"/>
    <mergeCell ref="D44:D46"/>
    <mergeCell ref="D47:D49"/>
    <mergeCell ref="D50:D52"/>
    <mergeCell ref="D17:D19"/>
    <mergeCell ref="D20:D22"/>
    <mergeCell ref="D23:D25"/>
    <mergeCell ref="D26:D28"/>
    <mergeCell ref="D29:D31"/>
    <mergeCell ref="D32:D34"/>
    <mergeCell ref="B41:B43"/>
    <mergeCell ref="B44:B46"/>
    <mergeCell ref="B47:B49"/>
    <mergeCell ref="B50:B52"/>
    <mergeCell ref="B53:B55"/>
    <mergeCell ref="D2:D4"/>
    <mergeCell ref="D5:D7"/>
    <mergeCell ref="D8:D10"/>
    <mergeCell ref="D11:D13"/>
    <mergeCell ref="D14:D16"/>
    <mergeCell ref="B23:B25"/>
    <mergeCell ref="B26:B28"/>
    <mergeCell ref="B29:B31"/>
    <mergeCell ref="B32:B34"/>
    <mergeCell ref="B2:B4"/>
    <mergeCell ref="B5:B7"/>
    <mergeCell ref="B8:B10"/>
    <mergeCell ref="B11:B13"/>
    <mergeCell ref="B14:B16"/>
    <mergeCell ref="B17:B19"/>
    <mergeCell ref="B20:B22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2023-06-29T12:44:17Z</dcterms:created>
  <dcterms:modified xsi:type="dcterms:W3CDTF">2023-06-29T13:32:02Z</dcterms:modified>
</cp:coreProperties>
</file>