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jeremy/Desktop/Total_Alkalinity/ischia_alkalinity_data/data/"/>
    </mc:Choice>
  </mc:AlternateContent>
  <xr:revisionPtr revIDLastSave="0" documentId="13_ncr:1_{9F9AC3A2-B0CA-684A-B498-E9AF22C8EA84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7" i="1" l="1"/>
  <c r="H177" i="1"/>
  <c r="G174" i="1"/>
  <c r="H180" i="1"/>
  <c r="G180" i="1"/>
  <c r="H184" i="1"/>
  <c r="G184" i="1"/>
  <c r="H171" i="1"/>
  <c r="G171" i="1"/>
  <c r="G166" i="1"/>
  <c r="G169" i="1"/>
  <c r="H169" i="1"/>
  <c r="G163" i="1"/>
  <c r="G160" i="1"/>
  <c r="G157" i="1"/>
  <c r="G155" i="1"/>
  <c r="J155" i="1" s="1"/>
  <c r="H155" i="1"/>
  <c r="H174" i="1"/>
  <c r="H166" i="1"/>
  <c r="H163" i="1"/>
  <c r="H160" i="1"/>
  <c r="H157" i="1"/>
  <c r="H124" i="1"/>
  <c r="G124" i="1"/>
  <c r="J124" i="1" s="1"/>
  <c r="H151" i="1"/>
  <c r="G151" i="1"/>
  <c r="H148" i="1"/>
  <c r="G148" i="1"/>
  <c r="K151" i="1" l="1"/>
  <c r="K160" i="1"/>
  <c r="K157" i="1"/>
  <c r="K163" i="1"/>
  <c r="K148" i="1"/>
  <c r="K166" i="1"/>
  <c r="H140" i="1"/>
  <c r="G140" i="1"/>
  <c r="H143" i="1"/>
  <c r="G143" i="1"/>
  <c r="H135" i="1"/>
  <c r="G135" i="1"/>
  <c r="H138" i="1"/>
  <c r="G138" i="1"/>
  <c r="H133" i="1"/>
  <c r="G133" i="1"/>
  <c r="H130" i="1"/>
  <c r="G130" i="1"/>
  <c r="H127" i="1"/>
  <c r="G127" i="1"/>
  <c r="K155" i="1" l="1"/>
  <c r="K169" i="1"/>
  <c r="G115" i="1"/>
  <c r="H120" i="1"/>
  <c r="G120" i="1"/>
  <c r="G117" i="1"/>
  <c r="H117" i="1"/>
  <c r="G112" i="1"/>
  <c r="H112" i="1"/>
  <c r="H109" i="1"/>
  <c r="G109" i="1"/>
  <c r="G106" i="1"/>
  <c r="H106" i="1"/>
  <c r="H103" i="1"/>
  <c r="G103" i="1"/>
  <c r="H100" i="1"/>
  <c r="G100" i="1"/>
  <c r="G95" i="1"/>
  <c r="H95" i="1"/>
  <c r="H115" i="1"/>
  <c r="H98" i="1"/>
  <c r="G98" i="1"/>
  <c r="G92" i="1"/>
  <c r="H92" i="1"/>
  <c r="J92" i="1" l="1"/>
  <c r="H71" i="1"/>
  <c r="G71" i="1"/>
  <c r="H89" i="1"/>
  <c r="G89" i="1"/>
  <c r="G83" i="1"/>
  <c r="H86" i="1"/>
  <c r="G86" i="1"/>
  <c r="H83" i="1"/>
  <c r="H63" i="1"/>
  <c r="G63" i="1"/>
  <c r="J63" i="1" s="1"/>
  <c r="K63" i="1" s="1"/>
  <c r="K184" i="1" l="1"/>
  <c r="K180" i="1"/>
  <c r="K177" i="1"/>
  <c r="K174" i="1"/>
  <c r="K171" i="1"/>
  <c r="K106" i="1"/>
  <c r="K124" i="1"/>
  <c r="K127" i="1"/>
  <c r="K135" i="1"/>
  <c r="K133" i="1"/>
  <c r="K140" i="1"/>
  <c r="K130" i="1"/>
  <c r="K143" i="1"/>
  <c r="K138" i="1"/>
  <c r="K98" i="1"/>
  <c r="K95" i="1"/>
  <c r="K117" i="1"/>
  <c r="K103" i="1"/>
  <c r="K92" i="1"/>
  <c r="K109" i="1"/>
  <c r="K112" i="1"/>
  <c r="K120" i="1"/>
  <c r="K115" i="1"/>
  <c r="K100" i="1"/>
  <c r="K86" i="1"/>
  <c r="K83" i="1"/>
  <c r="K89" i="1"/>
  <c r="H80" i="1"/>
  <c r="G80" i="1"/>
  <c r="H77" i="1"/>
  <c r="G77" i="1"/>
  <c r="H75" i="1"/>
  <c r="G75" i="1"/>
  <c r="H73" i="1"/>
  <c r="G73" i="1"/>
  <c r="H68" i="1"/>
  <c r="G68" i="1"/>
  <c r="H65" i="1"/>
  <c r="G65" i="1"/>
  <c r="G60" i="1"/>
  <c r="H60" i="1"/>
  <c r="G58" i="1"/>
  <c r="H58" i="1"/>
  <c r="H56" i="1"/>
  <c r="G56" i="1"/>
  <c r="H53" i="1"/>
  <c r="G53" i="1"/>
  <c r="G48" i="1"/>
  <c r="G44" i="1"/>
  <c r="G40" i="1"/>
  <c r="H51" i="1"/>
  <c r="G51" i="1"/>
  <c r="H40" i="1"/>
  <c r="H48" i="1"/>
  <c r="H44" i="1"/>
  <c r="H33" i="1"/>
  <c r="G33" i="1"/>
  <c r="J33" i="1" s="1"/>
  <c r="K60" i="1" l="1"/>
  <c r="K71" i="1"/>
  <c r="K65" i="1"/>
  <c r="K73" i="1"/>
  <c r="K75" i="1"/>
  <c r="K68" i="1"/>
  <c r="K77" i="1"/>
  <c r="K80" i="1"/>
  <c r="K40" i="1"/>
  <c r="K44" i="1"/>
  <c r="K48" i="1"/>
  <c r="K51" i="1"/>
  <c r="K53" i="1"/>
  <c r="K56" i="1"/>
  <c r="K58" i="1"/>
  <c r="K33" i="1"/>
  <c r="H37" i="1"/>
  <c r="G37" i="1"/>
  <c r="H35" i="1"/>
  <c r="G35" i="1"/>
  <c r="H29" i="1" l="1"/>
  <c r="G29" i="1"/>
  <c r="H25" i="1"/>
  <c r="G25" i="1"/>
  <c r="G4" i="1"/>
  <c r="H23" i="1"/>
  <c r="G23" i="1"/>
  <c r="H20" i="1"/>
  <c r="G20" i="1"/>
  <c r="H17" i="1"/>
  <c r="G17" i="1"/>
  <c r="H15" i="1"/>
  <c r="G15" i="1"/>
  <c r="G7" i="1"/>
  <c r="H10" i="1"/>
  <c r="G10" i="1"/>
  <c r="H13" i="1"/>
  <c r="G13" i="1"/>
  <c r="H4" i="1"/>
  <c r="H7" i="1"/>
  <c r="G2" i="1"/>
  <c r="J2" i="1" s="1"/>
  <c r="H2" i="1"/>
  <c r="K37" i="1" l="1"/>
  <c r="K7" i="1"/>
  <c r="K35" i="1"/>
  <c r="K15" i="1"/>
  <c r="K25" i="1"/>
  <c r="K20" i="1"/>
  <c r="K23" i="1"/>
  <c r="K13" i="1"/>
  <c r="K10" i="1"/>
  <c r="K17" i="1"/>
  <c r="K29" i="1"/>
  <c r="K2" i="1"/>
  <c r="K4" i="1"/>
</calcChain>
</file>

<file path=xl/sharedStrings.xml><?xml version="1.0" encoding="utf-8"?>
<sst xmlns="http://schemas.openxmlformats.org/spreadsheetml/2006/main" count="569" uniqueCount="161">
  <si>
    <t>Operator</t>
  </si>
  <si>
    <t>analysis date</t>
  </si>
  <si>
    <t>site</t>
  </si>
  <si>
    <t>weight_g</t>
  </si>
  <si>
    <t>TA</t>
  </si>
  <si>
    <t>Sample id</t>
  </si>
  <si>
    <t>correction</t>
  </si>
  <si>
    <t>note</t>
  </si>
  <si>
    <t>CRM1</t>
  </si>
  <si>
    <t>CRM2</t>
  </si>
  <si>
    <t>delta batch</t>
  </si>
  <si>
    <t>Jeremy</t>
  </si>
  <si>
    <t>Castello_south</t>
  </si>
  <si>
    <t>T0_t1_ELOW_tile_01a</t>
  </si>
  <si>
    <t>T0_t1_ELOW_tile_01b</t>
  </si>
  <si>
    <t>T0_t1_ELOW_tile_01c</t>
  </si>
  <si>
    <t>T0_t1_ELOW_tile_02b</t>
  </si>
  <si>
    <t>T0_t1_ELOW_tile_02a</t>
  </si>
  <si>
    <t>T0_t1_ELOW_tile_03a</t>
  </si>
  <si>
    <t>T0_t1_ELOW_tile_03b</t>
  </si>
  <si>
    <t>T0_t0_ELOW_blank_01a</t>
  </si>
  <si>
    <t>T0_t0_ELOW_blank_01b</t>
  </si>
  <si>
    <t>T0_t0_ELOW_blank_01c</t>
  </si>
  <si>
    <t>T0_t0_ELOW_blank_02a</t>
  </si>
  <si>
    <t>T0_t0_ELOW_blank_02b</t>
  </si>
  <si>
    <t>T0_t0_ELOW_blank_02c</t>
  </si>
  <si>
    <t>T0_t1_ELOW_blank_01a</t>
  </si>
  <si>
    <t>T0_t1_ELOW_blank_01c</t>
  </si>
  <si>
    <t>T0_t1_ELOW_blank_01b</t>
  </si>
  <si>
    <t>T0_t1_ELOW_tile_04a</t>
  </si>
  <si>
    <t>T0_t1_ELOW_tile_04b</t>
  </si>
  <si>
    <t>T0_t1_ELOW_tile_04c</t>
  </si>
  <si>
    <t>T0_t1_ELOW_tile_05a</t>
  </si>
  <si>
    <t>T0_t1_ELOW_tile_05b</t>
  </si>
  <si>
    <t>T0_t1_ELOW_tile_06a</t>
  </si>
  <si>
    <t>T0_t1_ELOW_tile_06b</t>
  </si>
  <si>
    <t>T0_t1_ELOW_tile_06c</t>
  </si>
  <si>
    <t>T0_t1_ELOW_blank_02a</t>
  </si>
  <si>
    <t>T0_t1_ELOW_blank_02b</t>
  </si>
  <si>
    <t>T0_t1_ELOW_blank_02c</t>
  </si>
  <si>
    <t>T0_t1_ELOW_tile_06d</t>
  </si>
  <si>
    <t>Batch mean</t>
  </si>
  <si>
    <t>Batch sd</t>
  </si>
  <si>
    <t>T0_t0_LOW_blank_01a</t>
  </si>
  <si>
    <t>T0_t0_LOW_blank_01b</t>
  </si>
  <si>
    <t>T0_t0_LOW_blank_02a</t>
  </si>
  <si>
    <t>T0_t0_LOW_blank_02b</t>
  </si>
  <si>
    <t>T0_t0_LOW_blank_02c</t>
  </si>
  <si>
    <t>T0_t1_LOW_tile_01a</t>
  </si>
  <si>
    <t>T0_t1_LOW_tile_01b</t>
  </si>
  <si>
    <t>T0_t1_LOW_tile_01c</t>
  </si>
  <si>
    <t>T0_t1_LOW_tile_02a</t>
  </si>
  <si>
    <t>T0_t1_LOW_tile_02b</t>
  </si>
  <si>
    <t>T0_t1_LOW_tile_03a</t>
  </si>
  <si>
    <t>T0_t1_LOW_tile_03b</t>
  </si>
  <si>
    <t>T0_t1_LOW_blank_01a</t>
  </si>
  <si>
    <t>T0_t1_LOW_blank_01b</t>
  </si>
  <si>
    <t>T0_t1_LOW_tile_04a</t>
  </si>
  <si>
    <t>T0_t1_LOW_tile_04b</t>
  </si>
  <si>
    <t>T0_t1_LOW_tile_04c</t>
  </si>
  <si>
    <t>T0_t1_LOW_tile_05a</t>
  </si>
  <si>
    <t>T0_t1_LOW_tile_05b</t>
  </si>
  <si>
    <t>T0_t1_LOW_tile_06a</t>
  </si>
  <si>
    <t>T0_t1_LOW_tile_06b</t>
  </si>
  <si>
    <t>T0_t1_LOW_blank_02a</t>
  </si>
  <si>
    <t>T0_t1_LOW_blank_02b</t>
  </si>
  <si>
    <t>T0_t1_LOW_tile_02c</t>
  </si>
  <si>
    <t>T0_t1_LOW_tile_03c</t>
  </si>
  <si>
    <t>T0_t1_LOW_tile_01d</t>
  </si>
  <si>
    <t>T0_t1_LOW_tile_02d</t>
  </si>
  <si>
    <t>T0_t0_AMB_blank_01a</t>
  </si>
  <si>
    <t>T0_t0_AMB_blank_01b</t>
  </si>
  <si>
    <t>T0_t0_AMB_blank_02a</t>
  </si>
  <si>
    <t>T0_t0_AMB_blank_02b</t>
  </si>
  <si>
    <t>T0_t0_AMB_blank_02c</t>
  </si>
  <si>
    <t>T0_t1_AMB_tile_01b</t>
  </si>
  <si>
    <t>T0_t1_AMB_tile_02a</t>
  </si>
  <si>
    <t>T0_t1_AMB_tile_02b</t>
  </si>
  <si>
    <t>T0_t1_AMB_tile_03a</t>
  </si>
  <si>
    <t>T0_t1_AMB_tile_03b</t>
  </si>
  <si>
    <t>T0_t1_AMB_blank_01a</t>
  </si>
  <si>
    <t>T0_t1_AMB_blank_01b</t>
  </si>
  <si>
    <t>T0_t1_AMB_tile_04a</t>
  </si>
  <si>
    <t>T0_t1_AMB_tile_04b</t>
  </si>
  <si>
    <t>T0_t1_AMB_tile_04c</t>
  </si>
  <si>
    <t>T0_t0_AMB_blank_01c</t>
  </si>
  <si>
    <t>T0_t1_AMB_blank_01c</t>
  </si>
  <si>
    <t>T0_t1_AMB_tile_05a</t>
  </si>
  <si>
    <t>T0_t1_AMB_blank_02a</t>
  </si>
  <si>
    <t>T0_t1_AMB_blank_02b</t>
  </si>
  <si>
    <t>T0_t1_AMB_tile_05b</t>
  </si>
  <si>
    <t>T0_t1_AMB_tile_05c</t>
  </si>
  <si>
    <t>T0_t1_AMB_tile_06a</t>
  </si>
  <si>
    <t>T0_t1_AMB_tile_06b</t>
  </si>
  <si>
    <t>T0_t1_AMB_tile_06c</t>
  </si>
  <si>
    <t>T0_t1_AMB_tile_01d</t>
  </si>
  <si>
    <t>Batch 184</t>
  </si>
  <si>
    <t>ALK batch</t>
  </si>
  <si>
    <t>CRM3</t>
  </si>
  <si>
    <t>T1_t0_ELOW_blank_01a</t>
  </si>
  <si>
    <t>T1_t0_ELOW_blank_01b</t>
  </si>
  <si>
    <t>T1_t0_ELOW_blank_01c</t>
  </si>
  <si>
    <t>T1_t0_ELOW_blank_02a</t>
  </si>
  <si>
    <t>T1_t0_ELOW_blank_02b</t>
  </si>
  <si>
    <t>T1_t1_ELOW_tile_01a</t>
  </si>
  <si>
    <t>T1_t1_ELOW_tile_01b</t>
  </si>
  <si>
    <t>T1_t1_ELOW_tile_01c</t>
  </si>
  <si>
    <t>T1_t1_ELOW_tile_02a</t>
  </si>
  <si>
    <t>T1_t1_ELOW_tile_02b</t>
  </si>
  <si>
    <t>T1_t1_ELOW_tile_02c</t>
  </si>
  <si>
    <t>T1_t1_ELOW_tile_03a</t>
  </si>
  <si>
    <t>T1_t1_ELOW_tile_03b</t>
  </si>
  <si>
    <t>T1_t1_ELOW_tile_03c</t>
  </si>
  <si>
    <t>T1_t1_ELOW_blank_01a</t>
  </si>
  <si>
    <t>T1_t1_ELOW_blank_01b</t>
  </si>
  <si>
    <t>T1_t1_ELOW_blank_01c</t>
  </si>
  <si>
    <t>T1_t1_ELOW_tile_04a</t>
  </si>
  <si>
    <t>T1_t1_ELOW_tile_04b</t>
  </si>
  <si>
    <t>T1_t1_ELOW_tile_04c</t>
  </si>
  <si>
    <t>T1_t1_ELOW_tile_05a</t>
  </si>
  <si>
    <t>T1_t1_ELOW_tile_05b</t>
  </si>
  <si>
    <t>T1_t1_ELOW_tile_06a</t>
  </si>
  <si>
    <t>T1_t1_ELOW_tile_06b</t>
  </si>
  <si>
    <t>T1_t1_ELOW_tile_06c</t>
  </si>
  <si>
    <t>T1_t1_ELOW_blank_02a</t>
  </si>
  <si>
    <t>T1_t1_ELOW_blank_02b</t>
  </si>
  <si>
    <t>T1_t1_ELOW_blank_02c</t>
  </si>
  <si>
    <t>T1_t0_LOW_blank_01a</t>
  </si>
  <si>
    <t>T1_t0_LOW_blank_01b</t>
  </si>
  <si>
    <t>T1_t0_LOW_blank_01c</t>
  </si>
  <si>
    <t>T1_t0_LOW_blank_02a</t>
  </si>
  <si>
    <t>T1_t0_LOW_blank_02b</t>
  </si>
  <si>
    <t>T1_t1_LOW_tile_01a</t>
  </si>
  <si>
    <t>T1_t1_LOW_tile_01b</t>
  </si>
  <si>
    <t>T1_t1_LOW_tile_02a</t>
  </si>
  <si>
    <t>T1_t1_LOW_tile_02b</t>
  </si>
  <si>
    <t>T1_t1_LOW_tile_02c</t>
  </si>
  <si>
    <t>T1_t1_LOW_tile_03a</t>
  </si>
  <si>
    <t>T1_t1_LOW_tile_03b</t>
  </si>
  <si>
    <t>T1_t1_LOW_blank_01a</t>
  </si>
  <si>
    <t>T1_t1_LOW_blank_01b</t>
  </si>
  <si>
    <t>T1_t1_LOW_blank_01c</t>
  </si>
  <si>
    <t>T1_t1_LOW_tile_04a</t>
  </si>
  <si>
    <t>T1_t1_LOW_tile_04b</t>
  </si>
  <si>
    <t>T1_t1_LOW_tile_05a</t>
  </si>
  <si>
    <t>T1_t1_LOW_tile_05b</t>
  </si>
  <si>
    <t>T1_t1_LOW_tile_06a</t>
  </si>
  <si>
    <t>T1_t1_LOW_tile_06b</t>
  </si>
  <si>
    <t>T1_t1_LOW_tile_06c</t>
  </si>
  <si>
    <t>T1_t1_LOW_blank_02a</t>
  </si>
  <si>
    <t>T1_t1_LOW_blank_02b</t>
  </si>
  <si>
    <t>T1_t1_LOW_blank_02c</t>
  </si>
  <si>
    <t>T1_t0_LOW_blank_02c</t>
  </si>
  <si>
    <t>T1_t1_LOW_tile_05c</t>
  </si>
  <si>
    <t>Alice</t>
  </si>
  <si>
    <t>NA</t>
  </si>
  <si>
    <t>T1_t1_LOW_tile_01c</t>
  </si>
  <si>
    <t>T1_t1_LOW_tile_04c</t>
  </si>
  <si>
    <t>T1_t1_LOW_blank_02d</t>
  </si>
  <si>
    <t>T1_t1_LOW_tile_06d</t>
  </si>
  <si>
    <t>bottle fell and broke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</si>
</sst>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 Light"/>
      <family val="2"/>
      <scheme val="major"/>
    </font>
    <font>
      <sz val="11"/>
      <color indexed="8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NumberFormat="1" applyFont="1"/>
    <xf numFmtId="2" fontId="3" fillId="0" borderId="0" xfId="0" applyNumberFormat="1" applyFont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0" xfId="0" applyNumberFormat="1" applyFont="1" applyBorder="1"/>
    <xf numFmtId="0" fontId="7" fillId="0" borderId="0" xfId="0" applyNumberFormat="1" applyFont="1" applyBorder="1" applyAlignment="1">
      <alignment horizontal="center"/>
    </xf>
    <xf numFmtId="0" fontId="6" fillId="0" borderId="0" xfId="1" applyNumberFormat="1" applyFont="1" applyFill="1" applyBorder="1" applyAlignment="1" applyProtection="1">
      <alignment wrapText="1"/>
    </xf>
    <xf numFmtId="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2" fontId="3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2" fontId="8" fillId="0" borderId="0" xfId="0" applyNumberFormat="1" applyFont="1" applyFill="1" applyBorder="1" applyAlignment="1">
      <alignment horizontal="center"/>
    </xf>
    <xf numFmtId="0" fontId="9" fillId="0" borderId="0" xfId="0" applyNumberFormat="1" applyFont="1" applyBorder="1"/>
    <xf numFmtId="0" fontId="5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left"/>
    </xf>
    <xf numFmtId="0" fontId="3" fillId="0" borderId="0" xfId="0" applyNumberFormat="1" applyFont="1" applyFill="1" applyAlignment="1">
      <alignment horizontal="center"/>
    </xf>
    <xf numFmtId="14" fontId="3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8" fillId="0" borderId="0" xfId="0" applyNumberFormat="1" applyFont="1" applyFill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2" fontId="4" fillId="0" borderId="0" xfId="0" applyNumberFormat="1" applyFont="1" applyFill="1" applyAlignment="1">
      <alignment horizontal="center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"/>
  <sheetViews>
    <sheetView tabSelected="1" zoomScale="86" zoomScaleNormal="73" workbookViewId="0">
      <pane ySplit="1" topLeftCell="A122" activePane="bottomLeft" state="frozen"/>
      <selection pane="bottomLeft" activeCell="M148" sqref="M148"/>
    </sheetView>
  </sheetViews>
  <sheetFormatPr baseColWidth="10" defaultColWidth="9.1640625" defaultRowHeight="15" x14ac:dyDescent="0.2"/>
  <cols>
    <col min="1" max="1" width="10.33203125" style="15" bestFit="1" customWidth="1"/>
    <col min="2" max="2" width="14.33203125" style="15" bestFit="1" customWidth="1"/>
    <col min="3" max="3" width="13.83203125" style="15" bestFit="1" customWidth="1"/>
    <col min="4" max="4" width="10.1640625" style="5" bestFit="1" customWidth="1"/>
    <col min="5" max="5" width="11" style="5" bestFit="1" customWidth="1"/>
    <col min="6" max="6" width="22.6640625" style="17" bestFit="1" customWidth="1"/>
    <col min="7" max="7" width="12.83203125" style="15" bestFit="1" customWidth="1"/>
    <col min="8" max="8" width="9.6640625" style="15" bestFit="1" customWidth="1"/>
    <col min="9" max="9" width="15" style="15" customWidth="1"/>
    <col min="10" max="10" width="12.5" style="15" bestFit="1" customWidth="1"/>
    <col min="11" max="11" width="11.5" style="15" bestFit="1" customWidth="1"/>
    <col min="12" max="12" width="5.83203125" style="1" bestFit="1" customWidth="1"/>
    <col min="13" max="16384" width="9.1640625" style="1"/>
  </cols>
  <sheetData>
    <row r="1" spans="1:12" ht="1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41</v>
      </c>
      <c r="H1" s="6" t="s">
        <v>42</v>
      </c>
      <c r="I1" s="6" t="s">
        <v>97</v>
      </c>
      <c r="J1" s="7" t="s">
        <v>10</v>
      </c>
      <c r="K1" s="19" t="s">
        <v>6</v>
      </c>
      <c r="L1" s="8" t="s">
        <v>7</v>
      </c>
    </row>
    <row r="2" spans="1:12" x14ac:dyDescent="0.2">
      <c r="A2" s="9" t="s">
        <v>11</v>
      </c>
      <c r="B2" s="10">
        <v>45057</v>
      </c>
      <c r="C2" s="10" t="s">
        <v>12</v>
      </c>
      <c r="D2" s="3">
        <v>48.92</v>
      </c>
      <c r="E2" s="11">
        <v>2237.2600000000002</v>
      </c>
      <c r="F2" s="16" t="s">
        <v>8</v>
      </c>
      <c r="G2" s="12">
        <f>AVERAGE(E2:E3)</f>
        <v>2236.7800000000002</v>
      </c>
      <c r="H2" s="13">
        <f>STDEV(E2:E3)</f>
        <v>0.67882250993911131</v>
      </c>
      <c r="I2" s="3">
        <v>2226.44</v>
      </c>
      <c r="J2" s="4">
        <f>I2-G2</f>
        <v>-10.340000000000146</v>
      </c>
      <c r="K2" s="5">
        <f>G2+J2</f>
        <v>2226.44</v>
      </c>
      <c r="L2" s="2" t="s">
        <v>96</v>
      </c>
    </row>
    <row r="3" spans="1:12" x14ac:dyDescent="0.2">
      <c r="A3" s="9" t="s">
        <v>11</v>
      </c>
      <c r="B3" s="10">
        <v>45057</v>
      </c>
      <c r="C3" s="10" t="s">
        <v>12</v>
      </c>
      <c r="D3" s="3">
        <v>50.76</v>
      </c>
      <c r="E3" s="3">
        <v>2236.3000000000002</v>
      </c>
      <c r="F3" s="16" t="s">
        <v>9</v>
      </c>
      <c r="G3" s="12"/>
      <c r="H3" s="12"/>
      <c r="I3" s="3"/>
      <c r="J3" s="3"/>
      <c r="K3" s="5"/>
      <c r="L3" s="2"/>
    </row>
    <row r="4" spans="1:12" x14ac:dyDescent="0.2">
      <c r="A4" s="9" t="s">
        <v>11</v>
      </c>
      <c r="B4" s="10">
        <v>45057</v>
      </c>
      <c r="C4" s="10" t="s">
        <v>12</v>
      </c>
      <c r="D4" s="3">
        <v>48.82</v>
      </c>
      <c r="E4" s="11">
        <v>2630.85</v>
      </c>
      <c r="F4" s="16" t="s">
        <v>20</v>
      </c>
      <c r="G4" s="13">
        <f>AVERAGE(E4:E5)</f>
        <v>2628.29</v>
      </c>
      <c r="H4" s="18">
        <f>STDEV(E4:E5)</f>
        <v>3.6203867196750461</v>
      </c>
      <c r="I4" s="5"/>
      <c r="J4" s="5"/>
      <c r="K4" s="5">
        <f>G4+$J$2</f>
        <v>2617.9499999999998</v>
      </c>
      <c r="L4" s="2"/>
    </row>
    <row r="5" spans="1:12" x14ac:dyDescent="0.2">
      <c r="A5" s="9" t="s">
        <v>11</v>
      </c>
      <c r="B5" s="10">
        <v>45057</v>
      </c>
      <c r="C5" s="10" t="s">
        <v>12</v>
      </c>
      <c r="D5" s="3">
        <v>51.66</v>
      </c>
      <c r="E5" s="3">
        <v>2625.73</v>
      </c>
      <c r="F5" s="16" t="s">
        <v>21</v>
      </c>
      <c r="G5" s="5"/>
      <c r="H5" s="5"/>
      <c r="I5" s="5"/>
      <c r="J5" s="5"/>
      <c r="K5" s="5"/>
      <c r="L5" s="2"/>
    </row>
    <row r="6" spans="1:12" x14ac:dyDescent="0.2">
      <c r="A6" s="9" t="s">
        <v>11</v>
      </c>
      <c r="B6" s="10">
        <v>45057</v>
      </c>
      <c r="C6" s="10" t="s">
        <v>12</v>
      </c>
      <c r="D6" s="3">
        <v>48.57</v>
      </c>
      <c r="E6" s="14">
        <v>2596.4699999999998</v>
      </c>
      <c r="F6" s="16" t="s">
        <v>22</v>
      </c>
      <c r="G6" s="5"/>
      <c r="H6" s="5"/>
      <c r="I6" s="5"/>
      <c r="J6" s="5"/>
      <c r="K6" s="5"/>
      <c r="L6" s="2"/>
    </row>
    <row r="7" spans="1:12" x14ac:dyDescent="0.2">
      <c r="A7" s="9" t="s">
        <v>11</v>
      </c>
      <c r="B7" s="10">
        <v>45057</v>
      </c>
      <c r="C7" s="10" t="s">
        <v>12</v>
      </c>
      <c r="D7" s="3">
        <v>51.95</v>
      </c>
      <c r="E7" s="3">
        <v>2619.85</v>
      </c>
      <c r="F7" s="16" t="s">
        <v>23</v>
      </c>
      <c r="G7" s="13">
        <f>AVERAGE(E7:E8)</f>
        <v>2617.6999999999998</v>
      </c>
      <c r="H7" s="13">
        <f>STDEV(E7:E8)</f>
        <v>3.0405591591019614</v>
      </c>
      <c r="I7" s="5"/>
      <c r="J7" s="5"/>
      <c r="K7" s="5">
        <f>G7+$J$2</f>
        <v>2607.3599999999997</v>
      </c>
      <c r="L7" s="2"/>
    </row>
    <row r="8" spans="1:12" x14ac:dyDescent="0.2">
      <c r="A8" s="9" t="s">
        <v>11</v>
      </c>
      <c r="B8" s="10">
        <v>45057</v>
      </c>
      <c r="C8" s="10" t="s">
        <v>12</v>
      </c>
      <c r="D8" s="3">
        <v>50.8</v>
      </c>
      <c r="E8" s="3">
        <v>2615.5500000000002</v>
      </c>
      <c r="F8" s="16" t="s">
        <v>24</v>
      </c>
      <c r="G8" s="5"/>
      <c r="H8" s="5"/>
      <c r="I8" s="5"/>
      <c r="J8" s="5"/>
      <c r="K8" s="5"/>
      <c r="L8" s="2"/>
    </row>
    <row r="9" spans="1:12" x14ac:dyDescent="0.2">
      <c r="A9" s="9" t="s">
        <v>11</v>
      </c>
      <c r="B9" s="10">
        <v>45057</v>
      </c>
      <c r="C9" s="10" t="s">
        <v>12</v>
      </c>
      <c r="D9" s="3">
        <v>48.46</v>
      </c>
      <c r="E9" s="14">
        <v>2628.15</v>
      </c>
      <c r="F9" s="16" t="s">
        <v>25</v>
      </c>
      <c r="G9" s="5"/>
      <c r="H9" s="5"/>
      <c r="I9" s="5"/>
      <c r="J9" s="5"/>
      <c r="K9" s="5"/>
      <c r="L9" s="2"/>
    </row>
    <row r="10" spans="1:12" x14ac:dyDescent="0.2">
      <c r="A10" s="9" t="s">
        <v>11</v>
      </c>
      <c r="B10" s="10">
        <v>45057</v>
      </c>
      <c r="C10" s="10" t="s">
        <v>12</v>
      </c>
      <c r="D10" s="3">
        <v>51.83</v>
      </c>
      <c r="E10" s="14">
        <v>2585.67</v>
      </c>
      <c r="F10" s="16" t="s">
        <v>13</v>
      </c>
      <c r="G10" s="13">
        <f>AVERAGE(E11:E12)</f>
        <v>2574.085</v>
      </c>
      <c r="H10" s="13">
        <f>STDEV(E11:E12)</f>
        <v>2.4395183950934602</v>
      </c>
      <c r="I10" s="5"/>
      <c r="J10" s="5"/>
      <c r="K10" s="5">
        <f>G10+$J$2</f>
        <v>2563.7449999999999</v>
      </c>
      <c r="L10" s="2"/>
    </row>
    <row r="11" spans="1:12" x14ac:dyDescent="0.2">
      <c r="A11" s="9" t="s">
        <v>11</v>
      </c>
      <c r="B11" s="10">
        <v>45057</v>
      </c>
      <c r="C11" s="10" t="s">
        <v>12</v>
      </c>
      <c r="D11" s="5">
        <v>50.38</v>
      </c>
      <c r="E11" s="5">
        <v>2572.36</v>
      </c>
      <c r="F11" s="16" t="s">
        <v>14</v>
      </c>
      <c r="G11" s="5"/>
      <c r="H11" s="5"/>
      <c r="I11" s="5"/>
      <c r="J11" s="5"/>
      <c r="K11" s="5"/>
    </row>
    <row r="12" spans="1:12" x14ac:dyDescent="0.2">
      <c r="A12" s="9" t="s">
        <v>11</v>
      </c>
      <c r="B12" s="10">
        <v>45057</v>
      </c>
      <c r="C12" s="10" t="s">
        <v>12</v>
      </c>
      <c r="D12" s="5">
        <v>49.39</v>
      </c>
      <c r="E12" s="5">
        <v>2575.81</v>
      </c>
      <c r="F12" s="16" t="s">
        <v>15</v>
      </c>
      <c r="G12" s="5"/>
      <c r="H12" s="5"/>
      <c r="I12" s="5"/>
      <c r="J12" s="5"/>
      <c r="K12" s="5"/>
    </row>
    <row r="13" spans="1:12" x14ac:dyDescent="0.2">
      <c r="A13" s="9" t="s">
        <v>11</v>
      </c>
      <c r="B13" s="10">
        <v>45057</v>
      </c>
      <c r="C13" s="10" t="s">
        <v>12</v>
      </c>
      <c r="D13" s="5">
        <v>52.3</v>
      </c>
      <c r="E13" s="5">
        <v>2600.09</v>
      </c>
      <c r="F13" s="16" t="s">
        <v>17</v>
      </c>
      <c r="G13" s="13">
        <f>AVERAGE(E13:E14)</f>
        <v>2603.2200000000003</v>
      </c>
      <c r="H13" s="13">
        <f>STDEV(E13:E14)</f>
        <v>4.4264884502276205</v>
      </c>
      <c r="I13" s="5"/>
      <c r="J13" s="5"/>
      <c r="K13" s="5">
        <f>G13+$J$2</f>
        <v>2592.88</v>
      </c>
    </row>
    <row r="14" spans="1:12" x14ac:dyDescent="0.2">
      <c r="A14" s="9" t="s">
        <v>11</v>
      </c>
      <c r="B14" s="10">
        <v>45057</v>
      </c>
      <c r="C14" s="10" t="s">
        <v>12</v>
      </c>
      <c r="D14" s="3">
        <v>50.43</v>
      </c>
      <c r="E14" s="3">
        <v>2606.35</v>
      </c>
      <c r="F14" s="16" t="s">
        <v>16</v>
      </c>
      <c r="G14" s="5"/>
      <c r="H14" s="5"/>
      <c r="I14" s="5"/>
      <c r="J14" s="5"/>
      <c r="K14" s="5"/>
      <c r="L14" s="2"/>
    </row>
    <row r="15" spans="1:12" x14ac:dyDescent="0.2">
      <c r="A15" s="9" t="s">
        <v>11</v>
      </c>
      <c r="B15" s="10">
        <v>45057</v>
      </c>
      <c r="C15" s="10" t="s">
        <v>12</v>
      </c>
      <c r="D15" s="5">
        <v>49.96</v>
      </c>
      <c r="E15" s="5">
        <v>2599</v>
      </c>
      <c r="F15" s="16" t="s">
        <v>18</v>
      </c>
      <c r="G15" s="13">
        <f>AVERAGE(E15:E16)</f>
        <v>2597.08</v>
      </c>
      <c r="H15" s="13">
        <f>STDEV(E15:E16)</f>
        <v>2.7152900397564452</v>
      </c>
      <c r="I15" s="5"/>
      <c r="J15" s="5"/>
      <c r="K15" s="5">
        <f>G15+$J$2</f>
        <v>2586.7399999999998</v>
      </c>
      <c r="L15" s="2"/>
    </row>
    <row r="16" spans="1:12" x14ac:dyDescent="0.2">
      <c r="A16" s="9" t="s">
        <v>11</v>
      </c>
      <c r="B16" s="10">
        <v>45057</v>
      </c>
      <c r="C16" s="10" t="s">
        <v>12</v>
      </c>
      <c r="D16" s="5">
        <v>49.1</v>
      </c>
      <c r="E16" s="5">
        <v>2595.16</v>
      </c>
      <c r="F16" s="16" t="s">
        <v>19</v>
      </c>
      <c r="G16" s="5"/>
      <c r="H16" s="5"/>
      <c r="I16" s="5"/>
      <c r="J16" s="5"/>
      <c r="K16" s="5"/>
    </row>
    <row r="17" spans="1:11" x14ac:dyDescent="0.2">
      <c r="A17" s="9" t="s">
        <v>11</v>
      </c>
      <c r="B17" s="10">
        <v>45057</v>
      </c>
      <c r="C17" s="10" t="s">
        <v>12</v>
      </c>
      <c r="D17" s="5">
        <v>54.9</v>
      </c>
      <c r="E17" s="14">
        <v>2618.6999999999998</v>
      </c>
      <c r="F17" s="16" t="s">
        <v>26</v>
      </c>
      <c r="G17" s="13">
        <f>AVERAGE(E18:E19)</f>
        <v>2631.54</v>
      </c>
      <c r="H17" s="18">
        <f>STDEV(E18:E19)</f>
        <v>3.2668333290817722</v>
      </c>
      <c r="I17" s="5"/>
      <c r="J17" s="5"/>
      <c r="K17" s="5">
        <f>G17+$J$2</f>
        <v>2621.1999999999998</v>
      </c>
    </row>
    <row r="18" spans="1:11" x14ac:dyDescent="0.2">
      <c r="A18" s="9" t="s">
        <v>11</v>
      </c>
      <c r="B18" s="10">
        <v>45057</v>
      </c>
      <c r="C18" s="10" t="s">
        <v>12</v>
      </c>
      <c r="D18" s="5">
        <v>50.81</v>
      </c>
      <c r="E18" s="5">
        <v>2633.85</v>
      </c>
      <c r="F18" s="16" t="s">
        <v>28</v>
      </c>
      <c r="G18" s="5"/>
      <c r="H18" s="5"/>
      <c r="I18" s="5"/>
      <c r="J18" s="5"/>
      <c r="K18" s="5"/>
    </row>
    <row r="19" spans="1:11" x14ac:dyDescent="0.2">
      <c r="A19" s="9" t="s">
        <v>11</v>
      </c>
      <c r="B19" s="10">
        <v>45057</v>
      </c>
      <c r="C19" s="10" t="s">
        <v>12</v>
      </c>
      <c r="D19" s="5">
        <v>50.46</v>
      </c>
      <c r="E19" s="5">
        <v>2629.23</v>
      </c>
      <c r="F19" s="16" t="s">
        <v>27</v>
      </c>
      <c r="G19" s="5"/>
      <c r="H19" s="5"/>
      <c r="I19" s="5"/>
      <c r="J19" s="5"/>
      <c r="K19" s="5"/>
    </row>
    <row r="20" spans="1:11" x14ac:dyDescent="0.2">
      <c r="A20" s="9" t="s">
        <v>11</v>
      </c>
      <c r="B20" s="10">
        <v>45057</v>
      </c>
      <c r="C20" s="10" t="s">
        <v>12</v>
      </c>
      <c r="D20" s="5">
        <v>50.95</v>
      </c>
      <c r="E20" s="14">
        <v>2581.6</v>
      </c>
      <c r="F20" s="16" t="s">
        <v>29</v>
      </c>
      <c r="G20" s="13">
        <f>AVERAGE(E21:E22)</f>
        <v>2564.12</v>
      </c>
      <c r="H20" s="13">
        <f>STDEV(E21:E22)</f>
        <v>1.654629867976624</v>
      </c>
      <c r="I20" s="5"/>
      <c r="J20" s="5"/>
      <c r="K20" s="5">
        <f>G20+$J$2</f>
        <v>2553.7799999999997</v>
      </c>
    </row>
    <row r="21" spans="1:11" x14ac:dyDescent="0.2">
      <c r="A21" s="9" t="s">
        <v>11</v>
      </c>
      <c r="B21" s="10">
        <v>45057</v>
      </c>
      <c r="C21" s="10" t="s">
        <v>12</v>
      </c>
      <c r="D21" s="5">
        <v>52.38</v>
      </c>
      <c r="E21" s="5">
        <v>2565.29</v>
      </c>
      <c r="F21" s="16" t="s">
        <v>30</v>
      </c>
      <c r="G21" s="5"/>
      <c r="H21" s="5"/>
      <c r="I21" s="5"/>
      <c r="J21" s="5"/>
      <c r="K21" s="5"/>
    </row>
    <row r="22" spans="1:11" x14ac:dyDescent="0.2">
      <c r="A22" s="9" t="s">
        <v>11</v>
      </c>
      <c r="B22" s="10">
        <v>45057</v>
      </c>
      <c r="C22" s="10" t="s">
        <v>12</v>
      </c>
      <c r="D22" s="5">
        <v>52.22</v>
      </c>
      <c r="E22" s="5">
        <v>2562.9499999999998</v>
      </c>
      <c r="F22" s="16" t="s">
        <v>31</v>
      </c>
      <c r="G22" s="5"/>
      <c r="H22" s="5"/>
      <c r="I22" s="5"/>
      <c r="J22" s="5"/>
      <c r="K22" s="5"/>
    </row>
    <row r="23" spans="1:11" x14ac:dyDescent="0.2">
      <c r="A23" s="9" t="s">
        <v>11</v>
      </c>
      <c r="B23" s="10">
        <v>45057</v>
      </c>
      <c r="C23" s="10" t="s">
        <v>12</v>
      </c>
      <c r="D23" s="5">
        <v>52.27</v>
      </c>
      <c r="E23" s="5">
        <v>2543.0300000000002</v>
      </c>
      <c r="F23" s="16" t="s">
        <v>32</v>
      </c>
      <c r="G23" s="13">
        <f>AVERAGE(E23:E24)</f>
        <v>2541.38</v>
      </c>
      <c r="H23" s="13">
        <f>STDEV(E23:E24)</f>
        <v>2.3334523779157355</v>
      </c>
      <c r="I23" s="5"/>
      <c r="J23" s="5"/>
      <c r="K23" s="5">
        <f>G23+$J$2</f>
        <v>2531.04</v>
      </c>
    </row>
    <row r="24" spans="1:11" x14ac:dyDescent="0.2">
      <c r="A24" s="9" t="s">
        <v>11</v>
      </c>
      <c r="B24" s="10">
        <v>45057</v>
      </c>
      <c r="C24" s="10" t="s">
        <v>12</v>
      </c>
      <c r="D24" s="5">
        <v>52.82</v>
      </c>
      <c r="E24" s="5">
        <v>2539.73</v>
      </c>
      <c r="F24" s="16" t="s">
        <v>33</v>
      </c>
      <c r="G24" s="5"/>
      <c r="H24" s="5"/>
      <c r="I24" s="5"/>
      <c r="J24" s="5"/>
      <c r="K24" s="5"/>
    </row>
    <row r="25" spans="1:11" x14ac:dyDescent="0.2">
      <c r="A25" s="9" t="s">
        <v>11</v>
      </c>
      <c r="B25" s="10">
        <v>45057</v>
      </c>
      <c r="C25" s="10" t="s">
        <v>12</v>
      </c>
      <c r="D25" s="5">
        <v>51.55</v>
      </c>
      <c r="E25" s="14">
        <v>2481.0500000000002</v>
      </c>
      <c r="F25" s="16" t="s">
        <v>34</v>
      </c>
      <c r="G25" s="13">
        <f>AVERAGE(E27:E28)</f>
        <v>2497.915</v>
      </c>
      <c r="H25" s="13">
        <f>STDEV(E27:E28)</f>
        <v>0.81317279836427248</v>
      </c>
      <c r="I25" s="5"/>
      <c r="J25" s="5"/>
      <c r="K25" s="5">
        <f>G25+$J$2</f>
        <v>2487.5749999999998</v>
      </c>
    </row>
    <row r="26" spans="1:11" x14ac:dyDescent="0.2">
      <c r="A26" s="9" t="s">
        <v>11</v>
      </c>
      <c r="B26" s="10">
        <v>45057</v>
      </c>
      <c r="C26" s="10" t="s">
        <v>12</v>
      </c>
      <c r="D26" s="5">
        <v>52.87</v>
      </c>
      <c r="E26" s="14">
        <v>2467.69</v>
      </c>
      <c r="F26" s="16" t="s">
        <v>35</v>
      </c>
      <c r="G26" s="5"/>
      <c r="H26" s="5"/>
      <c r="I26" s="5"/>
      <c r="J26" s="5"/>
      <c r="K26" s="5"/>
    </row>
    <row r="27" spans="1:11" x14ac:dyDescent="0.2">
      <c r="A27" s="9" t="s">
        <v>11</v>
      </c>
      <c r="B27" s="10">
        <v>45057</v>
      </c>
      <c r="C27" s="10" t="s">
        <v>12</v>
      </c>
      <c r="D27" s="5">
        <v>48.93</v>
      </c>
      <c r="E27" s="5">
        <v>2497.34</v>
      </c>
      <c r="F27" s="16" t="s">
        <v>36</v>
      </c>
      <c r="G27" s="5"/>
      <c r="H27" s="5"/>
      <c r="I27" s="5"/>
      <c r="J27" s="5"/>
      <c r="K27" s="5"/>
    </row>
    <row r="28" spans="1:11" x14ac:dyDescent="0.2">
      <c r="A28" s="9" t="s">
        <v>11</v>
      </c>
      <c r="B28" s="10">
        <v>45057</v>
      </c>
      <c r="C28" s="10" t="s">
        <v>12</v>
      </c>
      <c r="D28" s="5">
        <v>50.14</v>
      </c>
      <c r="E28" s="5">
        <v>2498.4899999999998</v>
      </c>
      <c r="F28" s="16" t="s">
        <v>40</v>
      </c>
      <c r="G28" s="5"/>
      <c r="H28" s="5"/>
      <c r="I28" s="5"/>
      <c r="J28" s="5"/>
      <c r="K28" s="5"/>
    </row>
    <row r="29" spans="1:11" x14ac:dyDescent="0.2">
      <c r="A29" s="9" t="s">
        <v>11</v>
      </c>
      <c r="B29" s="10">
        <v>45057</v>
      </c>
      <c r="C29" s="10" t="s">
        <v>12</v>
      </c>
      <c r="D29" s="5">
        <v>49.87</v>
      </c>
      <c r="E29" s="5">
        <v>2617.66</v>
      </c>
      <c r="F29" s="16" t="s">
        <v>37</v>
      </c>
      <c r="G29" s="13">
        <f>AVERAGE(E29,E31)</f>
        <v>2617.3049999999998</v>
      </c>
      <c r="H29" s="13">
        <f>STDEV(E29,E31)</f>
        <v>0.50204581464247444</v>
      </c>
      <c r="I29" s="5"/>
      <c r="J29" s="5"/>
      <c r="K29" s="5">
        <f>G29+$J$2</f>
        <v>2606.9649999999997</v>
      </c>
    </row>
    <row r="30" spans="1:11" x14ac:dyDescent="0.2">
      <c r="A30" s="9" t="s">
        <v>11</v>
      </c>
      <c r="B30" s="10">
        <v>45057</v>
      </c>
      <c r="C30" s="10" t="s">
        <v>12</v>
      </c>
      <c r="D30" s="5">
        <v>51.76</v>
      </c>
      <c r="E30" s="14">
        <v>2608.98</v>
      </c>
      <c r="F30" s="16" t="s">
        <v>38</v>
      </c>
      <c r="G30" s="5"/>
      <c r="H30" s="5"/>
      <c r="I30" s="5"/>
      <c r="J30" s="5"/>
      <c r="K30" s="5"/>
    </row>
    <row r="31" spans="1:11" x14ac:dyDescent="0.2">
      <c r="A31" s="9" t="s">
        <v>11</v>
      </c>
      <c r="B31" s="10">
        <v>45057</v>
      </c>
      <c r="C31" s="10" t="s">
        <v>12</v>
      </c>
      <c r="D31" s="5">
        <v>51.57</v>
      </c>
      <c r="E31" s="5">
        <v>2616.9499999999998</v>
      </c>
      <c r="F31" s="16" t="s">
        <v>39</v>
      </c>
      <c r="G31" s="5"/>
      <c r="H31" s="5"/>
      <c r="I31" s="5"/>
      <c r="J31" s="5"/>
      <c r="K31" s="5"/>
    </row>
    <row r="32" spans="1:11" x14ac:dyDescent="0.2">
      <c r="A32" s="9"/>
      <c r="B32" s="10"/>
      <c r="C32" s="10"/>
      <c r="F32" s="16"/>
      <c r="G32" s="5"/>
      <c r="H32" s="5"/>
      <c r="I32" s="5"/>
      <c r="J32" s="5"/>
      <c r="K32" s="5"/>
    </row>
    <row r="33" spans="1:12" x14ac:dyDescent="0.2">
      <c r="A33" s="9" t="s">
        <v>11</v>
      </c>
      <c r="B33" s="10">
        <v>45058</v>
      </c>
      <c r="C33" s="10" t="s">
        <v>12</v>
      </c>
      <c r="D33" s="5">
        <v>50.25</v>
      </c>
      <c r="E33" s="5">
        <v>2235.6999999999998</v>
      </c>
      <c r="F33" s="16" t="s">
        <v>8</v>
      </c>
      <c r="G33" s="12">
        <f>AVERAGE(E33:E34)</f>
        <v>2237.1099999999997</v>
      </c>
      <c r="H33" s="13">
        <f>STDEV(E33:E34)</f>
        <v>1.9940411229461796</v>
      </c>
      <c r="I33" s="3">
        <v>2226.44</v>
      </c>
      <c r="J33" s="4">
        <f>I33-G33</f>
        <v>-10.669999999999618</v>
      </c>
      <c r="K33" s="5">
        <f>G33+J33</f>
        <v>2226.44</v>
      </c>
      <c r="L33" s="2" t="s">
        <v>96</v>
      </c>
    </row>
    <row r="34" spans="1:12" x14ac:dyDescent="0.2">
      <c r="A34" s="9" t="s">
        <v>11</v>
      </c>
      <c r="B34" s="10">
        <v>45058</v>
      </c>
      <c r="C34" s="10" t="s">
        <v>12</v>
      </c>
      <c r="D34" s="5">
        <v>49.39</v>
      </c>
      <c r="E34" s="5">
        <v>2238.52</v>
      </c>
      <c r="F34" s="16" t="s">
        <v>9</v>
      </c>
      <c r="G34" s="5"/>
      <c r="H34" s="5"/>
      <c r="I34" s="5"/>
      <c r="J34" s="5"/>
      <c r="K34" s="5"/>
    </row>
    <row r="35" spans="1:12" x14ac:dyDescent="0.2">
      <c r="A35" s="9" t="s">
        <v>11</v>
      </c>
      <c r="B35" s="10">
        <v>45057</v>
      </c>
      <c r="C35" s="10" t="s">
        <v>12</v>
      </c>
      <c r="D35" s="5">
        <v>49.81</v>
      </c>
      <c r="E35" s="5">
        <v>2669.25</v>
      </c>
      <c r="F35" s="16" t="s">
        <v>43</v>
      </c>
      <c r="G35" s="13">
        <f>AVERAGE(E35,E36)</f>
        <v>2668.4349999999999</v>
      </c>
      <c r="H35" s="13">
        <f>STDEV(E35,E36)</f>
        <v>1.1525840533341496</v>
      </c>
      <c r="K35" s="5">
        <f>G35+$J$2</f>
        <v>2658.0949999999998</v>
      </c>
    </row>
    <row r="36" spans="1:12" x14ac:dyDescent="0.2">
      <c r="A36" s="9" t="s">
        <v>11</v>
      </c>
      <c r="B36" s="10">
        <v>45057</v>
      </c>
      <c r="C36" s="10" t="s">
        <v>12</v>
      </c>
      <c r="D36" s="5">
        <v>51.97</v>
      </c>
      <c r="E36" s="5">
        <v>2667.62</v>
      </c>
      <c r="F36" s="16" t="s">
        <v>44</v>
      </c>
    </row>
    <row r="37" spans="1:12" x14ac:dyDescent="0.2">
      <c r="A37" s="9" t="s">
        <v>11</v>
      </c>
      <c r="B37" s="10">
        <v>45057</v>
      </c>
      <c r="C37" s="10" t="s">
        <v>12</v>
      </c>
      <c r="D37" s="5">
        <v>49.83</v>
      </c>
      <c r="E37" s="14">
        <v>2702.72</v>
      </c>
      <c r="F37" s="16" t="s">
        <v>45</v>
      </c>
      <c r="G37" s="13">
        <f>AVERAGE(E36,E39)</f>
        <v>2666.085</v>
      </c>
      <c r="H37" s="13">
        <f>STDEV(E36,E39)</f>
        <v>2.1708178182424951</v>
      </c>
      <c r="K37" s="5">
        <f>G37+$J$2</f>
        <v>2655.7449999999999</v>
      </c>
    </row>
    <row r="38" spans="1:12" x14ac:dyDescent="0.2">
      <c r="A38" s="9" t="s">
        <v>11</v>
      </c>
      <c r="B38" s="10">
        <v>45057</v>
      </c>
      <c r="C38" s="10" t="s">
        <v>12</v>
      </c>
      <c r="D38" s="5">
        <v>50.93</v>
      </c>
      <c r="E38" s="14">
        <v>2690.11</v>
      </c>
      <c r="F38" s="16" t="s">
        <v>46</v>
      </c>
    </row>
    <row r="39" spans="1:12" x14ac:dyDescent="0.2">
      <c r="A39" s="9" t="s">
        <v>11</v>
      </c>
      <c r="B39" s="10">
        <v>45057</v>
      </c>
      <c r="C39" s="10" t="s">
        <v>12</v>
      </c>
      <c r="D39" s="5">
        <v>49.75</v>
      </c>
      <c r="E39" s="5">
        <v>2664.55</v>
      </c>
      <c r="F39" s="16" t="s">
        <v>47</v>
      </c>
    </row>
    <row r="40" spans="1:12" x14ac:dyDescent="0.2">
      <c r="A40" s="9" t="s">
        <v>11</v>
      </c>
      <c r="B40" s="10">
        <v>45058</v>
      </c>
      <c r="C40" s="10" t="s">
        <v>12</v>
      </c>
      <c r="D40" s="5">
        <v>51.18</v>
      </c>
      <c r="E40" s="5">
        <v>2603.65</v>
      </c>
      <c r="F40" s="16" t="s">
        <v>48</v>
      </c>
      <c r="G40" s="13">
        <f>AVERAGE(E40,E43)</f>
        <v>2602.0100000000002</v>
      </c>
      <c r="H40" s="13">
        <f>STDEV(E40,E43)</f>
        <v>2.3193102422920173</v>
      </c>
      <c r="K40" s="5">
        <f>G40+$J$33</f>
        <v>2591.3400000000006</v>
      </c>
    </row>
    <row r="41" spans="1:12" x14ac:dyDescent="0.2">
      <c r="A41" s="9" t="s">
        <v>11</v>
      </c>
      <c r="B41" s="10">
        <v>45058</v>
      </c>
      <c r="C41" s="10" t="s">
        <v>12</v>
      </c>
      <c r="D41" s="5">
        <v>50.52</v>
      </c>
      <c r="E41" s="14">
        <v>2579.64</v>
      </c>
      <c r="F41" s="16" t="s">
        <v>49</v>
      </c>
    </row>
    <row r="42" spans="1:12" x14ac:dyDescent="0.2">
      <c r="A42" s="9" t="s">
        <v>11</v>
      </c>
      <c r="B42" s="10">
        <v>45058</v>
      </c>
      <c r="C42" s="10" t="s">
        <v>12</v>
      </c>
      <c r="D42" s="5">
        <v>49.86</v>
      </c>
      <c r="E42" s="14">
        <v>2565.9699999999998</v>
      </c>
      <c r="F42" s="16" t="s">
        <v>50</v>
      </c>
    </row>
    <row r="43" spans="1:12" x14ac:dyDescent="0.2">
      <c r="A43" s="9" t="s">
        <v>11</v>
      </c>
      <c r="B43" s="10">
        <v>45058</v>
      </c>
      <c r="C43" s="10" t="s">
        <v>12</v>
      </c>
      <c r="D43" s="5">
        <v>49.76</v>
      </c>
      <c r="E43" s="5">
        <v>2600.37</v>
      </c>
      <c r="F43" s="16" t="s">
        <v>68</v>
      </c>
    </row>
    <row r="44" spans="1:12" x14ac:dyDescent="0.2">
      <c r="A44" s="9" t="s">
        <v>11</v>
      </c>
      <c r="B44" s="10">
        <v>45058</v>
      </c>
      <c r="C44" s="10" t="s">
        <v>12</v>
      </c>
      <c r="D44" s="5">
        <v>48.93</v>
      </c>
      <c r="E44" s="14">
        <v>2610.11</v>
      </c>
      <c r="F44" s="16" t="s">
        <v>51</v>
      </c>
      <c r="G44" s="13">
        <f>AVERAGE(E47,E45)</f>
        <v>2587.2650000000003</v>
      </c>
      <c r="H44" s="13">
        <f>STDEV(E47,E45)</f>
        <v>2.4819448019646146</v>
      </c>
      <c r="K44" s="5">
        <f>G44+$J$33</f>
        <v>2576.5950000000007</v>
      </c>
    </row>
    <row r="45" spans="1:12" x14ac:dyDescent="0.2">
      <c r="A45" s="9" t="s">
        <v>11</v>
      </c>
      <c r="B45" s="10">
        <v>45058</v>
      </c>
      <c r="C45" s="10" t="s">
        <v>12</v>
      </c>
      <c r="D45" s="5">
        <v>50.66</v>
      </c>
      <c r="E45" s="5">
        <v>2589.02</v>
      </c>
      <c r="F45" s="16" t="s">
        <v>52</v>
      </c>
    </row>
    <row r="46" spans="1:12" x14ac:dyDescent="0.2">
      <c r="A46" s="9" t="s">
        <v>11</v>
      </c>
      <c r="B46" s="10">
        <v>45058</v>
      </c>
      <c r="C46" s="10" t="s">
        <v>12</v>
      </c>
      <c r="D46" s="5">
        <v>50.01</v>
      </c>
      <c r="E46" s="14">
        <v>2579.36</v>
      </c>
      <c r="F46" s="16" t="s">
        <v>66</v>
      </c>
    </row>
    <row r="47" spans="1:12" x14ac:dyDescent="0.2">
      <c r="A47" s="9" t="s">
        <v>11</v>
      </c>
      <c r="B47" s="10">
        <v>45058</v>
      </c>
      <c r="C47" s="10" t="s">
        <v>12</v>
      </c>
      <c r="D47" s="5">
        <v>49.93</v>
      </c>
      <c r="E47" s="5">
        <v>2585.5100000000002</v>
      </c>
      <c r="F47" s="16" t="s">
        <v>69</v>
      </c>
    </row>
    <row r="48" spans="1:12" x14ac:dyDescent="0.2">
      <c r="A48" s="9" t="s">
        <v>11</v>
      </c>
      <c r="B48" s="10">
        <v>45058</v>
      </c>
      <c r="C48" s="10" t="s">
        <v>12</v>
      </c>
      <c r="D48" s="5">
        <v>49.17</v>
      </c>
      <c r="E48" s="5">
        <v>2593.4899999999998</v>
      </c>
      <c r="F48" s="16" t="s">
        <v>53</v>
      </c>
      <c r="G48" s="13">
        <f>AVERAGE(E50,E48)</f>
        <v>2590.2950000000001</v>
      </c>
      <c r="H48" s="13">
        <f>STDEV(E50,E48)</f>
        <v>4.5184123317819482</v>
      </c>
      <c r="K48" s="5">
        <f>G48+$J$33</f>
        <v>2579.6250000000005</v>
      </c>
    </row>
    <row r="49" spans="1:12" x14ac:dyDescent="0.2">
      <c r="A49" s="9" t="s">
        <v>11</v>
      </c>
      <c r="B49" s="10">
        <v>45058</v>
      </c>
      <c r="C49" s="10" t="s">
        <v>12</v>
      </c>
      <c r="D49" s="5">
        <v>51.35</v>
      </c>
      <c r="E49" s="14">
        <v>2560.08</v>
      </c>
      <c r="F49" s="16" t="s">
        <v>54</v>
      </c>
    </row>
    <row r="50" spans="1:12" x14ac:dyDescent="0.2">
      <c r="A50" s="9" t="s">
        <v>11</v>
      </c>
      <c r="B50" s="10">
        <v>45058</v>
      </c>
      <c r="C50" s="10" t="s">
        <v>12</v>
      </c>
      <c r="D50" s="5">
        <v>49.36</v>
      </c>
      <c r="E50" s="5">
        <v>2587.1</v>
      </c>
      <c r="F50" s="16" t="s">
        <v>67</v>
      </c>
    </row>
    <row r="51" spans="1:12" x14ac:dyDescent="0.2">
      <c r="A51" s="9" t="s">
        <v>11</v>
      </c>
      <c r="B51" s="10">
        <v>45058</v>
      </c>
      <c r="C51" s="10" t="s">
        <v>12</v>
      </c>
      <c r="D51" s="5">
        <v>50.86</v>
      </c>
      <c r="E51" s="5">
        <v>2660.25</v>
      </c>
      <c r="F51" s="16" t="s">
        <v>55</v>
      </c>
      <c r="G51" s="13">
        <f>AVERAGE(E52,E51)</f>
        <v>2660.75</v>
      </c>
      <c r="H51" s="13">
        <f>STDEV(E52,E51)</f>
        <v>0.70710678118654757</v>
      </c>
      <c r="K51" s="5">
        <f>G51+$J$33</f>
        <v>2650.0800000000004</v>
      </c>
    </row>
    <row r="52" spans="1:12" x14ac:dyDescent="0.2">
      <c r="A52" s="9" t="s">
        <v>11</v>
      </c>
      <c r="B52" s="10">
        <v>45058</v>
      </c>
      <c r="C52" s="10" t="s">
        <v>12</v>
      </c>
      <c r="D52" s="5">
        <v>48.98</v>
      </c>
      <c r="E52" s="5">
        <v>2661.25</v>
      </c>
      <c r="F52" s="16" t="s">
        <v>56</v>
      </c>
    </row>
    <row r="53" spans="1:12" x14ac:dyDescent="0.2">
      <c r="A53" s="9" t="s">
        <v>11</v>
      </c>
      <c r="B53" s="10">
        <v>45058</v>
      </c>
      <c r="C53" s="10" t="s">
        <v>12</v>
      </c>
      <c r="D53" s="5">
        <v>50.41</v>
      </c>
      <c r="E53" s="5">
        <v>2569.34</v>
      </c>
      <c r="F53" s="16" t="s">
        <v>57</v>
      </c>
      <c r="G53" s="13">
        <f>AVERAGE(E55,E53)</f>
        <v>2567.355</v>
      </c>
      <c r="H53" s="13">
        <f>STDEV(E55,E53)</f>
        <v>2.8072139213107739</v>
      </c>
      <c r="K53" s="5">
        <f>G53+$J$33</f>
        <v>2556.6850000000004</v>
      </c>
    </row>
    <row r="54" spans="1:12" x14ac:dyDescent="0.2">
      <c r="A54" s="9" t="s">
        <v>11</v>
      </c>
      <c r="B54" s="10">
        <v>45058</v>
      </c>
      <c r="C54" s="10" t="s">
        <v>12</v>
      </c>
      <c r="D54" s="5">
        <v>51.21</v>
      </c>
      <c r="E54" s="14">
        <v>2544.79</v>
      </c>
      <c r="F54" s="16" t="s">
        <v>58</v>
      </c>
    </row>
    <row r="55" spans="1:12" x14ac:dyDescent="0.2">
      <c r="A55" s="9" t="s">
        <v>11</v>
      </c>
      <c r="B55" s="10">
        <v>45058</v>
      </c>
      <c r="C55" s="10" t="s">
        <v>12</v>
      </c>
      <c r="D55" s="5">
        <v>48.63</v>
      </c>
      <c r="E55" s="5">
        <v>2565.37</v>
      </c>
      <c r="F55" s="16" t="s">
        <v>59</v>
      </c>
    </row>
    <row r="56" spans="1:12" x14ac:dyDescent="0.2">
      <c r="A56" s="9" t="s">
        <v>11</v>
      </c>
      <c r="B56" s="10">
        <v>45058</v>
      </c>
      <c r="C56" s="10" t="s">
        <v>12</v>
      </c>
      <c r="D56" s="5">
        <v>50.87</v>
      </c>
      <c r="E56" s="5">
        <v>2541.75</v>
      </c>
      <c r="F56" s="16" t="s">
        <v>60</v>
      </c>
      <c r="G56" s="13">
        <f>AVERAGE(E57,E56)</f>
        <v>2543.48</v>
      </c>
      <c r="H56" s="13">
        <f>STDEV(E57,E56)</f>
        <v>2.4465894629054801</v>
      </c>
      <c r="K56" s="5">
        <f>G56+$J$33</f>
        <v>2532.8100000000004</v>
      </c>
    </row>
    <row r="57" spans="1:12" x14ac:dyDescent="0.2">
      <c r="A57" s="9" t="s">
        <v>11</v>
      </c>
      <c r="B57" s="10">
        <v>45058</v>
      </c>
      <c r="C57" s="10" t="s">
        <v>12</v>
      </c>
      <c r="D57" s="5">
        <v>49.82</v>
      </c>
      <c r="E57" s="5">
        <v>2545.21</v>
      </c>
      <c r="F57" s="16" t="s">
        <v>61</v>
      </c>
    </row>
    <row r="58" spans="1:12" x14ac:dyDescent="0.2">
      <c r="A58" s="9" t="s">
        <v>11</v>
      </c>
      <c r="B58" s="10">
        <v>45058</v>
      </c>
      <c r="C58" s="10" t="s">
        <v>12</v>
      </c>
      <c r="D58" s="5">
        <v>49.91</v>
      </c>
      <c r="E58" s="5">
        <v>2549.7199999999998</v>
      </c>
      <c r="F58" s="16" t="s">
        <v>62</v>
      </c>
      <c r="G58" s="13">
        <f>AVERAGE(E59,E58)</f>
        <v>2551.4399999999996</v>
      </c>
      <c r="H58" s="13">
        <f>STDEV(E59,E58)</f>
        <v>2.4324473272817619</v>
      </c>
      <c r="K58" s="5">
        <f>G58+$J$33</f>
        <v>2540.77</v>
      </c>
    </row>
    <row r="59" spans="1:12" x14ac:dyDescent="0.2">
      <c r="A59" s="9" t="s">
        <v>11</v>
      </c>
      <c r="B59" s="10">
        <v>45058</v>
      </c>
      <c r="C59" s="10" t="s">
        <v>12</v>
      </c>
      <c r="D59" s="5">
        <v>49.93</v>
      </c>
      <c r="E59" s="5">
        <v>2553.16</v>
      </c>
      <c r="F59" s="16" t="s">
        <v>63</v>
      </c>
    </row>
    <row r="60" spans="1:12" x14ac:dyDescent="0.2">
      <c r="A60" s="9" t="s">
        <v>11</v>
      </c>
      <c r="B60" s="10">
        <v>45058</v>
      </c>
      <c r="C60" s="10" t="s">
        <v>12</v>
      </c>
      <c r="D60" s="5">
        <v>50.98</v>
      </c>
      <c r="E60" s="5">
        <v>2644.74</v>
      </c>
      <c r="F60" s="16" t="s">
        <v>64</v>
      </c>
      <c r="G60" s="13">
        <f>AVERAGE(E61,E60)</f>
        <v>2644.4449999999997</v>
      </c>
      <c r="H60" s="13">
        <f>STDEV(E61,E60)</f>
        <v>0.4171930008998444</v>
      </c>
      <c r="K60" s="5">
        <f>G60+$J$33</f>
        <v>2633.7750000000001</v>
      </c>
    </row>
    <row r="61" spans="1:12" x14ac:dyDescent="0.2">
      <c r="A61" s="9" t="s">
        <v>11</v>
      </c>
      <c r="B61" s="10">
        <v>45058</v>
      </c>
      <c r="C61" s="10" t="s">
        <v>12</v>
      </c>
      <c r="D61" s="5">
        <v>48.92</v>
      </c>
      <c r="E61" s="5">
        <v>2644.15</v>
      </c>
      <c r="F61" s="16" t="s">
        <v>65</v>
      </c>
    </row>
    <row r="63" spans="1:12" x14ac:dyDescent="0.2">
      <c r="A63" s="9" t="s">
        <v>11</v>
      </c>
      <c r="B63" s="10">
        <v>45059</v>
      </c>
      <c r="C63" s="10" t="s">
        <v>12</v>
      </c>
      <c r="D63" s="5">
        <v>50.51</v>
      </c>
      <c r="E63" s="5">
        <v>2232.81</v>
      </c>
      <c r="F63" s="16" t="s">
        <v>8</v>
      </c>
      <c r="G63" s="12">
        <f>AVERAGE(E63:E64)</f>
        <v>2234.8249999999998</v>
      </c>
      <c r="H63" s="13">
        <f>STDEV(E63:E64)</f>
        <v>2.8496403281819278</v>
      </c>
      <c r="I63" s="3">
        <v>2226.44</v>
      </c>
      <c r="J63" s="4">
        <f>I63-G63</f>
        <v>-8.3849999999997635</v>
      </c>
      <c r="K63" s="5">
        <f>G63+J63</f>
        <v>2226.44</v>
      </c>
      <c r="L63" s="2" t="s">
        <v>96</v>
      </c>
    </row>
    <row r="64" spans="1:12" x14ac:dyDescent="0.2">
      <c r="A64" s="9" t="s">
        <v>11</v>
      </c>
      <c r="B64" s="10">
        <v>45059</v>
      </c>
      <c r="C64" s="10" t="s">
        <v>12</v>
      </c>
      <c r="D64" s="5">
        <v>49.4</v>
      </c>
      <c r="E64" s="5">
        <v>2236.84</v>
      </c>
      <c r="F64" s="16" t="s">
        <v>9</v>
      </c>
      <c r="G64" s="5"/>
      <c r="H64" s="5"/>
      <c r="I64" s="5"/>
      <c r="J64" s="5"/>
      <c r="K64" s="5"/>
    </row>
    <row r="65" spans="1:11" x14ac:dyDescent="0.2">
      <c r="A65" s="9" t="s">
        <v>11</v>
      </c>
      <c r="B65" s="10">
        <v>45058</v>
      </c>
      <c r="C65" s="10" t="s">
        <v>12</v>
      </c>
      <c r="D65" s="5">
        <v>51.23</v>
      </c>
      <c r="E65" s="14">
        <v>2724.44</v>
      </c>
      <c r="F65" s="16" t="s">
        <v>70</v>
      </c>
      <c r="G65" s="13">
        <f>AVERAGE(E66,E67)</f>
        <v>2685.37</v>
      </c>
      <c r="H65" s="13">
        <f>STDEV(E66,E67)</f>
        <v>2.4183051916580438</v>
      </c>
      <c r="K65" s="5">
        <f>G65+$J$33</f>
        <v>2674.7000000000003</v>
      </c>
    </row>
    <row r="66" spans="1:11" x14ac:dyDescent="0.2">
      <c r="A66" s="9" t="s">
        <v>11</v>
      </c>
      <c r="B66" s="10">
        <v>45058</v>
      </c>
      <c r="C66" s="10" t="s">
        <v>12</v>
      </c>
      <c r="D66" s="5">
        <v>50.02</v>
      </c>
      <c r="E66" s="5">
        <v>2687.08</v>
      </c>
      <c r="F66" s="16" t="s">
        <v>71</v>
      </c>
    </row>
    <row r="67" spans="1:11" x14ac:dyDescent="0.2">
      <c r="A67" s="9" t="s">
        <v>11</v>
      </c>
      <c r="B67" s="10">
        <v>45058</v>
      </c>
      <c r="C67" s="10" t="s">
        <v>12</v>
      </c>
      <c r="D67" s="5">
        <v>49.44</v>
      </c>
      <c r="E67" s="5">
        <v>2683.66</v>
      </c>
      <c r="F67" s="16" t="s">
        <v>85</v>
      </c>
    </row>
    <row r="68" spans="1:11" x14ac:dyDescent="0.2">
      <c r="A68" s="9" t="s">
        <v>11</v>
      </c>
      <c r="B68" s="10">
        <v>45058</v>
      </c>
      <c r="C68" s="10" t="s">
        <v>12</v>
      </c>
      <c r="D68" s="5">
        <v>52.2</v>
      </c>
      <c r="E68" s="5">
        <v>2662.94</v>
      </c>
      <c r="F68" s="16" t="s">
        <v>72</v>
      </c>
      <c r="G68" s="13">
        <f>AVERAGE(E68,E70)</f>
        <v>2660.77</v>
      </c>
      <c r="H68" s="13">
        <f>STDEV(E68,E70)</f>
        <v>3.0688434303497192</v>
      </c>
      <c r="K68" s="5">
        <f>G68+$J$33</f>
        <v>2650.1000000000004</v>
      </c>
    </row>
    <row r="69" spans="1:11" x14ac:dyDescent="0.2">
      <c r="A69" s="9" t="s">
        <v>11</v>
      </c>
      <c r="B69" s="10">
        <v>45058</v>
      </c>
      <c r="C69" s="10" t="s">
        <v>12</v>
      </c>
      <c r="D69" s="5">
        <v>51.08</v>
      </c>
      <c r="E69" s="14">
        <v>2635.37</v>
      </c>
      <c r="F69" s="16" t="s">
        <v>73</v>
      </c>
    </row>
    <row r="70" spans="1:11" x14ac:dyDescent="0.2">
      <c r="A70" s="9" t="s">
        <v>11</v>
      </c>
      <c r="B70" s="10">
        <v>45058</v>
      </c>
      <c r="C70" s="10" t="s">
        <v>12</v>
      </c>
      <c r="D70" s="5">
        <v>49.26</v>
      </c>
      <c r="E70" s="5">
        <v>2658.6</v>
      </c>
      <c r="F70" s="16" t="s">
        <v>74</v>
      </c>
    </row>
    <row r="71" spans="1:11" x14ac:dyDescent="0.2">
      <c r="A71" s="9" t="s">
        <v>11</v>
      </c>
      <c r="B71" s="10">
        <v>45058</v>
      </c>
      <c r="C71" s="10" t="s">
        <v>12</v>
      </c>
      <c r="D71" s="15">
        <v>48.42</v>
      </c>
      <c r="E71" s="5">
        <v>2351.7199999999998</v>
      </c>
      <c r="F71" s="16" t="s">
        <v>75</v>
      </c>
      <c r="G71" s="13">
        <f>AVERAGE(E72,E71)</f>
        <v>2353.9499999999998</v>
      </c>
      <c r="H71" s="13">
        <f>STDEV(E71,E72)</f>
        <v>3.1536962440920275</v>
      </c>
      <c r="K71" s="5">
        <f>G71+$J$33</f>
        <v>2343.2800000000002</v>
      </c>
    </row>
    <row r="72" spans="1:11" x14ac:dyDescent="0.2">
      <c r="A72" s="9" t="s">
        <v>11</v>
      </c>
      <c r="B72" s="10">
        <v>45059</v>
      </c>
      <c r="C72" s="10" t="s">
        <v>12</v>
      </c>
      <c r="D72" s="5">
        <v>52.08</v>
      </c>
      <c r="E72" s="5">
        <v>2356.1799999999998</v>
      </c>
      <c r="F72" s="16" t="s">
        <v>95</v>
      </c>
    </row>
    <row r="73" spans="1:11" x14ac:dyDescent="0.2">
      <c r="A73" s="9" t="s">
        <v>11</v>
      </c>
      <c r="B73" s="10">
        <v>45058</v>
      </c>
      <c r="C73" s="10" t="s">
        <v>12</v>
      </c>
      <c r="D73" s="5">
        <v>51.64</v>
      </c>
      <c r="E73" s="5">
        <v>2650.42</v>
      </c>
      <c r="F73" s="16" t="s">
        <v>76</v>
      </c>
      <c r="G73" s="13">
        <f>AVERAGE(E74,E73)</f>
        <v>2652.67</v>
      </c>
      <c r="H73" s="13">
        <f>STDEV(E74,E73)</f>
        <v>3.1819805153394638</v>
      </c>
      <c r="K73" s="5">
        <f>G73+$J$33</f>
        <v>2642.0000000000005</v>
      </c>
    </row>
    <row r="74" spans="1:11" x14ac:dyDescent="0.2">
      <c r="A74" s="9" t="s">
        <v>11</v>
      </c>
      <c r="B74" s="10">
        <v>45058</v>
      </c>
      <c r="C74" s="10" t="s">
        <v>12</v>
      </c>
      <c r="D74" s="5">
        <v>50.46</v>
      </c>
      <c r="E74" s="5">
        <v>2654.92</v>
      </c>
      <c r="F74" s="16" t="s">
        <v>77</v>
      </c>
    </row>
    <row r="75" spans="1:11" x14ac:dyDescent="0.2">
      <c r="A75" s="9" t="s">
        <v>11</v>
      </c>
      <c r="B75" s="10">
        <v>45058</v>
      </c>
      <c r="C75" s="10" t="s">
        <v>12</v>
      </c>
      <c r="D75" s="5">
        <v>50.63</v>
      </c>
      <c r="E75" s="5">
        <v>2629.73</v>
      </c>
      <c r="F75" s="16" t="s">
        <v>78</v>
      </c>
      <c r="G75" s="13">
        <f>AVERAGE(E76,E75)</f>
        <v>2631.4349999999999</v>
      </c>
      <c r="H75" s="13">
        <f>STDEV(E76,E75)</f>
        <v>2.411234123846024</v>
      </c>
      <c r="K75" s="5">
        <f>G75+$J$33</f>
        <v>2620.7650000000003</v>
      </c>
    </row>
    <row r="76" spans="1:11" x14ac:dyDescent="0.2">
      <c r="A76" s="9" t="s">
        <v>11</v>
      </c>
      <c r="B76" s="10">
        <v>45058</v>
      </c>
      <c r="C76" s="10" t="s">
        <v>12</v>
      </c>
      <c r="D76" s="5">
        <v>50.92</v>
      </c>
      <c r="E76" s="5">
        <v>2633.14</v>
      </c>
      <c r="F76" s="16" t="s">
        <v>79</v>
      </c>
    </row>
    <row r="77" spans="1:11" x14ac:dyDescent="0.2">
      <c r="A77" s="9" t="s">
        <v>11</v>
      </c>
      <c r="B77" s="10">
        <v>45058</v>
      </c>
      <c r="C77" s="10" t="s">
        <v>12</v>
      </c>
      <c r="D77" s="5">
        <v>50.69</v>
      </c>
      <c r="E77" s="5">
        <v>2671.36</v>
      </c>
      <c r="F77" s="16" t="s">
        <v>80</v>
      </c>
      <c r="G77" s="13">
        <f>AVERAGE(E77,E79)</f>
        <v>2673.7550000000001</v>
      </c>
      <c r="H77" s="13">
        <f>STDEV(E77,E79)</f>
        <v>3.387041481883537</v>
      </c>
      <c r="K77" s="5">
        <f>G77+$J$33</f>
        <v>2663.0850000000005</v>
      </c>
    </row>
    <row r="78" spans="1:11" x14ac:dyDescent="0.2">
      <c r="A78" s="9" t="s">
        <v>11</v>
      </c>
      <c r="B78" s="10">
        <v>45058</v>
      </c>
      <c r="C78" s="10" t="s">
        <v>12</v>
      </c>
      <c r="D78" s="5">
        <v>50.94</v>
      </c>
      <c r="E78" s="14">
        <v>2664.62</v>
      </c>
      <c r="F78" s="16" t="s">
        <v>81</v>
      </c>
    </row>
    <row r="79" spans="1:11" x14ac:dyDescent="0.2">
      <c r="A79" s="9" t="s">
        <v>11</v>
      </c>
      <c r="B79" s="10">
        <v>45058</v>
      </c>
      <c r="C79" s="10" t="s">
        <v>12</v>
      </c>
      <c r="D79" s="5">
        <v>49.78</v>
      </c>
      <c r="E79" s="5">
        <v>2676.15</v>
      </c>
      <c r="F79" s="16" t="s">
        <v>86</v>
      </c>
    </row>
    <row r="80" spans="1:11" x14ac:dyDescent="0.2">
      <c r="A80" s="9" t="s">
        <v>11</v>
      </c>
      <c r="B80" s="10">
        <v>45058</v>
      </c>
      <c r="C80" s="10" t="s">
        <v>12</v>
      </c>
      <c r="D80" s="5">
        <v>50.3</v>
      </c>
      <c r="E80" s="5">
        <v>2584.54</v>
      </c>
      <c r="F80" s="16" t="s">
        <v>82</v>
      </c>
      <c r="G80" s="13">
        <f>AVERAGE(E80,E82)</f>
        <v>2587.63</v>
      </c>
      <c r="H80" s="13">
        <f>STDEV(E80,E82)</f>
        <v>4.369919907732748</v>
      </c>
      <c r="K80" s="5">
        <f>G80+$J$33</f>
        <v>2576.9600000000005</v>
      </c>
    </row>
    <row r="81" spans="1:12" x14ac:dyDescent="0.2">
      <c r="A81" s="9" t="s">
        <v>11</v>
      </c>
      <c r="B81" s="10">
        <v>45058</v>
      </c>
      <c r="C81" s="10" t="s">
        <v>12</v>
      </c>
      <c r="D81" s="5">
        <v>50</v>
      </c>
      <c r="E81" s="14">
        <v>2598.9499999999998</v>
      </c>
      <c r="F81" s="16" t="s">
        <v>83</v>
      </c>
    </row>
    <row r="82" spans="1:12" x14ac:dyDescent="0.2">
      <c r="A82" s="9" t="s">
        <v>11</v>
      </c>
      <c r="B82" s="10">
        <v>45058</v>
      </c>
      <c r="C82" s="10" t="s">
        <v>12</v>
      </c>
      <c r="D82" s="5">
        <v>49.66</v>
      </c>
      <c r="E82" s="5">
        <v>2590.7199999999998</v>
      </c>
      <c r="F82" s="16" t="s">
        <v>84</v>
      </c>
    </row>
    <row r="83" spans="1:12" x14ac:dyDescent="0.2">
      <c r="A83" s="9" t="s">
        <v>11</v>
      </c>
      <c r="B83" s="10">
        <v>45059</v>
      </c>
      <c r="C83" s="10" t="s">
        <v>12</v>
      </c>
      <c r="D83" s="5">
        <v>51.6</v>
      </c>
      <c r="E83" s="14">
        <v>2600.5100000000002</v>
      </c>
      <c r="F83" s="16" t="s">
        <v>87</v>
      </c>
      <c r="G83" s="13">
        <f>AVERAGE(E84,E85)</f>
        <v>2592.8200000000002</v>
      </c>
      <c r="H83" s="13">
        <f>STDEV(E84,E85)</f>
        <v>1.7960512242138049</v>
      </c>
      <c r="K83" s="5">
        <f>G83+$J$63</f>
        <v>2584.4350000000004</v>
      </c>
    </row>
    <row r="84" spans="1:12" x14ac:dyDescent="0.2">
      <c r="A84" s="9" t="s">
        <v>11</v>
      </c>
      <c r="B84" s="10">
        <v>45059</v>
      </c>
      <c r="C84" s="10" t="s">
        <v>12</v>
      </c>
      <c r="D84" s="5">
        <v>51.16</v>
      </c>
      <c r="E84" s="5">
        <v>2591.5500000000002</v>
      </c>
      <c r="F84" s="16" t="s">
        <v>90</v>
      </c>
    </row>
    <row r="85" spans="1:12" x14ac:dyDescent="0.2">
      <c r="A85" s="9" t="s">
        <v>11</v>
      </c>
      <c r="B85" s="10">
        <v>45059</v>
      </c>
      <c r="C85" s="10" t="s">
        <v>12</v>
      </c>
      <c r="D85" s="5">
        <v>50.56</v>
      </c>
      <c r="E85" s="5">
        <v>2594.09</v>
      </c>
      <c r="F85" s="16" t="s">
        <v>91</v>
      </c>
    </row>
    <row r="86" spans="1:12" x14ac:dyDescent="0.2">
      <c r="A86" s="9" t="s">
        <v>11</v>
      </c>
      <c r="B86" s="10">
        <v>45059</v>
      </c>
      <c r="C86" s="10" t="s">
        <v>12</v>
      </c>
      <c r="D86" s="5">
        <v>50.01</v>
      </c>
      <c r="E86" s="5">
        <v>2563.02</v>
      </c>
      <c r="F86" s="16" t="s">
        <v>92</v>
      </c>
      <c r="G86" s="13">
        <f>AVERAGE(E86,E88)</f>
        <v>2565.895</v>
      </c>
      <c r="H86" s="13">
        <f>STDEV(E86,E88)</f>
        <v>4.0658639918226482</v>
      </c>
      <c r="K86" s="5">
        <f>G86+$J$63</f>
        <v>2557.5100000000002</v>
      </c>
    </row>
    <row r="87" spans="1:12" x14ac:dyDescent="0.2">
      <c r="A87" s="9" t="s">
        <v>11</v>
      </c>
      <c r="B87" s="10">
        <v>45059</v>
      </c>
      <c r="C87" s="10" t="s">
        <v>12</v>
      </c>
      <c r="D87" s="5">
        <v>49.18</v>
      </c>
      <c r="E87" s="14">
        <v>2584.94</v>
      </c>
      <c r="F87" s="16" t="s">
        <v>93</v>
      </c>
    </row>
    <row r="88" spans="1:12" x14ac:dyDescent="0.2">
      <c r="A88" s="9" t="s">
        <v>11</v>
      </c>
      <c r="B88" s="10">
        <v>45059</v>
      </c>
      <c r="C88" s="10" t="s">
        <v>12</v>
      </c>
      <c r="D88" s="5">
        <v>51.78</v>
      </c>
      <c r="E88" s="5">
        <v>2568.77</v>
      </c>
      <c r="F88" s="16" t="s">
        <v>94</v>
      </c>
    </row>
    <row r="89" spans="1:12" x14ac:dyDescent="0.2">
      <c r="A89" s="9" t="s">
        <v>11</v>
      </c>
      <c r="B89" s="10">
        <v>45059</v>
      </c>
      <c r="C89" s="10" t="s">
        <v>12</v>
      </c>
      <c r="D89" s="5">
        <v>51.4</v>
      </c>
      <c r="E89" s="5">
        <v>2661.01</v>
      </c>
      <c r="F89" s="16" t="s">
        <v>88</v>
      </c>
      <c r="G89" s="12">
        <f>AVERAGE(E89:E90)</f>
        <v>2662.76</v>
      </c>
      <c r="H89" s="13">
        <f>STDEV(E89:E90)</f>
        <v>2.4748737341529163</v>
      </c>
      <c r="K89" s="5">
        <f>G89+$J$63</f>
        <v>2654.3750000000005</v>
      </c>
    </row>
    <row r="90" spans="1:12" x14ac:dyDescent="0.2">
      <c r="A90" s="9" t="s">
        <v>11</v>
      </c>
      <c r="B90" s="10">
        <v>45059</v>
      </c>
      <c r="C90" s="10" t="s">
        <v>12</v>
      </c>
      <c r="D90" s="5">
        <v>51.8</v>
      </c>
      <c r="E90" s="5">
        <v>2664.51</v>
      </c>
      <c r="F90" s="16" t="s">
        <v>89</v>
      </c>
    </row>
    <row r="92" spans="1:12" x14ac:dyDescent="0.2">
      <c r="A92" s="9" t="s">
        <v>11</v>
      </c>
      <c r="B92" s="10">
        <v>45070</v>
      </c>
      <c r="C92" s="10" t="s">
        <v>12</v>
      </c>
      <c r="D92" s="5">
        <v>48.55</v>
      </c>
      <c r="E92" s="5">
        <v>2252.11</v>
      </c>
      <c r="F92" s="16" t="s">
        <v>8</v>
      </c>
      <c r="G92" s="12">
        <f>AVERAGE(E92,E94)</f>
        <v>2251.09</v>
      </c>
      <c r="H92" s="13">
        <f>STDEV(E92,E94)</f>
        <v>1.4424978336205312</v>
      </c>
      <c r="I92" s="3">
        <v>2226.44</v>
      </c>
      <c r="J92" s="4">
        <f>I92-G92</f>
        <v>-24.650000000000091</v>
      </c>
      <c r="K92" s="5">
        <f>G92+J92</f>
        <v>2226.44</v>
      </c>
      <c r="L92" s="2" t="s">
        <v>96</v>
      </c>
    </row>
    <row r="93" spans="1:12" x14ac:dyDescent="0.2">
      <c r="A93" s="9" t="s">
        <v>11</v>
      </c>
      <c r="B93" s="10">
        <v>45070</v>
      </c>
      <c r="C93" s="10" t="s">
        <v>12</v>
      </c>
      <c r="D93" s="5">
        <v>47.52</v>
      </c>
      <c r="E93" s="14">
        <v>2245.7600000000002</v>
      </c>
      <c r="F93" s="16" t="s">
        <v>9</v>
      </c>
    </row>
    <row r="94" spans="1:12" x14ac:dyDescent="0.2">
      <c r="A94" s="9" t="s">
        <v>11</v>
      </c>
      <c r="B94" s="10">
        <v>45070</v>
      </c>
      <c r="C94" s="10" t="s">
        <v>12</v>
      </c>
      <c r="D94" s="5">
        <v>48.34</v>
      </c>
      <c r="E94" s="5">
        <v>2250.0700000000002</v>
      </c>
      <c r="F94" s="16" t="s">
        <v>98</v>
      </c>
    </row>
    <row r="95" spans="1:12" x14ac:dyDescent="0.2">
      <c r="A95" s="9" t="s">
        <v>11</v>
      </c>
      <c r="B95" s="10">
        <v>45070</v>
      </c>
      <c r="C95" s="10" t="s">
        <v>12</v>
      </c>
      <c r="D95" s="5">
        <v>51.96</v>
      </c>
      <c r="E95" s="5">
        <v>2603.67</v>
      </c>
      <c r="F95" s="16" t="s">
        <v>99</v>
      </c>
      <c r="G95" s="13">
        <f>AVERAGE(E95,E97)</f>
        <v>2602.0950000000003</v>
      </c>
      <c r="H95" s="18">
        <f>STDEV(E95,E97)</f>
        <v>2.2273863607376891</v>
      </c>
      <c r="I95" s="5"/>
      <c r="J95" s="5"/>
      <c r="K95" s="5">
        <f>G95+$J$92</f>
        <v>2577.4450000000002</v>
      </c>
    </row>
    <row r="96" spans="1:12" x14ac:dyDescent="0.2">
      <c r="A96" s="9" t="s">
        <v>11</v>
      </c>
      <c r="B96" s="10">
        <v>45070</v>
      </c>
      <c r="C96" s="10" t="s">
        <v>12</v>
      </c>
      <c r="D96" s="5">
        <v>49.08</v>
      </c>
      <c r="E96" s="14">
        <v>2586.33</v>
      </c>
      <c r="F96" s="16" t="s">
        <v>100</v>
      </c>
    </row>
    <row r="97" spans="1:11" x14ac:dyDescent="0.2">
      <c r="A97" s="9" t="s">
        <v>11</v>
      </c>
      <c r="B97" s="10">
        <v>45070</v>
      </c>
      <c r="C97" s="10" t="s">
        <v>12</v>
      </c>
      <c r="D97" s="5">
        <v>50.05</v>
      </c>
      <c r="E97" s="5">
        <v>2600.52</v>
      </c>
      <c r="F97" s="16" t="s">
        <v>101</v>
      </c>
    </row>
    <row r="98" spans="1:11" x14ac:dyDescent="0.2">
      <c r="A98" s="9" t="s">
        <v>11</v>
      </c>
      <c r="B98" s="10">
        <v>45070</v>
      </c>
      <c r="C98" s="10" t="s">
        <v>12</v>
      </c>
      <c r="D98" s="5">
        <v>51.59</v>
      </c>
      <c r="E98" s="5">
        <v>2578.59</v>
      </c>
      <c r="F98" s="16" t="s">
        <v>102</v>
      </c>
      <c r="G98" s="13">
        <f>AVERAGE(E98:E99)</f>
        <v>2579.4549999999999</v>
      </c>
      <c r="H98" s="18">
        <f>STDEV(E98:E99)</f>
        <v>1.22329473145274</v>
      </c>
      <c r="I98" s="5"/>
      <c r="J98" s="5"/>
      <c r="K98" s="5">
        <f>G98+$J$92</f>
        <v>2554.8049999999998</v>
      </c>
    </row>
    <row r="99" spans="1:11" x14ac:dyDescent="0.2">
      <c r="A99" s="9" t="s">
        <v>11</v>
      </c>
      <c r="B99" s="10">
        <v>45070</v>
      </c>
      <c r="C99" s="10" t="s">
        <v>12</v>
      </c>
      <c r="D99" s="5">
        <v>50.52</v>
      </c>
      <c r="E99" s="5">
        <v>2580.3200000000002</v>
      </c>
      <c r="F99" s="16" t="s">
        <v>103</v>
      </c>
    </row>
    <row r="100" spans="1:11" x14ac:dyDescent="0.2">
      <c r="A100" s="9" t="s">
        <v>11</v>
      </c>
      <c r="B100" s="10">
        <v>45070</v>
      </c>
      <c r="C100" s="10" t="s">
        <v>12</v>
      </c>
      <c r="D100" s="5">
        <v>51.8</v>
      </c>
      <c r="E100" s="14">
        <v>3004.58</v>
      </c>
      <c r="F100" s="16" t="s">
        <v>104</v>
      </c>
      <c r="G100" s="13">
        <f>AVERAGE(E101:E102)</f>
        <v>3027.23</v>
      </c>
      <c r="H100" s="18">
        <f>STDEV(E101:E102)</f>
        <v>2.390020920410608</v>
      </c>
      <c r="I100" s="5"/>
      <c r="J100" s="5"/>
      <c r="K100" s="5">
        <f>G100+$J$92</f>
        <v>3002.58</v>
      </c>
    </row>
    <row r="101" spans="1:11" x14ac:dyDescent="0.2">
      <c r="A101" s="9" t="s">
        <v>11</v>
      </c>
      <c r="B101" s="10">
        <v>45070</v>
      </c>
      <c r="C101" s="10" t="s">
        <v>12</v>
      </c>
      <c r="D101" s="5">
        <v>51.36</v>
      </c>
      <c r="E101" s="5">
        <v>3025.54</v>
      </c>
      <c r="F101" s="16" t="s">
        <v>105</v>
      </c>
    </row>
    <row r="102" spans="1:11" x14ac:dyDescent="0.2">
      <c r="A102" s="9" t="s">
        <v>11</v>
      </c>
      <c r="B102" s="10">
        <v>45070</v>
      </c>
      <c r="C102" s="10" t="s">
        <v>12</v>
      </c>
      <c r="D102" s="5">
        <v>52.44</v>
      </c>
      <c r="E102" s="5">
        <v>3028.92</v>
      </c>
      <c r="F102" s="16" t="s">
        <v>106</v>
      </c>
    </row>
    <row r="103" spans="1:11" x14ac:dyDescent="0.2">
      <c r="A103" s="9" t="s">
        <v>11</v>
      </c>
      <c r="B103" s="10">
        <v>45070</v>
      </c>
      <c r="C103" s="10" t="s">
        <v>12</v>
      </c>
      <c r="D103" s="5">
        <v>49.3</v>
      </c>
      <c r="E103" s="5">
        <v>3016.39</v>
      </c>
      <c r="F103" s="16" t="s">
        <v>107</v>
      </c>
      <c r="G103" s="13">
        <f>AVERAGE(E103,E105)</f>
        <v>3014.8599999999997</v>
      </c>
      <c r="H103" s="18">
        <f>STDEV(E103,E105)</f>
        <v>2.1637467504307968</v>
      </c>
      <c r="I103" s="5"/>
      <c r="J103" s="5"/>
      <c r="K103" s="5">
        <f>G103+$J$92</f>
        <v>2990.2099999999996</v>
      </c>
    </row>
    <row r="104" spans="1:11" x14ac:dyDescent="0.2">
      <c r="A104" s="9" t="s">
        <v>11</v>
      </c>
      <c r="B104" s="10">
        <v>45070</v>
      </c>
      <c r="C104" s="10" t="s">
        <v>12</v>
      </c>
      <c r="D104" s="5">
        <v>51.02</v>
      </c>
      <c r="E104" s="14">
        <v>2995.09</v>
      </c>
      <c r="F104" s="16" t="s">
        <v>108</v>
      </c>
    </row>
    <row r="105" spans="1:11" x14ac:dyDescent="0.2">
      <c r="A105" s="9" t="s">
        <v>11</v>
      </c>
      <c r="B105" s="10">
        <v>45070</v>
      </c>
      <c r="C105" s="10" t="s">
        <v>12</v>
      </c>
      <c r="D105" s="5">
        <v>49.61</v>
      </c>
      <c r="E105" s="5">
        <v>3013.33</v>
      </c>
      <c r="F105" s="16" t="s">
        <v>109</v>
      </c>
    </row>
    <row r="106" spans="1:11" x14ac:dyDescent="0.2">
      <c r="A106" s="9" t="s">
        <v>11</v>
      </c>
      <c r="B106" s="10">
        <v>45070</v>
      </c>
      <c r="C106" s="10" t="s">
        <v>12</v>
      </c>
      <c r="D106" s="5">
        <v>52.32</v>
      </c>
      <c r="E106" s="14">
        <v>3010.86</v>
      </c>
      <c r="F106" s="16" t="s">
        <v>110</v>
      </c>
      <c r="G106" s="13">
        <f>AVERAGE(E107:E108)</f>
        <v>3001.3</v>
      </c>
      <c r="H106" s="18">
        <f>STDEV(E107:E108)</f>
        <v>4.879036790187242</v>
      </c>
      <c r="I106" s="5"/>
      <c r="J106" s="5"/>
      <c r="K106" s="5">
        <f>G106+$J$92</f>
        <v>2976.65</v>
      </c>
    </row>
    <row r="107" spans="1:11" x14ac:dyDescent="0.2">
      <c r="A107" s="9" t="s">
        <v>11</v>
      </c>
      <c r="B107" s="10">
        <v>45070</v>
      </c>
      <c r="C107" s="10" t="s">
        <v>12</v>
      </c>
      <c r="D107" s="5">
        <v>49.03</v>
      </c>
      <c r="E107" s="5">
        <v>2997.85</v>
      </c>
      <c r="F107" s="16" t="s">
        <v>111</v>
      </c>
    </row>
    <row r="108" spans="1:11" x14ac:dyDescent="0.2">
      <c r="A108" s="9" t="s">
        <v>11</v>
      </c>
      <c r="B108" s="10">
        <v>45070</v>
      </c>
      <c r="C108" s="10" t="s">
        <v>12</v>
      </c>
      <c r="D108" s="5">
        <v>49.61</v>
      </c>
      <c r="E108" s="5">
        <v>3004.75</v>
      </c>
      <c r="F108" s="16" t="s">
        <v>112</v>
      </c>
    </row>
    <row r="109" spans="1:11" x14ac:dyDescent="0.2">
      <c r="A109" s="9" t="s">
        <v>11</v>
      </c>
      <c r="B109" s="10">
        <v>45070</v>
      </c>
      <c r="C109" s="10" t="s">
        <v>12</v>
      </c>
      <c r="D109" s="5">
        <v>47.83</v>
      </c>
      <c r="E109" s="14">
        <v>2696.29</v>
      </c>
      <c r="F109" s="16" t="s">
        <v>113</v>
      </c>
      <c r="G109" s="13">
        <f>AVERAGE(E110:E111)</f>
        <v>2682.9300000000003</v>
      </c>
      <c r="H109" s="18">
        <f>STDEV(E110:E111)</f>
        <v>0.42426406871186417</v>
      </c>
      <c r="I109" s="5"/>
      <c r="J109" s="5"/>
      <c r="K109" s="5">
        <f>G109+$J$92</f>
        <v>2658.28</v>
      </c>
    </row>
    <row r="110" spans="1:11" x14ac:dyDescent="0.2">
      <c r="A110" s="9" t="s">
        <v>11</v>
      </c>
      <c r="B110" s="10">
        <v>45070</v>
      </c>
      <c r="C110" s="10" t="s">
        <v>12</v>
      </c>
      <c r="D110" s="5">
        <v>49.41</v>
      </c>
      <c r="E110" s="5">
        <v>2683.23</v>
      </c>
      <c r="F110" s="16" t="s">
        <v>114</v>
      </c>
    </row>
    <row r="111" spans="1:11" x14ac:dyDescent="0.2">
      <c r="A111" s="9" t="s">
        <v>11</v>
      </c>
      <c r="B111" s="10">
        <v>45070</v>
      </c>
      <c r="C111" s="10" t="s">
        <v>12</v>
      </c>
      <c r="D111" s="5">
        <v>50.51</v>
      </c>
      <c r="E111" s="5">
        <v>2682.63</v>
      </c>
      <c r="F111" s="16" t="s">
        <v>115</v>
      </c>
    </row>
    <row r="112" spans="1:11" x14ac:dyDescent="0.2">
      <c r="A112" s="9" t="s">
        <v>11</v>
      </c>
      <c r="B112" s="10">
        <v>45070</v>
      </c>
      <c r="C112" s="10" t="s">
        <v>12</v>
      </c>
      <c r="D112" s="5">
        <v>49.35</v>
      </c>
      <c r="E112" s="14">
        <v>2673.54</v>
      </c>
      <c r="F112" s="16" t="s">
        <v>116</v>
      </c>
      <c r="G112" s="13">
        <f>AVERAGE(E113:E114)</f>
        <v>2666.21</v>
      </c>
      <c r="H112" s="18">
        <f>STDEV(E113:E114)</f>
        <v>3.3658282784481206</v>
      </c>
      <c r="I112" s="5"/>
      <c r="J112" s="5"/>
      <c r="K112" s="5">
        <f>G112+$J$92</f>
        <v>2641.56</v>
      </c>
    </row>
    <row r="113" spans="1:11" x14ac:dyDescent="0.2">
      <c r="A113" s="9" t="s">
        <v>11</v>
      </c>
      <c r="B113" s="10">
        <v>45070</v>
      </c>
      <c r="C113" s="10" t="s">
        <v>12</v>
      </c>
      <c r="D113" s="5">
        <v>51.51</v>
      </c>
      <c r="E113" s="5">
        <v>2663.83</v>
      </c>
      <c r="F113" s="16" t="s">
        <v>117</v>
      </c>
    </row>
    <row r="114" spans="1:11" x14ac:dyDescent="0.2">
      <c r="A114" s="9" t="s">
        <v>11</v>
      </c>
      <c r="B114" s="10">
        <v>45070</v>
      </c>
      <c r="C114" s="10" t="s">
        <v>12</v>
      </c>
      <c r="D114" s="5">
        <v>51.15</v>
      </c>
      <c r="E114" s="5">
        <v>2668.59</v>
      </c>
      <c r="F114" s="16" t="s">
        <v>118</v>
      </c>
    </row>
    <row r="115" spans="1:11" x14ac:dyDescent="0.2">
      <c r="A115" s="9" t="s">
        <v>11</v>
      </c>
      <c r="B115" s="10">
        <v>45070</v>
      </c>
      <c r="C115" s="10" t="s">
        <v>12</v>
      </c>
      <c r="D115" s="5">
        <v>52.36</v>
      </c>
      <c r="E115" s="5">
        <v>2674.22</v>
      </c>
      <c r="F115" s="16" t="s">
        <v>119</v>
      </c>
      <c r="G115" s="13">
        <f>AVERAGE(E115:E116)</f>
        <v>2676.22</v>
      </c>
      <c r="H115" s="18">
        <f>STDEV(E115:E116)</f>
        <v>2.8284271247461903</v>
      </c>
      <c r="I115" s="5"/>
      <c r="J115" s="5"/>
      <c r="K115" s="5">
        <f>G115+$J$92</f>
        <v>2651.5699999999997</v>
      </c>
    </row>
    <row r="116" spans="1:11" x14ac:dyDescent="0.2">
      <c r="A116" s="9" t="s">
        <v>11</v>
      </c>
      <c r="B116" s="10">
        <v>45070</v>
      </c>
      <c r="C116" s="10" t="s">
        <v>12</v>
      </c>
      <c r="D116" s="5">
        <v>50.56</v>
      </c>
      <c r="E116" s="5">
        <v>2678.22</v>
      </c>
      <c r="F116" s="16" t="s">
        <v>120</v>
      </c>
    </row>
    <row r="117" spans="1:11" x14ac:dyDescent="0.2">
      <c r="A117" s="9" t="s">
        <v>11</v>
      </c>
      <c r="B117" s="10">
        <v>45070</v>
      </c>
      <c r="C117" s="10" t="s">
        <v>12</v>
      </c>
      <c r="D117" s="5">
        <v>49.76</v>
      </c>
      <c r="E117" s="5">
        <v>2672.81</v>
      </c>
      <c r="F117" s="16" t="s">
        <v>121</v>
      </c>
      <c r="G117" s="13">
        <f>AVERAGE(E117,E119)</f>
        <v>2671.2349999999997</v>
      </c>
      <c r="H117" s="18">
        <f>STDEV(E117,E119)</f>
        <v>2.2273863607376891</v>
      </c>
      <c r="I117" s="5"/>
      <c r="J117" s="5"/>
      <c r="K117" s="5">
        <f>G117+$J$92</f>
        <v>2646.5849999999996</v>
      </c>
    </row>
    <row r="118" spans="1:11" x14ac:dyDescent="0.2">
      <c r="A118" s="9" t="s">
        <v>11</v>
      </c>
      <c r="B118" s="10">
        <v>45070</v>
      </c>
      <c r="C118" s="10" t="s">
        <v>12</v>
      </c>
      <c r="D118" s="5">
        <v>49.93</v>
      </c>
      <c r="E118" s="14">
        <v>2644.37</v>
      </c>
      <c r="F118" s="16" t="s">
        <v>122</v>
      </c>
    </row>
    <row r="119" spans="1:11" x14ac:dyDescent="0.2">
      <c r="A119" s="9" t="s">
        <v>11</v>
      </c>
      <c r="B119" s="10">
        <v>45070</v>
      </c>
      <c r="C119" s="10" t="s">
        <v>12</v>
      </c>
      <c r="D119" s="15">
        <v>50.21</v>
      </c>
      <c r="E119" s="5">
        <v>2669.66</v>
      </c>
      <c r="F119" s="16" t="s">
        <v>123</v>
      </c>
    </row>
    <row r="120" spans="1:11" x14ac:dyDescent="0.2">
      <c r="A120" s="9" t="s">
        <v>11</v>
      </c>
      <c r="B120" s="10">
        <v>45070</v>
      </c>
      <c r="C120" s="10" t="s">
        <v>12</v>
      </c>
      <c r="D120" s="5">
        <v>51.39</v>
      </c>
      <c r="E120" s="5">
        <v>2602.8000000000002</v>
      </c>
      <c r="F120" s="16" t="s">
        <v>124</v>
      </c>
      <c r="G120" s="13">
        <f>AVERAGE(E120,E122)</f>
        <v>2602.42</v>
      </c>
      <c r="H120" s="18">
        <f>STDEV(E120,E122)</f>
        <v>0.53740115370193042</v>
      </c>
      <c r="I120" s="5"/>
      <c r="J120" s="5"/>
      <c r="K120" s="5">
        <f>G120+$J$92</f>
        <v>2577.77</v>
      </c>
    </row>
    <row r="121" spans="1:11" x14ac:dyDescent="0.2">
      <c r="A121" s="9" t="s">
        <v>11</v>
      </c>
      <c r="B121" s="10">
        <v>45070</v>
      </c>
      <c r="C121" s="10" t="s">
        <v>12</v>
      </c>
      <c r="D121" s="5">
        <v>49.24</v>
      </c>
      <c r="E121" s="14">
        <v>2621.53</v>
      </c>
      <c r="F121" s="16" t="s">
        <v>125</v>
      </c>
    </row>
    <row r="122" spans="1:11" x14ac:dyDescent="0.2">
      <c r="A122" s="9" t="s">
        <v>11</v>
      </c>
      <c r="B122" s="10">
        <v>45070</v>
      </c>
      <c r="C122" s="10" t="s">
        <v>12</v>
      </c>
      <c r="D122" s="5">
        <v>48.74</v>
      </c>
      <c r="E122" s="5">
        <v>2602.04</v>
      </c>
      <c r="F122" s="16" t="s">
        <v>126</v>
      </c>
    </row>
    <row r="124" spans="1:11" x14ac:dyDescent="0.2">
      <c r="A124" s="9" t="s">
        <v>154</v>
      </c>
      <c r="B124" s="10">
        <v>45071</v>
      </c>
      <c r="C124" s="10" t="s">
        <v>12</v>
      </c>
      <c r="D124" s="5">
        <v>48.65</v>
      </c>
      <c r="E124" s="5">
        <v>2243.71</v>
      </c>
      <c r="F124" s="16" t="s">
        <v>8</v>
      </c>
      <c r="G124" s="12">
        <f>AVERAGE(E124,E126)</f>
        <v>2243.3900000000003</v>
      </c>
      <c r="H124" s="13">
        <f>STDEV(E124,E126)</f>
        <v>0.45254833995930038</v>
      </c>
      <c r="I124" s="3">
        <v>2226.44</v>
      </c>
      <c r="J124" s="4">
        <f>I124-G124</f>
        <v>-16.950000000000273</v>
      </c>
      <c r="K124" s="5">
        <f>G124+J124</f>
        <v>2226.44</v>
      </c>
    </row>
    <row r="125" spans="1:11" x14ac:dyDescent="0.2">
      <c r="A125" s="9" t="s">
        <v>154</v>
      </c>
      <c r="B125" s="10">
        <v>45071</v>
      </c>
      <c r="C125" s="10" t="s">
        <v>12</v>
      </c>
      <c r="D125" s="5">
        <v>52.32</v>
      </c>
      <c r="E125" s="14">
        <v>2236.0300000000002</v>
      </c>
      <c r="F125" s="16" t="s">
        <v>9</v>
      </c>
    </row>
    <row r="126" spans="1:11" x14ac:dyDescent="0.2">
      <c r="A126" s="9" t="s">
        <v>154</v>
      </c>
      <c r="B126" s="10">
        <v>45071</v>
      </c>
      <c r="C126" s="10" t="s">
        <v>12</v>
      </c>
      <c r="D126" s="5">
        <v>49.16</v>
      </c>
      <c r="E126" s="20">
        <v>2243.0700000000002</v>
      </c>
      <c r="F126" s="16" t="s">
        <v>98</v>
      </c>
    </row>
    <row r="127" spans="1:11" x14ac:dyDescent="0.2">
      <c r="A127" s="9" t="s">
        <v>11</v>
      </c>
      <c r="B127" s="10">
        <v>45070</v>
      </c>
      <c r="C127" s="10" t="s">
        <v>12</v>
      </c>
      <c r="D127" s="5">
        <v>50.06</v>
      </c>
      <c r="E127" s="14">
        <v>2581.9299999999998</v>
      </c>
      <c r="F127" s="16" t="s">
        <v>127</v>
      </c>
      <c r="G127" s="13">
        <f>AVERAGE(E128,E129)</f>
        <v>2560.4349999999999</v>
      </c>
      <c r="H127" s="18">
        <f>STDEV(E128,E129)</f>
        <v>1.3788582233136391</v>
      </c>
      <c r="I127" s="5"/>
      <c r="J127" s="5"/>
      <c r="K127" s="5">
        <f>G127+$J$92</f>
        <v>2535.7849999999999</v>
      </c>
    </row>
    <row r="128" spans="1:11" x14ac:dyDescent="0.2">
      <c r="A128" s="9" t="s">
        <v>11</v>
      </c>
      <c r="B128" s="10">
        <v>45070</v>
      </c>
      <c r="C128" s="10" t="s">
        <v>12</v>
      </c>
      <c r="D128" s="5">
        <v>53.5</v>
      </c>
      <c r="E128" s="5">
        <v>2559.46</v>
      </c>
      <c r="F128" s="16" t="s">
        <v>128</v>
      </c>
    </row>
    <row r="129" spans="1:11" x14ac:dyDescent="0.2">
      <c r="A129" s="9" t="s">
        <v>11</v>
      </c>
      <c r="B129" s="10">
        <v>45070</v>
      </c>
      <c r="C129" s="10" t="s">
        <v>12</v>
      </c>
      <c r="D129" s="5">
        <v>49.18</v>
      </c>
      <c r="E129" s="5">
        <v>2561.41</v>
      </c>
      <c r="F129" s="16" t="s">
        <v>129</v>
      </c>
    </row>
    <row r="130" spans="1:11" x14ac:dyDescent="0.2">
      <c r="A130" s="9" t="s">
        <v>11</v>
      </c>
      <c r="B130" s="10">
        <v>45070</v>
      </c>
      <c r="C130" s="10" t="s">
        <v>12</v>
      </c>
      <c r="D130" s="5">
        <v>48.74</v>
      </c>
      <c r="E130" s="14">
        <v>2581.9</v>
      </c>
      <c r="F130" s="16" t="s">
        <v>130</v>
      </c>
      <c r="G130" s="13">
        <f>AVERAGE(E131,E132)</f>
        <v>2565.64</v>
      </c>
      <c r="H130" s="18">
        <f>STDEV(E131,E132)</f>
        <v>3.2102647865869001</v>
      </c>
      <c r="I130" s="5"/>
      <c r="J130" s="5"/>
      <c r="K130" s="5">
        <f>G130+$J$92</f>
        <v>2540.9899999999998</v>
      </c>
    </row>
    <row r="131" spans="1:11" x14ac:dyDescent="0.2">
      <c r="A131" s="9" t="s">
        <v>11</v>
      </c>
      <c r="B131" s="10">
        <v>45070</v>
      </c>
      <c r="C131" s="10" t="s">
        <v>12</v>
      </c>
      <c r="D131" s="5">
        <v>48.46</v>
      </c>
      <c r="E131" s="5">
        <v>2563.37</v>
      </c>
      <c r="F131" s="16" t="s">
        <v>131</v>
      </c>
    </row>
    <row r="132" spans="1:11" x14ac:dyDescent="0.2">
      <c r="A132" s="9" t="s">
        <v>11</v>
      </c>
      <c r="B132" s="10">
        <v>45070</v>
      </c>
      <c r="C132" s="10" t="s">
        <v>12</v>
      </c>
      <c r="D132" s="5">
        <v>51.63</v>
      </c>
      <c r="E132" s="5">
        <v>2567.91</v>
      </c>
      <c r="F132" s="16" t="s">
        <v>152</v>
      </c>
    </row>
    <row r="133" spans="1:11" x14ac:dyDescent="0.2">
      <c r="A133" s="9" t="s">
        <v>11</v>
      </c>
      <c r="B133" s="10">
        <v>45070</v>
      </c>
      <c r="C133" s="10" t="s">
        <v>12</v>
      </c>
      <c r="D133" s="5">
        <v>49.69</v>
      </c>
      <c r="E133" s="5">
        <v>2507.44</v>
      </c>
      <c r="F133" s="16" t="s">
        <v>132</v>
      </c>
      <c r="G133" s="13">
        <f>AVERAGE(E133,E134)</f>
        <v>2509.4250000000002</v>
      </c>
      <c r="H133" s="18">
        <f>STDEV(E133,E134)</f>
        <v>2.8072139213104523</v>
      </c>
      <c r="I133" s="5"/>
      <c r="J133" s="5"/>
      <c r="K133" s="5">
        <f>G133+$J$92</f>
        <v>2484.7750000000001</v>
      </c>
    </row>
    <row r="134" spans="1:11" x14ac:dyDescent="0.2">
      <c r="A134" s="9" t="s">
        <v>11</v>
      </c>
      <c r="B134" s="10">
        <v>45070</v>
      </c>
      <c r="C134" s="10" t="s">
        <v>12</v>
      </c>
      <c r="D134" s="5">
        <v>49.44</v>
      </c>
      <c r="E134" s="5">
        <v>2511.41</v>
      </c>
      <c r="F134" s="16" t="s">
        <v>133</v>
      </c>
    </row>
    <row r="135" spans="1:11" x14ac:dyDescent="0.2">
      <c r="A135" s="9" t="s">
        <v>11</v>
      </c>
      <c r="B135" s="10">
        <v>45070</v>
      </c>
      <c r="C135" s="10" t="s">
        <v>12</v>
      </c>
      <c r="D135" s="5">
        <v>50.55</v>
      </c>
      <c r="E135" s="14">
        <v>2483.41</v>
      </c>
      <c r="F135" s="16" t="s">
        <v>134</v>
      </c>
      <c r="G135" s="13">
        <f>AVERAGE(E136,E137)</f>
        <v>2508.37</v>
      </c>
      <c r="H135" s="18">
        <f>STDEV(E136,E137)</f>
        <v>2.036467529817334</v>
      </c>
      <c r="I135" s="5"/>
      <c r="J135" s="5"/>
      <c r="K135" s="5">
        <f>G135+$J$92</f>
        <v>2483.7199999999998</v>
      </c>
    </row>
    <row r="136" spans="1:11" x14ac:dyDescent="0.2">
      <c r="A136" s="9" t="s">
        <v>11</v>
      </c>
      <c r="B136" s="10">
        <v>45070</v>
      </c>
      <c r="C136" s="10" t="s">
        <v>12</v>
      </c>
      <c r="D136" s="5">
        <v>47.44</v>
      </c>
      <c r="E136" s="5">
        <v>2506.9299999999998</v>
      </c>
      <c r="F136" s="16" t="s">
        <v>135</v>
      </c>
    </row>
    <row r="137" spans="1:11" x14ac:dyDescent="0.2">
      <c r="A137" s="9" t="s">
        <v>11</v>
      </c>
      <c r="B137" s="10">
        <v>45070</v>
      </c>
      <c r="C137" s="10" t="s">
        <v>12</v>
      </c>
      <c r="D137" s="5">
        <v>52.79</v>
      </c>
      <c r="E137" s="5">
        <v>2509.81</v>
      </c>
      <c r="F137" s="16" t="s">
        <v>136</v>
      </c>
    </row>
    <row r="138" spans="1:11" x14ac:dyDescent="0.2">
      <c r="A138" s="9" t="s">
        <v>11</v>
      </c>
      <c r="B138" s="10">
        <v>45070</v>
      </c>
      <c r="C138" s="10" t="s">
        <v>12</v>
      </c>
      <c r="D138" s="5">
        <v>48.3</v>
      </c>
      <c r="E138" s="5">
        <v>2510.2199999999998</v>
      </c>
      <c r="F138" s="16" t="s">
        <v>137</v>
      </c>
      <c r="G138" s="13">
        <f>AVERAGE(E138,E139)</f>
        <v>2513.62</v>
      </c>
      <c r="H138" s="18">
        <f>STDEV(E138,E139)</f>
        <v>4.8083261120686522</v>
      </c>
      <c r="I138" s="5"/>
      <c r="J138" s="5"/>
      <c r="K138" s="5">
        <f>G138+$J$92</f>
        <v>2488.9699999999998</v>
      </c>
    </row>
    <row r="139" spans="1:11" x14ac:dyDescent="0.2">
      <c r="A139" s="9" t="s">
        <v>11</v>
      </c>
      <c r="B139" s="10">
        <v>45070</v>
      </c>
      <c r="C139" s="10" t="s">
        <v>12</v>
      </c>
      <c r="D139" s="5">
        <v>48.44</v>
      </c>
      <c r="E139" s="5">
        <v>2517.02</v>
      </c>
      <c r="F139" s="16" t="s">
        <v>138</v>
      </c>
    </row>
    <row r="140" spans="1:11" x14ac:dyDescent="0.2">
      <c r="A140" s="9" t="s">
        <v>11</v>
      </c>
      <c r="B140" s="10">
        <v>45070</v>
      </c>
      <c r="C140" s="10" t="s">
        <v>12</v>
      </c>
      <c r="D140" s="5">
        <v>49.14</v>
      </c>
      <c r="E140" s="14">
        <v>2572.29</v>
      </c>
      <c r="F140" s="16" t="s">
        <v>139</v>
      </c>
      <c r="G140" s="13">
        <f>AVERAGE(E142,E141)</f>
        <v>2555.61</v>
      </c>
      <c r="H140" s="18">
        <f>STDEV(E142,E141)</f>
        <v>3.5072496346853015</v>
      </c>
      <c r="I140" s="5"/>
      <c r="J140" s="5"/>
      <c r="K140" s="5">
        <f>G140+$J$92</f>
        <v>2530.96</v>
      </c>
    </row>
    <row r="141" spans="1:11" x14ac:dyDescent="0.2">
      <c r="A141" s="9" t="s">
        <v>11</v>
      </c>
      <c r="B141" s="10">
        <v>45070</v>
      </c>
      <c r="C141" s="10" t="s">
        <v>12</v>
      </c>
      <c r="D141" s="5">
        <v>53.79</v>
      </c>
      <c r="E141" s="5">
        <v>2558.09</v>
      </c>
      <c r="F141" s="16" t="s">
        <v>140</v>
      </c>
    </row>
    <row r="142" spans="1:11" x14ac:dyDescent="0.2">
      <c r="A142" s="9" t="s">
        <v>11</v>
      </c>
      <c r="B142" s="10">
        <v>45070</v>
      </c>
      <c r="C142" s="10" t="s">
        <v>12</v>
      </c>
      <c r="D142" s="5">
        <v>48.08</v>
      </c>
      <c r="E142" s="5">
        <v>2553.13</v>
      </c>
      <c r="F142" s="16" t="s">
        <v>141</v>
      </c>
    </row>
    <row r="143" spans="1:11" x14ac:dyDescent="0.2">
      <c r="A143" s="9" t="s">
        <v>11</v>
      </c>
      <c r="B143" s="10">
        <v>45070</v>
      </c>
      <c r="C143" s="10" t="s">
        <v>12</v>
      </c>
      <c r="D143" s="5">
        <v>51.07</v>
      </c>
      <c r="E143" s="5">
        <v>2490.64</v>
      </c>
      <c r="F143" s="16" t="s">
        <v>142</v>
      </c>
      <c r="G143" s="13">
        <f>AVERAGE(E143,E144)</f>
        <v>2490.2249999999999</v>
      </c>
      <c r="H143" s="18">
        <f>STDEV(E143,E144)</f>
        <v>0.58689862838478302</v>
      </c>
      <c r="I143" s="5"/>
      <c r="J143" s="5"/>
      <c r="K143" s="5">
        <f>G143+$J$92</f>
        <v>2465.5749999999998</v>
      </c>
    </row>
    <row r="144" spans="1:11" x14ac:dyDescent="0.2">
      <c r="A144" s="9" t="s">
        <v>11</v>
      </c>
      <c r="B144" s="10">
        <v>45070</v>
      </c>
      <c r="C144" s="10" t="s">
        <v>12</v>
      </c>
      <c r="D144" s="5">
        <v>48.78</v>
      </c>
      <c r="E144" s="5">
        <v>2489.81</v>
      </c>
      <c r="F144" s="16" t="s">
        <v>143</v>
      </c>
    </row>
    <row r="145" spans="1:12" x14ac:dyDescent="0.2">
      <c r="A145" s="9" t="s">
        <v>11</v>
      </c>
      <c r="B145" s="10">
        <v>45070</v>
      </c>
      <c r="C145" s="10" t="s">
        <v>12</v>
      </c>
      <c r="D145" s="5" t="s">
        <v>155</v>
      </c>
      <c r="E145" s="5" t="s">
        <v>155</v>
      </c>
      <c r="F145" s="16" t="s">
        <v>144</v>
      </c>
      <c r="G145" s="13" t="s">
        <v>155</v>
      </c>
      <c r="H145" s="18" t="s">
        <v>155</v>
      </c>
      <c r="I145" s="5"/>
      <c r="J145" s="5"/>
      <c r="K145" s="5" t="s">
        <v>155</v>
      </c>
      <c r="L145" s="1" t="s">
        <v>160</v>
      </c>
    </row>
    <row r="146" spans="1:12" x14ac:dyDescent="0.2">
      <c r="A146" s="9" t="s">
        <v>11</v>
      </c>
      <c r="B146" s="10">
        <v>45070</v>
      </c>
      <c r="C146" s="10" t="s">
        <v>12</v>
      </c>
      <c r="D146" s="5" t="s">
        <v>155</v>
      </c>
      <c r="E146" s="5" t="s">
        <v>155</v>
      </c>
      <c r="F146" s="16" t="s">
        <v>145</v>
      </c>
    </row>
    <row r="147" spans="1:12" x14ac:dyDescent="0.2">
      <c r="A147" s="9" t="s">
        <v>11</v>
      </c>
      <c r="B147" s="10">
        <v>45070</v>
      </c>
      <c r="C147" s="10" t="s">
        <v>12</v>
      </c>
      <c r="D147" s="5" t="s">
        <v>155</v>
      </c>
      <c r="E147" s="5" t="s">
        <v>155</v>
      </c>
      <c r="F147" s="16" t="s">
        <v>153</v>
      </c>
    </row>
    <row r="148" spans="1:12" x14ac:dyDescent="0.2">
      <c r="A148" s="9" t="s">
        <v>154</v>
      </c>
      <c r="B148" s="10">
        <v>45071</v>
      </c>
      <c r="C148" s="10" t="s">
        <v>12</v>
      </c>
      <c r="D148" s="5">
        <v>51.28</v>
      </c>
      <c r="E148" s="5">
        <v>2508.1</v>
      </c>
      <c r="F148" s="16" t="s">
        <v>146</v>
      </c>
      <c r="G148" s="13">
        <f>AVERAGE(E148,E149)</f>
        <v>2504.9749999999999</v>
      </c>
      <c r="H148" s="18">
        <f>STDEV(E148,E149)</f>
        <v>4.4194173824159222</v>
      </c>
      <c r="I148" s="5"/>
      <c r="J148" s="5"/>
      <c r="K148" s="5">
        <f>G148+$J$124</f>
        <v>2488.0249999999996</v>
      </c>
    </row>
    <row r="149" spans="1:12" x14ac:dyDescent="0.2">
      <c r="A149" s="9" t="s">
        <v>154</v>
      </c>
      <c r="B149" s="10">
        <v>45071</v>
      </c>
      <c r="C149" s="10" t="s">
        <v>12</v>
      </c>
      <c r="D149" s="5">
        <v>48.87</v>
      </c>
      <c r="E149" s="5">
        <v>2501.85</v>
      </c>
      <c r="F149" s="16" t="s">
        <v>147</v>
      </c>
    </row>
    <row r="150" spans="1:12" x14ac:dyDescent="0.2">
      <c r="A150" s="9" t="s">
        <v>154</v>
      </c>
      <c r="B150" s="10">
        <v>45071</v>
      </c>
      <c r="C150" s="10" t="s">
        <v>12</v>
      </c>
      <c r="D150" s="5">
        <v>50.15</v>
      </c>
      <c r="E150" s="14">
        <v>2516.9699999999998</v>
      </c>
      <c r="F150" s="16" t="s">
        <v>148</v>
      </c>
    </row>
    <row r="151" spans="1:12" x14ac:dyDescent="0.2">
      <c r="A151" s="9" t="s">
        <v>154</v>
      </c>
      <c r="B151" s="10">
        <v>45071</v>
      </c>
      <c r="C151" s="10" t="s">
        <v>12</v>
      </c>
      <c r="D151" s="5">
        <v>48.48</v>
      </c>
      <c r="E151" s="5">
        <v>2563.36</v>
      </c>
      <c r="F151" s="16" t="s">
        <v>149</v>
      </c>
      <c r="G151" s="13">
        <f>AVERAGE(E151,E152)</f>
        <v>2562.0500000000002</v>
      </c>
      <c r="H151" s="18">
        <f>STDEV(E151,E152)</f>
        <v>1.852619766708999</v>
      </c>
      <c r="I151" s="5"/>
      <c r="J151" s="5"/>
      <c r="K151" s="5">
        <f>G151+$J$124</f>
        <v>2545.1</v>
      </c>
    </row>
    <row r="152" spans="1:12" x14ac:dyDescent="0.2">
      <c r="A152" s="9" t="s">
        <v>154</v>
      </c>
      <c r="B152" s="10">
        <v>45071</v>
      </c>
      <c r="C152" s="10" t="s">
        <v>12</v>
      </c>
      <c r="D152" s="5">
        <v>48.03</v>
      </c>
      <c r="E152" s="5">
        <v>2560.7399999999998</v>
      </c>
      <c r="F152" s="16" t="s">
        <v>150</v>
      </c>
    </row>
    <row r="153" spans="1:12" x14ac:dyDescent="0.2">
      <c r="A153" s="9" t="s">
        <v>154</v>
      </c>
      <c r="B153" s="10">
        <v>45071</v>
      </c>
      <c r="C153" s="10" t="s">
        <v>12</v>
      </c>
      <c r="D153" s="5">
        <v>48.88</v>
      </c>
      <c r="E153" s="14">
        <v>2577.4</v>
      </c>
      <c r="F153" s="16" t="s">
        <v>151</v>
      </c>
    </row>
    <row r="154" spans="1:12" x14ac:dyDescent="0.2">
      <c r="A154" s="9"/>
      <c r="B154" s="10"/>
      <c r="C154" s="10"/>
      <c r="E154" s="14"/>
      <c r="F154" s="16"/>
    </row>
    <row r="155" spans="1:12" x14ac:dyDescent="0.2">
      <c r="A155" s="9" t="s">
        <v>11</v>
      </c>
      <c r="B155" s="10">
        <v>45072</v>
      </c>
      <c r="C155" s="10" t="s">
        <v>12</v>
      </c>
      <c r="D155" s="5">
        <v>50.92</v>
      </c>
      <c r="E155" s="5">
        <v>2235.3200000000002</v>
      </c>
      <c r="F155" s="16" t="s">
        <v>8</v>
      </c>
      <c r="G155" s="12">
        <f>AVERAGE(E155,E156)</f>
        <v>2233.5550000000003</v>
      </c>
      <c r="H155" s="13">
        <f>STDEV(E155:E156)</f>
        <v>2.4960869375886543</v>
      </c>
      <c r="I155" s="3">
        <v>2226.44</v>
      </c>
      <c r="J155" s="4">
        <f>I155-G155</f>
        <v>-7.1150000000002365</v>
      </c>
      <c r="K155" s="5">
        <f>G155+J155</f>
        <v>2226.44</v>
      </c>
    </row>
    <row r="156" spans="1:12" x14ac:dyDescent="0.2">
      <c r="A156" s="9" t="s">
        <v>11</v>
      </c>
      <c r="B156" s="10">
        <v>45072</v>
      </c>
      <c r="C156" s="10" t="s">
        <v>12</v>
      </c>
      <c r="D156" s="5">
        <v>48.85</v>
      </c>
      <c r="E156" s="5">
        <v>2231.79</v>
      </c>
      <c r="F156" s="16" t="s">
        <v>9</v>
      </c>
    </row>
    <row r="157" spans="1:12" x14ac:dyDescent="0.2">
      <c r="A157" s="9" t="s">
        <v>11</v>
      </c>
      <c r="B157" s="10">
        <v>45071</v>
      </c>
      <c r="C157" s="10" t="s">
        <v>12</v>
      </c>
      <c r="D157" s="5">
        <v>49.29</v>
      </c>
      <c r="E157" s="14">
        <v>2573.58</v>
      </c>
      <c r="F157" s="16" t="s">
        <v>127</v>
      </c>
      <c r="G157" s="13">
        <f>AVERAGE(E158:E159)</f>
        <v>2559.56</v>
      </c>
      <c r="H157" s="18">
        <f>STDEV(E158:E159)</f>
        <v>3.2668333290817722</v>
      </c>
      <c r="I157" s="5"/>
      <c r="J157" s="5"/>
      <c r="K157" s="5">
        <f>G157+$J$124</f>
        <v>2542.6099999999997</v>
      </c>
    </row>
    <row r="158" spans="1:12" x14ac:dyDescent="0.2">
      <c r="A158" s="9" t="s">
        <v>11</v>
      </c>
      <c r="B158" s="10">
        <v>45071</v>
      </c>
      <c r="C158" s="10" t="s">
        <v>12</v>
      </c>
      <c r="D158" s="5">
        <v>50.59</v>
      </c>
      <c r="E158" s="5">
        <v>2557.25</v>
      </c>
      <c r="F158" s="16" t="s">
        <v>128</v>
      </c>
    </row>
    <row r="159" spans="1:12" x14ac:dyDescent="0.2">
      <c r="A159" s="9" t="s">
        <v>11</v>
      </c>
      <c r="B159" s="10">
        <v>45071</v>
      </c>
      <c r="C159" s="10" t="s">
        <v>12</v>
      </c>
      <c r="D159" s="5">
        <v>48.84</v>
      </c>
      <c r="E159" s="5">
        <v>2561.87</v>
      </c>
      <c r="F159" s="16" t="s">
        <v>129</v>
      </c>
    </row>
    <row r="160" spans="1:12" x14ac:dyDescent="0.2">
      <c r="A160" s="9" t="s">
        <v>11</v>
      </c>
      <c r="B160" s="10">
        <v>45071</v>
      </c>
      <c r="C160" s="10" t="s">
        <v>12</v>
      </c>
      <c r="D160" s="5">
        <v>51.03</v>
      </c>
      <c r="E160" s="5">
        <v>2571.7600000000002</v>
      </c>
      <c r="F160" s="16" t="s">
        <v>130</v>
      </c>
      <c r="G160" s="13">
        <f>AVERAGE(E160,E162)</f>
        <v>2571.4499999999998</v>
      </c>
      <c r="H160" s="18">
        <f>STDEV(E160,E162)</f>
        <v>0.43840620433590383</v>
      </c>
      <c r="I160" s="5"/>
      <c r="J160" s="5"/>
      <c r="K160" s="5">
        <f>G160+$J$124</f>
        <v>2554.4999999999995</v>
      </c>
    </row>
    <row r="161" spans="1:11" x14ac:dyDescent="0.2">
      <c r="A161" s="9" t="s">
        <v>11</v>
      </c>
      <c r="B161" s="10">
        <v>45071</v>
      </c>
      <c r="C161" s="10" t="s">
        <v>12</v>
      </c>
      <c r="D161" s="5">
        <v>48.02</v>
      </c>
      <c r="E161" s="14">
        <v>2641.36</v>
      </c>
      <c r="F161" s="16" t="s">
        <v>131</v>
      </c>
    </row>
    <row r="162" spans="1:11" x14ac:dyDescent="0.2">
      <c r="A162" s="9" t="s">
        <v>11</v>
      </c>
      <c r="B162" s="10">
        <v>45071</v>
      </c>
      <c r="C162" s="10" t="s">
        <v>12</v>
      </c>
      <c r="D162" s="5">
        <v>51.38</v>
      </c>
      <c r="E162" s="5">
        <v>2571.14</v>
      </c>
      <c r="F162" s="16" t="s">
        <v>152</v>
      </c>
    </row>
    <row r="163" spans="1:11" x14ac:dyDescent="0.2">
      <c r="A163" s="9" t="s">
        <v>11</v>
      </c>
      <c r="B163" s="10">
        <v>45071</v>
      </c>
      <c r="C163" s="10" t="s">
        <v>12</v>
      </c>
      <c r="D163" s="5">
        <v>51.09</v>
      </c>
      <c r="E163" s="14">
        <v>2509.6999999999998</v>
      </c>
      <c r="F163" s="16" t="s">
        <v>132</v>
      </c>
      <c r="G163" s="13">
        <f>AVERAGE(E164:E165)</f>
        <v>2489.66</v>
      </c>
      <c r="H163" s="18">
        <f>STDEV(E164:E165)</f>
        <v>2.9698484809836927</v>
      </c>
      <c r="I163" s="5"/>
      <c r="J163" s="5"/>
      <c r="K163" s="5">
        <f>G163+$J$124</f>
        <v>2472.7099999999996</v>
      </c>
    </row>
    <row r="164" spans="1:11" x14ac:dyDescent="0.2">
      <c r="A164" s="9" t="s">
        <v>11</v>
      </c>
      <c r="B164" s="10">
        <v>45071</v>
      </c>
      <c r="C164" s="10" t="s">
        <v>12</v>
      </c>
      <c r="D164" s="5">
        <v>51.1</v>
      </c>
      <c r="E164" s="5">
        <v>2491.7600000000002</v>
      </c>
      <c r="F164" s="16" t="s">
        <v>133</v>
      </c>
    </row>
    <row r="165" spans="1:11" x14ac:dyDescent="0.2">
      <c r="A165" s="9" t="s">
        <v>11</v>
      </c>
      <c r="B165" s="10">
        <v>45071</v>
      </c>
      <c r="C165" s="10" t="s">
        <v>12</v>
      </c>
      <c r="D165" s="5">
        <v>52.26</v>
      </c>
      <c r="E165" s="5">
        <v>2487.56</v>
      </c>
      <c r="F165" s="16" t="s">
        <v>156</v>
      </c>
    </row>
    <row r="166" spans="1:11" x14ac:dyDescent="0.2">
      <c r="A166" s="9" t="s">
        <v>11</v>
      </c>
      <c r="B166" s="10">
        <v>45071</v>
      </c>
      <c r="C166" s="10" t="s">
        <v>12</v>
      </c>
      <c r="D166" s="5">
        <v>50.99</v>
      </c>
      <c r="E166" s="5">
        <v>2526.11</v>
      </c>
      <c r="F166" s="16" t="s">
        <v>134</v>
      </c>
      <c r="G166" s="13">
        <f>AVERAGE(E166,E168)</f>
        <v>2526.5600000000004</v>
      </c>
      <c r="H166" s="18">
        <f>STDEV(E166,E168)</f>
        <v>0.63639610306795713</v>
      </c>
      <c r="I166" s="5"/>
      <c r="J166" s="5"/>
      <c r="K166" s="5">
        <f>G166+$J$124</f>
        <v>2509.61</v>
      </c>
    </row>
    <row r="167" spans="1:11" x14ac:dyDescent="0.2">
      <c r="A167" s="9" t="s">
        <v>11</v>
      </c>
      <c r="B167" s="10">
        <v>45071</v>
      </c>
      <c r="C167" s="10" t="s">
        <v>12</v>
      </c>
      <c r="D167" s="5">
        <v>52.82</v>
      </c>
      <c r="E167" s="14">
        <v>2520.5100000000002</v>
      </c>
      <c r="F167" s="16" t="s">
        <v>135</v>
      </c>
    </row>
    <row r="168" spans="1:11" x14ac:dyDescent="0.2">
      <c r="A168" s="9" t="s">
        <v>11</v>
      </c>
      <c r="B168" s="10">
        <v>45071</v>
      </c>
      <c r="C168" s="10" t="s">
        <v>12</v>
      </c>
      <c r="D168" s="5">
        <v>50.85</v>
      </c>
      <c r="E168" s="5">
        <v>2527.0100000000002</v>
      </c>
      <c r="F168" s="16" t="s">
        <v>136</v>
      </c>
    </row>
    <row r="169" spans="1:11" x14ac:dyDescent="0.2">
      <c r="A169" s="9" t="s">
        <v>11</v>
      </c>
      <c r="B169" s="10">
        <v>45072</v>
      </c>
      <c r="C169" s="10" t="s">
        <v>12</v>
      </c>
      <c r="D169" s="5">
        <v>50.49</v>
      </c>
      <c r="E169" s="5">
        <v>2523.5</v>
      </c>
      <c r="F169" s="16" t="s">
        <v>137</v>
      </c>
      <c r="G169" s="13">
        <f>AVERAGE(E169:E170)</f>
        <v>2521.355</v>
      </c>
      <c r="H169" s="18">
        <f>STDEV(E169:E170)</f>
        <v>3.0334880912902631</v>
      </c>
      <c r="I169" s="5"/>
      <c r="J169" s="5"/>
      <c r="K169" s="5">
        <f>G169+$J$155</f>
        <v>2514.2399999999998</v>
      </c>
    </row>
    <row r="170" spans="1:11" x14ac:dyDescent="0.2">
      <c r="A170" s="9" t="s">
        <v>11</v>
      </c>
      <c r="B170" s="10">
        <v>45072</v>
      </c>
      <c r="C170" s="10" t="s">
        <v>12</v>
      </c>
      <c r="D170" s="5">
        <v>49.11</v>
      </c>
      <c r="E170" s="5">
        <v>2519.21</v>
      </c>
      <c r="F170" s="16" t="s">
        <v>138</v>
      </c>
    </row>
    <row r="171" spans="1:11" x14ac:dyDescent="0.2">
      <c r="A171" s="9" t="s">
        <v>11</v>
      </c>
      <c r="B171" s="10">
        <v>45072</v>
      </c>
      <c r="C171" s="10" t="s">
        <v>12</v>
      </c>
      <c r="D171" s="5">
        <v>52.28</v>
      </c>
      <c r="E171" s="5">
        <v>2573.4699999999998</v>
      </c>
      <c r="F171" s="16" t="s">
        <v>139</v>
      </c>
      <c r="G171" s="13">
        <f>AVERAGE(E171,E173)</f>
        <v>2574.1499999999996</v>
      </c>
      <c r="H171" s="18">
        <f>STDEV(E171,E173)</f>
        <v>0.96166522241379471</v>
      </c>
      <c r="I171" s="5"/>
      <c r="J171" s="5"/>
      <c r="K171" s="5">
        <f>G171+$J$92</f>
        <v>2549.4999999999995</v>
      </c>
    </row>
    <row r="172" spans="1:11" x14ac:dyDescent="0.2">
      <c r="A172" s="9" t="s">
        <v>11</v>
      </c>
      <c r="B172" s="10">
        <v>45072</v>
      </c>
      <c r="C172" s="10" t="s">
        <v>12</v>
      </c>
      <c r="D172" s="5">
        <v>50.12</v>
      </c>
      <c r="E172" s="14">
        <v>2568.59</v>
      </c>
      <c r="F172" s="16" t="s">
        <v>140</v>
      </c>
    </row>
    <row r="173" spans="1:11" x14ac:dyDescent="0.2">
      <c r="A173" s="9" t="s">
        <v>11</v>
      </c>
      <c r="B173" s="10">
        <v>45072</v>
      </c>
      <c r="C173" s="10" t="s">
        <v>12</v>
      </c>
      <c r="D173" s="5">
        <v>51.85</v>
      </c>
      <c r="E173" s="5">
        <v>2574.83</v>
      </c>
      <c r="F173" s="16" t="s">
        <v>141</v>
      </c>
    </row>
    <row r="174" spans="1:11" x14ac:dyDescent="0.2">
      <c r="A174" s="9" t="s">
        <v>11</v>
      </c>
      <c r="B174" s="10">
        <v>45072</v>
      </c>
      <c r="C174" s="10" t="s">
        <v>12</v>
      </c>
      <c r="D174" s="5">
        <v>50.5</v>
      </c>
      <c r="E174" s="5">
        <v>2499.33</v>
      </c>
      <c r="F174" s="16" t="s">
        <v>142</v>
      </c>
      <c r="G174" s="13">
        <f>AVERAGE(E175:E176)</f>
        <v>2508.4300000000003</v>
      </c>
      <c r="H174" s="18">
        <f>STDEV(E175:E176)</f>
        <v>3.2526911934580545</v>
      </c>
      <c r="I174" s="5"/>
      <c r="J174" s="5"/>
      <c r="K174" s="5">
        <f>G174+$J$92</f>
        <v>2483.7800000000002</v>
      </c>
    </row>
    <row r="175" spans="1:11" x14ac:dyDescent="0.2">
      <c r="A175" s="9" t="s">
        <v>11</v>
      </c>
      <c r="B175" s="10">
        <v>45072</v>
      </c>
      <c r="C175" s="10" t="s">
        <v>12</v>
      </c>
      <c r="D175" s="5">
        <v>51.34</v>
      </c>
      <c r="E175" s="5">
        <v>2510.73</v>
      </c>
      <c r="F175" s="16" t="s">
        <v>143</v>
      </c>
    </row>
    <row r="176" spans="1:11" x14ac:dyDescent="0.2">
      <c r="A176" s="9" t="s">
        <v>11</v>
      </c>
      <c r="B176" s="10">
        <v>45072</v>
      </c>
      <c r="C176" s="10" t="s">
        <v>12</v>
      </c>
      <c r="D176" s="5">
        <v>49.8</v>
      </c>
      <c r="E176" s="5">
        <v>2506.13</v>
      </c>
      <c r="F176" s="16" t="s">
        <v>157</v>
      </c>
    </row>
    <row r="177" spans="1:12" s="28" customFormat="1" x14ac:dyDescent="0.2">
      <c r="A177" s="24" t="s">
        <v>11</v>
      </c>
      <c r="B177" s="25">
        <v>45072</v>
      </c>
      <c r="C177" s="25" t="s">
        <v>12</v>
      </c>
      <c r="D177" s="26">
        <v>50.04</v>
      </c>
      <c r="E177" s="26">
        <v>2464.9499999999998</v>
      </c>
      <c r="F177" s="27" t="s">
        <v>144</v>
      </c>
      <c r="G177" s="13">
        <f>AVERAGE(E177:E178)</f>
        <v>2466.8249999999998</v>
      </c>
      <c r="H177" s="18">
        <f>STDEV(E177:E178)</f>
        <v>2.6516504294495533</v>
      </c>
      <c r="I177" s="26"/>
      <c r="J177" s="26"/>
      <c r="K177" s="26">
        <f>G177+$J$92</f>
        <v>2442.1749999999997</v>
      </c>
    </row>
    <row r="178" spans="1:12" s="28" customFormat="1" x14ac:dyDescent="0.2">
      <c r="A178" s="24" t="s">
        <v>11</v>
      </c>
      <c r="B178" s="25">
        <v>45072</v>
      </c>
      <c r="C178" s="25" t="s">
        <v>12</v>
      </c>
      <c r="D178" s="26">
        <v>48.8</v>
      </c>
      <c r="E178" s="26">
        <v>2468.6999999999998</v>
      </c>
      <c r="F178" s="27" t="s">
        <v>145</v>
      </c>
      <c r="G178" s="29"/>
      <c r="H178" s="29"/>
      <c r="I178" s="29"/>
      <c r="J178" s="29"/>
      <c r="K178" s="29"/>
    </row>
    <row r="179" spans="1:12" s="28" customFormat="1" x14ac:dyDescent="0.2">
      <c r="A179" s="24" t="s">
        <v>11</v>
      </c>
      <c r="B179" s="25">
        <v>45072</v>
      </c>
      <c r="C179" s="25" t="s">
        <v>12</v>
      </c>
      <c r="D179" s="26">
        <v>49.87</v>
      </c>
      <c r="E179" s="30">
        <v>2431.39</v>
      </c>
      <c r="F179" s="27" t="s">
        <v>153</v>
      </c>
      <c r="G179" s="29"/>
      <c r="H179" s="29"/>
      <c r="I179" s="29"/>
      <c r="J179" s="29"/>
      <c r="K179" s="29"/>
    </row>
    <row r="180" spans="1:12" s="28" customFormat="1" x14ac:dyDescent="0.2">
      <c r="A180" s="24" t="s">
        <v>11</v>
      </c>
      <c r="B180" s="25">
        <v>45072</v>
      </c>
      <c r="C180" s="25" t="s">
        <v>12</v>
      </c>
      <c r="D180" s="26">
        <v>50.49</v>
      </c>
      <c r="E180" s="30">
        <v>2513.27</v>
      </c>
      <c r="F180" s="27" t="s">
        <v>146</v>
      </c>
      <c r="G180" s="13">
        <f>AVERAGE(E181,E183)</f>
        <v>2479.6350000000002</v>
      </c>
      <c r="H180" s="18">
        <f>STDEV(E181,E183)</f>
        <v>0.68589357775080961</v>
      </c>
      <c r="I180" s="5"/>
      <c r="J180" s="5"/>
      <c r="K180" s="5">
        <f>G180+$J$92</f>
        <v>2454.9850000000001</v>
      </c>
    </row>
    <row r="181" spans="1:12" x14ac:dyDescent="0.2">
      <c r="A181" s="9" t="s">
        <v>11</v>
      </c>
      <c r="B181" s="10">
        <v>45072</v>
      </c>
      <c r="C181" s="10" t="s">
        <v>12</v>
      </c>
      <c r="D181" s="5">
        <v>49</v>
      </c>
      <c r="E181" s="5">
        <v>2480.12</v>
      </c>
      <c r="F181" s="23" t="s">
        <v>147</v>
      </c>
      <c r="G181" s="1"/>
      <c r="H181" s="1"/>
      <c r="I181" s="1"/>
      <c r="J181" s="1"/>
      <c r="K181" s="1"/>
    </row>
    <row r="182" spans="1:12" x14ac:dyDescent="0.2">
      <c r="A182" s="9" t="s">
        <v>11</v>
      </c>
      <c r="B182" s="10">
        <v>45072</v>
      </c>
      <c r="C182" s="10" t="s">
        <v>12</v>
      </c>
      <c r="D182" s="22">
        <v>49.92</v>
      </c>
      <c r="E182" s="14">
        <v>2459.21</v>
      </c>
      <c r="F182" s="23" t="s">
        <v>148</v>
      </c>
    </row>
    <row r="183" spans="1:12" x14ac:dyDescent="0.2">
      <c r="A183" s="9" t="s">
        <v>11</v>
      </c>
      <c r="B183" s="10">
        <v>45072</v>
      </c>
      <c r="C183" s="10" t="s">
        <v>12</v>
      </c>
      <c r="D183" s="22">
        <v>51.03</v>
      </c>
      <c r="E183" s="5">
        <v>2479.15</v>
      </c>
      <c r="F183" s="23" t="s">
        <v>159</v>
      </c>
    </row>
    <row r="184" spans="1:12" x14ac:dyDescent="0.2">
      <c r="A184" s="9" t="s">
        <v>11</v>
      </c>
      <c r="B184" s="10">
        <v>45072</v>
      </c>
      <c r="C184" s="10" t="s">
        <v>12</v>
      </c>
      <c r="D184" s="22">
        <v>52.74</v>
      </c>
      <c r="E184" s="14">
        <v>2554.25</v>
      </c>
      <c r="F184" s="21" t="s">
        <v>149</v>
      </c>
      <c r="G184" s="13">
        <f>AVERAGE(E186:E187)</f>
        <v>2569.605</v>
      </c>
      <c r="H184" s="18">
        <f>STDEV(E186:E187)</f>
        <v>4.0092954493277757</v>
      </c>
      <c r="I184" s="5"/>
      <c r="J184" s="5"/>
      <c r="K184" s="5">
        <f>G184+$J$92</f>
        <v>2544.9549999999999</v>
      </c>
      <c r="L184" s="28"/>
    </row>
    <row r="185" spans="1:12" x14ac:dyDescent="0.2">
      <c r="A185" s="9" t="s">
        <v>11</v>
      </c>
      <c r="B185" s="10">
        <v>45072</v>
      </c>
      <c r="C185" s="10" t="s">
        <v>12</v>
      </c>
      <c r="D185" s="22">
        <v>47.48</v>
      </c>
      <c r="E185" s="14">
        <v>2588.33</v>
      </c>
      <c r="F185" s="21" t="s">
        <v>150</v>
      </c>
      <c r="G185" s="1"/>
      <c r="H185" s="1"/>
      <c r="I185" s="1"/>
      <c r="J185" s="1"/>
      <c r="K185" s="1"/>
    </row>
    <row r="186" spans="1:12" x14ac:dyDescent="0.2">
      <c r="A186" s="9" t="s">
        <v>11</v>
      </c>
      <c r="B186" s="10">
        <v>45072</v>
      </c>
      <c r="C186" s="10" t="s">
        <v>12</v>
      </c>
      <c r="D186" s="5">
        <v>48.88</v>
      </c>
      <c r="E186" s="5">
        <v>2572.44</v>
      </c>
      <c r="F186" s="21" t="s">
        <v>151</v>
      </c>
    </row>
    <row r="187" spans="1:12" x14ac:dyDescent="0.2">
      <c r="A187" s="9" t="s">
        <v>11</v>
      </c>
      <c r="B187" s="10">
        <v>45072</v>
      </c>
      <c r="C187" s="10" t="s">
        <v>12</v>
      </c>
      <c r="D187" s="5">
        <v>48.88</v>
      </c>
      <c r="E187" s="5">
        <v>2566.77</v>
      </c>
      <c r="F187" s="21" t="s">
        <v>158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Santella-SZN</dc:creator>
  <cp:lastModifiedBy>Jérémy Carlot</cp:lastModifiedBy>
  <dcterms:created xsi:type="dcterms:W3CDTF">2023-05-11T07:18:49Z</dcterms:created>
  <dcterms:modified xsi:type="dcterms:W3CDTF">2023-05-26T11:13:33Z</dcterms:modified>
</cp:coreProperties>
</file>