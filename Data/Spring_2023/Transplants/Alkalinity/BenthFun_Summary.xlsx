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antella-SZN\Desktop\Total_Alkalinity\ischia_alkalinity_data\titrator_backup\2023\BenthFun\"/>
    </mc:Choice>
  </mc:AlternateContent>
  <bookViews>
    <workbookView xWindow="0" yWindow="0" windowWidth="20490" windowHeight="693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1" i="1" l="1"/>
  <c r="G71" i="1"/>
  <c r="H89" i="1"/>
  <c r="G89" i="1"/>
  <c r="G83" i="1"/>
  <c r="H86" i="1"/>
  <c r="G86" i="1"/>
  <c r="H83" i="1"/>
  <c r="H63" i="1"/>
  <c r="G63" i="1"/>
  <c r="J63" i="1" s="1"/>
  <c r="K63" i="1" s="1"/>
  <c r="K86" i="1" l="1"/>
  <c r="K83" i="1"/>
  <c r="K89" i="1"/>
  <c r="H80" i="1"/>
  <c r="G80" i="1"/>
  <c r="H77" i="1"/>
  <c r="G77" i="1"/>
  <c r="H75" i="1"/>
  <c r="G75" i="1"/>
  <c r="H73" i="1"/>
  <c r="G73" i="1"/>
  <c r="H68" i="1"/>
  <c r="G68" i="1"/>
  <c r="H65" i="1"/>
  <c r="G65" i="1"/>
  <c r="G60" i="1"/>
  <c r="H60" i="1"/>
  <c r="G58" i="1"/>
  <c r="H58" i="1"/>
  <c r="H56" i="1"/>
  <c r="G56" i="1"/>
  <c r="H53" i="1"/>
  <c r="G53" i="1"/>
  <c r="G48" i="1"/>
  <c r="G44" i="1"/>
  <c r="G40" i="1"/>
  <c r="H51" i="1"/>
  <c r="G51" i="1"/>
  <c r="H40" i="1"/>
  <c r="H48" i="1"/>
  <c r="H44" i="1"/>
  <c r="H33" i="1"/>
  <c r="G33" i="1"/>
  <c r="J33" i="1" s="1"/>
  <c r="K60" i="1" l="1"/>
  <c r="K71" i="1"/>
  <c r="K65" i="1"/>
  <c r="K73" i="1"/>
  <c r="K75" i="1"/>
  <c r="K68" i="1"/>
  <c r="K77" i="1"/>
  <c r="K80" i="1"/>
  <c r="K40" i="1"/>
  <c r="K44" i="1"/>
  <c r="K48" i="1"/>
  <c r="K51" i="1"/>
  <c r="K53" i="1"/>
  <c r="K56" i="1"/>
  <c r="K58" i="1"/>
  <c r="K33" i="1"/>
  <c r="H37" i="1"/>
  <c r="G37" i="1"/>
  <c r="H35" i="1"/>
  <c r="G35" i="1"/>
  <c r="H29" i="1" l="1"/>
  <c r="G29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K37" i="1" s="1"/>
  <c r="H2" i="1"/>
  <c r="K7" i="1" l="1"/>
  <c r="K35" i="1"/>
  <c r="K15" i="1"/>
  <c r="K25" i="1"/>
  <c r="K20" i="1"/>
  <c r="K23" i="1"/>
  <c r="K13" i="1"/>
  <c r="K10" i="1"/>
  <c r="K17" i="1"/>
  <c r="K29" i="1"/>
  <c r="K2" i="1"/>
  <c r="K4" i="1"/>
</calcChain>
</file>

<file path=xl/sharedStrings.xml><?xml version="1.0" encoding="utf-8"?>
<sst xmlns="http://schemas.openxmlformats.org/spreadsheetml/2006/main" count="276" uniqueCount="98">
  <si>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</si>
  <si>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</si>
  <si>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</si>
  <si>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</si>
  <si>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</si>
  <si>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</si>
  <si>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</si>
  <si>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</si>
  <si>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</si>
  <si>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</si>
  <si>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</si>
  <si>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</si>
  <si>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</si>
  <si>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</si>
  <si>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</si>
  <si>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</si>
  <si>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</si>
  <si>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</si>
  <si>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</si>
  <si>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</si>
  <si>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</si>
  <si>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</si>
  <si>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</si>
  <si>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</si>
  <si>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</si>
  <si>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</si>
  <si>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</si>
  <si>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</si>
  <si>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</si>
  <si>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</si>
  <si>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</si>
  <si>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</si>
  <si>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</si>
  <si>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</si>
  <si>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</si>
  <si>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T0_t1_ELOW_tile_06b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</si>
  <si>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</si>
  <si>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</si>
  <si>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</si>
  <si>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</si>
  <si>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</si>
  <si>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</si>
  <si>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</si>
  <si>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</si>
  <si>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</si>
  <si>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</si>
  <si>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</si>
  <si>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</si>
  <si>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</si>
  <si>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</si>
  <si>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</si>
  <si>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</si>
  <si>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</si>
  <si>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</si>
  <si>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</si>
  <si>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</si>
  <si>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</si>
  <si>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</si>
  <si>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</si>
  <si>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</si>
  <si>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</si>
  <si>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</si>
  <si>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</si>
  <si>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</si>
  <si>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</si>
  <si>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</si>
  <si>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T0_t1_LOW_tile_02c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</si>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</sst>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20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</cellXfs>
  <cellStyles count="2">
    <cellStyle name="Excel Built-in Normal" xfId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0"/>
  <sheetViews>
    <sheetView tabSelected="1" zoomScale="86" zoomScaleNormal="73" workbookViewId="0">
      <pane ySplit="1" topLeftCell="A2" activePane="bottomLeft" state="frozen"/>
      <selection pane="bottomLeft" activeCell="J7" sqref="J7"/>
    </sheetView>
  </sheetViews>
  <sheetFormatPr defaultRowHeight="15" x14ac:dyDescent="0.25"/>
  <cols>
    <col min="1" max="1" width="10.28515625" style="15" bestFit="1" customWidth="1"/>
    <col min="2" max="2" width="14.28515625" style="15" bestFit="1" customWidth="1"/>
    <col min="3" max="3" width="13.85546875" style="15" bestFit="1" customWidth="1"/>
    <col min="4" max="4" width="10.140625" style="5" bestFit="1" customWidth="1"/>
    <col min="5" max="5" width="8.85546875" style="5" bestFit="1" customWidth="1"/>
    <col min="6" max="6" width="22.7109375" style="17" bestFit="1" customWidth="1"/>
    <col min="7" max="7" width="12.85546875" style="15" bestFit="1" customWidth="1"/>
    <col min="8" max="8" width="9.7109375" style="15" bestFit="1" customWidth="1"/>
    <col min="9" max="9" width="15" style="15" customWidth="1"/>
    <col min="10" max="10" width="12.42578125" style="15" bestFit="1" customWidth="1"/>
    <col min="11" max="11" width="11.42578125" style="15" bestFit="1" customWidth="1"/>
    <col min="12" max="12" width="5.85546875" style="1" bestFit="1" customWidth="1"/>
    <col min="13" max="16384" width="9.140625" style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41</v>
      </c>
      <c r="H1" s="6" t="s">
        <v>42</v>
      </c>
      <c r="I1" s="6" t="s">
        <v>97</v>
      </c>
      <c r="J1" s="7" t="s">
        <v>10</v>
      </c>
      <c r="K1" s="19" t="s">
        <v>6</v>
      </c>
      <c r="L1" s="8" t="s">
        <v>7</v>
      </c>
    </row>
    <row r="2" spans="1:12" x14ac:dyDescent="0.25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96</v>
      </c>
    </row>
    <row r="3" spans="1:12" x14ac:dyDescent="0.25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5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5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5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5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5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5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5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5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5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5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5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5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5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1" x14ac:dyDescent="0.25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1" x14ac:dyDescent="0.25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1" x14ac:dyDescent="0.25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1" x14ac:dyDescent="0.25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1" x14ac:dyDescent="0.25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1" x14ac:dyDescent="0.25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1" x14ac:dyDescent="0.25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1" x14ac:dyDescent="0.25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1" x14ac:dyDescent="0.25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AVERAGE(E27:E28)</f>
        <v>2497.915</v>
      </c>
      <c r="H25" s="13">
        <f>STDEV(E27:E28)</f>
        <v>0.81317279836427248</v>
      </c>
      <c r="I25" s="5"/>
      <c r="J25" s="5"/>
      <c r="K25" s="5">
        <f>G25+$J$2</f>
        <v>2487.5749999999998</v>
      </c>
    </row>
    <row r="26" spans="1:11" x14ac:dyDescent="0.25">
      <c r="A26" s="9" t="s">
        <v>11</v>
      </c>
      <c r="B26" s="10">
        <v>45057</v>
      </c>
      <c r="C26" s="10" t="s">
        <v>12</v>
      </c>
      <c r="D26" s="5">
        <v>52.87</v>
      </c>
      <c r="E26" s="14">
        <v>2467.69</v>
      </c>
      <c r="F26" s="16" t="s">
        <v>35</v>
      </c>
      <c r="G26" s="5"/>
      <c r="H26" s="5"/>
      <c r="I26" s="5"/>
      <c r="J26" s="5"/>
      <c r="K26" s="5"/>
    </row>
    <row r="27" spans="1:11" x14ac:dyDescent="0.25">
      <c r="A27" s="9" t="s">
        <v>11</v>
      </c>
      <c r="B27" s="10">
        <v>45057</v>
      </c>
      <c r="C27" s="10" t="s">
        <v>12</v>
      </c>
      <c r="D27" s="5">
        <v>48.93</v>
      </c>
      <c r="E27" s="5">
        <v>2497.34</v>
      </c>
      <c r="F27" s="16" t="s">
        <v>36</v>
      </c>
      <c r="G27" s="5"/>
      <c r="H27" s="5"/>
      <c r="I27" s="5"/>
      <c r="J27" s="5"/>
      <c r="K27" s="5"/>
    </row>
    <row r="28" spans="1:11" x14ac:dyDescent="0.25">
      <c r="A28" s="9" t="s">
        <v>11</v>
      </c>
      <c r="B28" s="10">
        <v>45057</v>
      </c>
      <c r="C28" s="10" t="s">
        <v>12</v>
      </c>
      <c r="D28" s="5">
        <v>50.14</v>
      </c>
      <c r="E28" s="5">
        <v>2498.4899999999998</v>
      </c>
      <c r="F28" s="16" t="s">
        <v>40</v>
      </c>
      <c r="G28" s="5"/>
      <c r="H28" s="5"/>
      <c r="I28" s="5"/>
      <c r="J28" s="5"/>
      <c r="K28" s="5"/>
    </row>
    <row r="29" spans="1:11" x14ac:dyDescent="0.25">
      <c r="A29" s="9" t="s">
        <v>11</v>
      </c>
      <c r="B29" s="10">
        <v>45057</v>
      </c>
      <c r="C29" s="10" t="s">
        <v>12</v>
      </c>
      <c r="D29" s="5">
        <v>49.87</v>
      </c>
      <c r="E29" s="5">
        <v>2617.66</v>
      </c>
      <c r="F29" s="16" t="s">
        <v>37</v>
      </c>
      <c r="G29" s="13">
        <f>AVERAGE(E29,E31)</f>
        <v>2617.3049999999998</v>
      </c>
      <c r="H29" s="13">
        <f>STDEV(E29,E31)</f>
        <v>0.50204581464247444</v>
      </c>
      <c r="I29" s="5"/>
      <c r="J29" s="5"/>
      <c r="K29" s="5">
        <f>G29+$J$2</f>
        <v>2606.9649999999997</v>
      </c>
    </row>
    <row r="30" spans="1:11" x14ac:dyDescent="0.25">
      <c r="A30" s="9" t="s">
        <v>11</v>
      </c>
      <c r="B30" s="10">
        <v>45057</v>
      </c>
      <c r="C30" s="10" t="s">
        <v>12</v>
      </c>
      <c r="D30" s="5">
        <v>51.76</v>
      </c>
      <c r="E30" s="14">
        <v>2608.98</v>
      </c>
      <c r="F30" s="16" t="s">
        <v>38</v>
      </c>
      <c r="G30" s="5"/>
      <c r="H30" s="5"/>
      <c r="I30" s="5"/>
      <c r="J30" s="5"/>
      <c r="K30" s="5"/>
    </row>
    <row r="31" spans="1:11" x14ac:dyDescent="0.25">
      <c r="A31" s="9" t="s">
        <v>11</v>
      </c>
      <c r="B31" s="10">
        <v>45057</v>
      </c>
      <c r="C31" s="10" t="s">
        <v>12</v>
      </c>
      <c r="D31" s="5">
        <v>51.57</v>
      </c>
      <c r="E31" s="5">
        <v>2616.9499999999998</v>
      </c>
      <c r="F31" s="16" t="s">
        <v>39</v>
      </c>
      <c r="G31" s="5"/>
      <c r="H31" s="5"/>
      <c r="I31" s="5"/>
      <c r="J31" s="5"/>
      <c r="K31" s="5"/>
    </row>
    <row r="32" spans="1:11" x14ac:dyDescent="0.25">
      <c r="A32" s="9"/>
      <c r="B32" s="10"/>
      <c r="C32" s="10"/>
      <c r="F32" s="16"/>
      <c r="G32" s="5"/>
      <c r="H32" s="5"/>
      <c r="I32" s="5"/>
      <c r="J32" s="5"/>
      <c r="K32" s="5"/>
    </row>
    <row r="33" spans="1:12" x14ac:dyDescent="0.25">
      <c r="A33" s="9" t="s">
        <v>11</v>
      </c>
      <c r="B33" s="10">
        <v>45058</v>
      </c>
      <c r="C33" s="10" t="s">
        <v>12</v>
      </c>
      <c r="D33" s="5">
        <v>50.25</v>
      </c>
      <c r="E33" s="5">
        <v>2235.6999999999998</v>
      </c>
      <c r="F33" s="16" t="s">
        <v>8</v>
      </c>
      <c r="G33" s="12">
        <f>AVERAGE(E33:E34)</f>
        <v>2237.1099999999997</v>
      </c>
      <c r="H33" s="13">
        <f>STDEV(E33:E34)</f>
        <v>1.9940411229461796</v>
      </c>
      <c r="I33" s="3">
        <v>2226.44</v>
      </c>
      <c r="J33" s="4">
        <f>I33-G33</f>
        <v>-10.669999999999618</v>
      </c>
      <c r="K33" s="5">
        <f>G33+J33</f>
        <v>2226.44</v>
      </c>
      <c r="L33" s="2" t="s">
        <v>96</v>
      </c>
    </row>
    <row r="34" spans="1:12" x14ac:dyDescent="0.25">
      <c r="A34" s="9" t="s">
        <v>11</v>
      </c>
      <c r="B34" s="10">
        <v>45058</v>
      </c>
      <c r="C34" s="10" t="s">
        <v>12</v>
      </c>
      <c r="D34" s="5">
        <v>49.39</v>
      </c>
      <c r="E34" s="5">
        <v>2238.52</v>
      </c>
      <c r="F34" s="16" t="s">
        <v>9</v>
      </c>
      <c r="G34" s="5"/>
      <c r="H34" s="5"/>
      <c r="I34" s="5"/>
      <c r="J34" s="5"/>
      <c r="K34" s="5"/>
    </row>
    <row r="35" spans="1:12" x14ac:dyDescent="0.25">
      <c r="A35" s="9" t="s">
        <v>11</v>
      </c>
      <c r="B35" s="10">
        <v>45057</v>
      </c>
      <c r="C35" s="10" t="s">
        <v>12</v>
      </c>
      <c r="D35" s="5">
        <v>49.81</v>
      </c>
      <c r="E35" s="5">
        <v>2669.25</v>
      </c>
      <c r="F35" s="16" t="s">
        <v>43</v>
      </c>
      <c r="G35" s="13">
        <f>AVERAGE(E35,E36)</f>
        <v>2668.4349999999999</v>
      </c>
      <c r="H35" s="13">
        <f>STDEV(E35,E36)</f>
        <v>1.1525840533341496</v>
      </c>
      <c r="K35" s="5">
        <f>G35+$J$2</f>
        <v>2658.0949999999998</v>
      </c>
    </row>
    <row r="36" spans="1:12" x14ac:dyDescent="0.25">
      <c r="A36" s="9" t="s">
        <v>11</v>
      </c>
      <c r="B36" s="10">
        <v>45057</v>
      </c>
      <c r="C36" s="10" t="s">
        <v>12</v>
      </c>
      <c r="D36" s="5">
        <v>51.97</v>
      </c>
      <c r="E36" s="5">
        <v>2667.62</v>
      </c>
      <c r="F36" s="16" t="s">
        <v>44</v>
      </c>
    </row>
    <row r="37" spans="1:12" x14ac:dyDescent="0.25">
      <c r="A37" s="9" t="s">
        <v>11</v>
      </c>
      <c r="B37" s="10">
        <v>45057</v>
      </c>
      <c r="C37" s="10" t="s">
        <v>12</v>
      </c>
      <c r="D37" s="5">
        <v>49.83</v>
      </c>
      <c r="E37" s="14">
        <v>2702.72</v>
      </c>
      <c r="F37" s="16" t="s">
        <v>45</v>
      </c>
      <c r="G37" s="13">
        <f>AVERAGE(E36,E39)</f>
        <v>2666.085</v>
      </c>
      <c r="H37" s="13">
        <f>STDEV(E36,E39)</f>
        <v>2.1708178182424951</v>
      </c>
      <c r="K37" s="5">
        <f>G37+$J$2</f>
        <v>2655.7449999999999</v>
      </c>
    </row>
    <row r="38" spans="1:12" x14ac:dyDescent="0.25">
      <c r="A38" s="9" t="s">
        <v>11</v>
      </c>
      <c r="B38" s="10">
        <v>45057</v>
      </c>
      <c r="C38" s="10" t="s">
        <v>12</v>
      </c>
      <c r="D38" s="5">
        <v>50.93</v>
      </c>
      <c r="E38" s="14">
        <v>2690.11</v>
      </c>
      <c r="F38" s="16" t="s">
        <v>46</v>
      </c>
    </row>
    <row r="39" spans="1:12" x14ac:dyDescent="0.25">
      <c r="A39" s="9" t="s">
        <v>11</v>
      </c>
      <c r="B39" s="10">
        <v>45057</v>
      </c>
      <c r="C39" s="10" t="s">
        <v>12</v>
      </c>
      <c r="D39" s="5">
        <v>49.75</v>
      </c>
      <c r="E39" s="5">
        <v>2664.55</v>
      </c>
      <c r="F39" s="16" t="s">
        <v>47</v>
      </c>
    </row>
    <row r="40" spans="1:12" x14ac:dyDescent="0.25">
      <c r="A40" s="9" t="s">
        <v>11</v>
      </c>
      <c r="B40" s="10">
        <v>45058</v>
      </c>
      <c r="C40" s="10" t="s">
        <v>12</v>
      </c>
      <c r="D40" s="5">
        <v>51.18</v>
      </c>
      <c r="E40" s="5">
        <v>2603.65</v>
      </c>
      <c r="F40" s="16" t="s">
        <v>48</v>
      </c>
      <c r="G40" s="13">
        <f>AVERAGE(E40,E43)</f>
        <v>2602.0100000000002</v>
      </c>
      <c r="H40" s="13">
        <f>STDEV(E40,E43)</f>
        <v>2.3193102422920173</v>
      </c>
      <c r="K40" s="5">
        <f>G40+$J$33</f>
        <v>2591.3400000000006</v>
      </c>
    </row>
    <row r="41" spans="1:12" x14ac:dyDescent="0.25">
      <c r="A41" s="9" t="s">
        <v>11</v>
      </c>
      <c r="B41" s="10">
        <v>45058</v>
      </c>
      <c r="C41" s="10" t="s">
        <v>12</v>
      </c>
      <c r="D41" s="5">
        <v>50.52</v>
      </c>
      <c r="E41" s="14">
        <v>2579.64</v>
      </c>
      <c r="F41" s="16" t="s">
        <v>49</v>
      </c>
    </row>
    <row r="42" spans="1:12" x14ac:dyDescent="0.25">
      <c r="A42" s="9" t="s">
        <v>11</v>
      </c>
      <c r="B42" s="10">
        <v>45058</v>
      </c>
      <c r="C42" s="10" t="s">
        <v>12</v>
      </c>
      <c r="D42" s="5">
        <v>49.86</v>
      </c>
      <c r="E42" s="14">
        <v>2565.9699999999998</v>
      </c>
      <c r="F42" s="16" t="s">
        <v>50</v>
      </c>
    </row>
    <row r="43" spans="1:12" x14ac:dyDescent="0.25">
      <c r="A43" s="9" t="s">
        <v>11</v>
      </c>
      <c r="B43" s="10">
        <v>45058</v>
      </c>
      <c r="C43" s="10" t="s">
        <v>12</v>
      </c>
      <c r="D43" s="5">
        <v>49.76</v>
      </c>
      <c r="E43" s="5">
        <v>2600.37</v>
      </c>
      <c r="F43" s="16" t="s">
        <v>68</v>
      </c>
    </row>
    <row r="44" spans="1:12" x14ac:dyDescent="0.25">
      <c r="A44" s="9" t="s">
        <v>11</v>
      </c>
      <c r="B44" s="10">
        <v>45058</v>
      </c>
      <c r="C44" s="10" t="s">
        <v>12</v>
      </c>
      <c r="D44" s="5">
        <v>48.93</v>
      </c>
      <c r="E44" s="14">
        <v>2610.11</v>
      </c>
      <c r="F44" s="16" t="s">
        <v>51</v>
      </c>
      <c r="G44" s="13">
        <f>AVERAGE(E47,E45)</f>
        <v>2587.2650000000003</v>
      </c>
      <c r="H44" s="13">
        <f>STDEV(E47,E45)</f>
        <v>2.4819448019646146</v>
      </c>
      <c r="K44" s="5">
        <f>G44+$J$33</f>
        <v>2576.5950000000007</v>
      </c>
    </row>
    <row r="45" spans="1:12" x14ac:dyDescent="0.25">
      <c r="A45" s="9" t="s">
        <v>11</v>
      </c>
      <c r="B45" s="10">
        <v>45058</v>
      </c>
      <c r="C45" s="10" t="s">
        <v>12</v>
      </c>
      <c r="D45" s="5">
        <v>50.66</v>
      </c>
      <c r="E45" s="5">
        <v>2589.02</v>
      </c>
      <c r="F45" s="16" t="s">
        <v>52</v>
      </c>
    </row>
    <row r="46" spans="1:12" x14ac:dyDescent="0.25">
      <c r="A46" s="9" t="s">
        <v>11</v>
      </c>
      <c r="B46" s="10">
        <v>45058</v>
      </c>
      <c r="C46" s="10" t="s">
        <v>12</v>
      </c>
      <c r="D46" s="5">
        <v>50.01</v>
      </c>
      <c r="E46" s="14">
        <v>2579.36</v>
      </c>
      <c r="F46" s="16" t="s">
        <v>66</v>
      </c>
    </row>
    <row r="47" spans="1:12" x14ac:dyDescent="0.25">
      <c r="A47" s="9" t="s">
        <v>11</v>
      </c>
      <c r="B47" s="10">
        <v>45058</v>
      </c>
      <c r="C47" s="10" t="s">
        <v>12</v>
      </c>
      <c r="D47" s="5">
        <v>49.93</v>
      </c>
      <c r="E47" s="5">
        <v>2585.5100000000002</v>
      </c>
      <c r="F47" s="16" t="s">
        <v>69</v>
      </c>
    </row>
    <row r="48" spans="1:12" x14ac:dyDescent="0.25">
      <c r="A48" s="9" t="s">
        <v>11</v>
      </c>
      <c r="B48" s="10">
        <v>45058</v>
      </c>
      <c r="C48" s="10" t="s">
        <v>12</v>
      </c>
      <c r="D48" s="5">
        <v>49.17</v>
      </c>
      <c r="E48" s="5">
        <v>2593.4899999999998</v>
      </c>
      <c r="F48" s="16" t="s">
        <v>53</v>
      </c>
      <c r="G48" s="13">
        <f>AVERAGE(E50,E48)</f>
        <v>2590.2950000000001</v>
      </c>
      <c r="H48" s="13">
        <f>STDEV(E50,E48)</f>
        <v>4.5184123317819482</v>
      </c>
      <c r="K48" s="5">
        <f>G48+$J$33</f>
        <v>2579.6250000000005</v>
      </c>
    </row>
    <row r="49" spans="1:12" x14ac:dyDescent="0.25">
      <c r="A49" s="9" t="s">
        <v>11</v>
      </c>
      <c r="B49" s="10">
        <v>45058</v>
      </c>
      <c r="C49" s="10" t="s">
        <v>12</v>
      </c>
      <c r="D49" s="5">
        <v>51.35</v>
      </c>
      <c r="E49" s="14">
        <v>2560.08</v>
      </c>
      <c r="F49" s="16" t="s">
        <v>54</v>
      </c>
    </row>
    <row r="50" spans="1:12" x14ac:dyDescent="0.25">
      <c r="A50" s="9" t="s">
        <v>11</v>
      </c>
      <c r="B50" s="10">
        <v>45058</v>
      </c>
      <c r="C50" s="10" t="s">
        <v>12</v>
      </c>
      <c r="D50" s="5">
        <v>49.36</v>
      </c>
      <c r="E50" s="5">
        <v>2587.1</v>
      </c>
      <c r="F50" s="16" t="s">
        <v>67</v>
      </c>
    </row>
    <row r="51" spans="1:12" x14ac:dyDescent="0.25">
      <c r="A51" s="9" t="s">
        <v>11</v>
      </c>
      <c r="B51" s="10">
        <v>45058</v>
      </c>
      <c r="C51" s="10" t="s">
        <v>12</v>
      </c>
      <c r="D51" s="5">
        <v>50.86</v>
      </c>
      <c r="E51" s="5">
        <v>2660.25</v>
      </c>
      <c r="F51" s="16" t="s">
        <v>55</v>
      </c>
      <c r="G51" s="13">
        <f>AVERAGE(E52,E51)</f>
        <v>2660.75</v>
      </c>
      <c r="H51" s="13">
        <f>STDEV(E52,E51)</f>
        <v>0.70710678118654757</v>
      </c>
      <c r="K51" s="5">
        <f>G51+$J$33</f>
        <v>2650.0800000000004</v>
      </c>
    </row>
    <row r="52" spans="1:12" x14ac:dyDescent="0.25">
      <c r="A52" s="9" t="s">
        <v>11</v>
      </c>
      <c r="B52" s="10">
        <v>45058</v>
      </c>
      <c r="C52" s="10" t="s">
        <v>12</v>
      </c>
      <c r="D52" s="5">
        <v>48.98</v>
      </c>
      <c r="E52" s="5">
        <v>2661.25</v>
      </c>
      <c r="F52" s="16" t="s">
        <v>56</v>
      </c>
    </row>
    <row r="53" spans="1:12" x14ac:dyDescent="0.25">
      <c r="A53" s="9" t="s">
        <v>11</v>
      </c>
      <c r="B53" s="10">
        <v>45058</v>
      </c>
      <c r="C53" s="10" t="s">
        <v>12</v>
      </c>
      <c r="D53" s="5">
        <v>50.41</v>
      </c>
      <c r="E53" s="5">
        <v>2569.34</v>
      </c>
      <c r="F53" s="16" t="s">
        <v>57</v>
      </c>
      <c r="G53" s="13">
        <f>AVERAGE(E55,E53)</f>
        <v>2567.355</v>
      </c>
      <c r="H53" s="13">
        <f>STDEV(E55,E53)</f>
        <v>2.8072139213107739</v>
      </c>
      <c r="K53" s="5">
        <f>G53+$J$33</f>
        <v>2556.6850000000004</v>
      </c>
    </row>
    <row r="54" spans="1:12" x14ac:dyDescent="0.25">
      <c r="A54" s="9" t="s">
        <v>11</v>
      </c>
      <c r="B54" s="10">
        <v>45058</v>
      </c>
      <c r="C54" s="10" t="s">
        <v>12</v>
      </c>
      <c r="D54" s="5">
        <v>51.21</v>
      </c>
      <c r="E54" s="14">
        <v>2544.79</v>
      </c>
      <c r="F54" s="16" t="s">
        <v>58</v>
      </c>
    </row>
    <row r="55" spans="1:12" x14ac:dyDescent="0.25">
      <c r="A55" s="9" t="s">
        <v>11</v>
      </c>
      <c r="B55" s="10">
        <v>45058</v>
      </c>
      <c r="C55" s="10" t="s">
        <v>12</v>
      </c>
      <c r="D55" s="5">
        <v>48.63</v>
      </c>
      <c r="E55" s="5">
        <v>2565.37</v>
      </c>
      <c r="F55" s="16" t="s">
        <v>59</v>
      </c>
    </row>
    <row r="56" spans="1:12" x14ac:dyDescent="0.25">
      <c r="A56" s="9" t="s">
        <v>11</v>
      </c>
      <c r="B56" s="10">
        <v>45058</v>
      </c>
      <c r="C56" s="10" t="s">
        <v>12</v>
      </c>
      <c r="D56" s="5">
        <v>50.87</v>
      </c>
      <c r="E56" s="5">
        <v>2541.75</v>
      </c>
      <c r="F56" s="16" t="s">
        <v>60</v>
      </c>
      <c r="G56" s="13">
        <f>AVERAGE(E57,E56)</f>
        <v>2543.48</v>
      </c>
      <c r="H56" s="13">
        <f>STDEV(E57,E56)</f>
        <v>2.4465894629054801</v>
      </c>
      <c r="K56" s="5">
        <f>G56+$J$33</f>
        <v>2532.8100000000004</v>
      </c>
    </row>
    <row r="57" spans="1:12" x14ac:dyDescent="0.25">
      <c r="A57" s="9" t="s">
        <v>11</v>
      </c>
      <c r="B57" s="10">
        <v>45058</v>
      </c>
      <c r="C57" s="10" t="s">
        <v>12</v>
      </c>
      <c r="D57" s="5">
        <v>49.82</v>
      </c>
      <c r="E57" s="5">
        <v>2545.21</v>
      </c>
      <c r="F57" s="16" t="s">
        <v>61</v>
      </c>
    </row>
    <row r="58" spans="1:12" x14ac:dyDescent="0.25">
      <c r="A58" s="9" t="s">
        <v>11</v>
      </c>
      <c r="B58" s="10">
        <v>45058</v>
      </c>
      <c r="C58" s="10" t="s">
        <v>12</v>
      </c>
      <c r="D58" s="5">
        <v>49.91</v>
      </c>
      <c r="E58" s="5">
        <v>2549.7199999999998</v>
      </c>
      <c r="F58" s="16" t="s">
        <v>62</v>
      </c>
      <c r="G58" s="13">
        <f>AVERAGE(E59,E58)</f>
        <v>2551.4399999999996</v>
      </c>
      <c r="H58" s="13">
        <f>STDEV(E59,E58)</f>
        <v>2.4324473272817619</v>
      </c>
      <c r="K58" s="5">
        <f>G58+$J$33</f>
        <v>2540.77</v>
      </c>
    </row>
    <row r="59" spans="1:12" x14ac:dyDescent="0.25">
      <c r="A59" s="9" t="s">
        <v>11</v>
      </c>
      <c r="B59" s="10">
        <v>45058</v>
      </c>
      <c r="C59" s="10" t="s">
        <v>12</v>
      </c>
      <c r="D59" s="5">
        <v>49.93</v>
      </c>
      <c r="E59" s="5">
        <v>2553.16</v>
      </c>
      <c r="F59" s="16" t="s">
        <v>63</v>
      </c>
    </row>
    <row r="60" spans="1:12" x14ac:dyDescent="0.25">
      <c r="A60" s="9" t="s">
        <v>11</v>
      </c>
      <c r="B60" s="10">
        <v>45058</v>
      </c>
      <c r="C60" s="10" t="s">
        <v>12</v>
      </c>
      <c r="D60" s="5">
        <v>50.98</v>
      </c>
      <c r="E60" s="5">
        <v>2644.74</v>
      </c>
      <c r="F60" s="16" t="s">
        <v>64</v>
      </c>
      <c r="G60" s="13">
        <f>AVERAGE(E61,E60)</f>
        <v>2644.4449999999997</v>
      </c>
      <c r="H60" s="13">
        <f>STDEV(E61,E60)</f>
        <v>0.4171930008998444</v>
      </c>
      <c r="K60" s="5">
        <f>G60+$J$33</f>
        <v>2633.7750000000001</v>
      </c>
    </row>
    <row r="61" spans="1:12" x14ac:dyDescent="0.25">
      <c r="A61" s="9" t="s">
        <v>11</v>
      </c>
      <c r="B61" s="10">
        <v>45058</v>
      </c>
      <c r="C61" s="10" t="s">
        <v>12</v>
      </c>
      <c r="D61" s="5">
        <v>48.92</v>
      </c>
      <c r="E61" s="5">
        <v>2644.15</v>
      </c>
      <c r="F61" s="16" t="s">
        <v>65</v>
      </c>
    </row>
    <row r="63" spans="1:12" x14ac:dyDescent="0.25">
      <c r="A63" s="9" t="s">
        <v>11</v>
      </c>
      <c r="B63" s="10">
        <v>45059</v>
      </c>
      <c r="C63" s="10" t="s">
        <v>12</v>
      </c>
      <c r="D63" s="5">
        <v>50.51</v>
      </c>
      <c r="E63" s="5">
        <v>2232.81</v>
      </c>
      <c r="F63" s="16" t="s">
        <v>8</v>
      </c>
      <c r="G63" s="12">
        <f>AVERAGE(E63:E64)</f>
        <v>2234.8249999999998</v>
      </c>
      <c r="H63" s="13">
        <f>STDEV(E63:E64)</f>
        <v>2.8496403281819278</v>
      </c>
      <c r="I63" s="3">
        <v>2226.44</v>
      </c>
      <c r="J63" s="4">
        <f>I63-G63</f>
        <v>-8.3849999999997635</v>
      </c>
      <c r="K63" s="5">
        <f>G63+J63</f>
        <v>2226.44</v>
      </c>
      <c r="L63" s="2" t="s">
        <v>96</v>
      </c>
    </row>
    <row r="64" spans="1:12" x14ac:dyDescent="0.25">
      <c r="A64" s="9" t="s">
        <v>11</v>
      </c>
      <c r="B64" s="10">
        <v>45059</v>
      </c>
      <c r="C64" s="10" t="s">
        <v>12</v>
      </c>
      <c r="D64" s="5">
        <v>49.4</v>
      </c>
      <c r="E64" s="5">
        <v>2236.84</v>
      </c>
      <c r="F64" s="16" t="s">
        <v>9</v>
      </c>
      <c r="G64" s="5"/>
      <c r="H64" s="5"/>
      <c r="I64" s="5"/>
      <c r="J64" s="5"/>
      <c r="K64" s="5"/>
    </row>
    <row r="65" spans="1:11" x14ac:dyDescent="0.25">
      <c r="A65" s="9" t="s">
        <v>11</v>
      </c>
      <c r="B65" s="10">
        <v>45058</v>
      </c>
      <c r="C65" s="10" t="s">
        <v>12</v>
      </c>
      <c r="D65" s="5">
        <v>51.23</v>
      </c>
      <c r="E65" s="14">
        <v>2724.44</v>
      </c>
      <c r="F65" s="16" t="s">
        <v>70</v>
      </c>
      <c r="G65" s="13">
        <f>AVERAGE(E66,E67)</f>
        <v>2685.37</v>
      </c>
      <c r="H65" s="13">
        <f>STDEV(E66,E67)</f>
        <v>2.4183051916580438</v>
      </c>
      <c r="K65" s="5">
        <f>G65+$J$33</f>
        <v>2674.7000000000003</v>
      </c>
    </row>
    <row r="66" spans="1:11" x14ac:dyDescent="0.25">
      <c r="A66" s="9" t="s">
        <v>11</v>
      </c>
      <c r="B66" s="10">
        <v>45058</v>
      </c>
      <c r="C66" s="10" t="s">
        <v>12</v>
      </c>
      <c r="D66" s="5">
        <v>50.02</v>
      </c>
      <c r="E66" s="5">
        <v>2687.08</v>
      </c>
      <c r="F66" s="16" t="s">
        <v>71</v>
      </c>
    </row>
    <row r="67" spans="1:11" x14ac:dyDescent="0.25">
      <c r="A67" s="9" t="s">
        <v>11</v>
      </c>
      <c r="B67" s="10">
        <v>45058</v>
      </c>
      <c r="C67" s="10" t="s">
        <v>12</v>
      </c>
      <c r="D67" s="5">
        <v>49.44</v>
      </c>
      <c r="E67" s="5">
        <v>2683.66</v>
      </c>
      <c r="F67" s="16" t="s">
        <v>85</v>
      </c>
    </row>
    <row r="68" spans="1:11" x14ac:dyDescent="0.25">
      <c r="A68" s="9" t="s">
        <v>11</v>
      </c>
      <c r="B68" s="10">
        <v>45058</v>
      </c>
      <c r="C68" s="10" t="s">
        <v>12</v>
      </c>
      <c r="D68" s="5">
        <v>52.2</v>
      </c>
      <c r="E68" s="5">
        <v>2662.94</v>
      </c>
      <c r="F68" s="16" t="s">
        <v>72</v>
      </c>
      <c r="G68" s="13">
        <f>AVERAGE(E68,E70)</f>
        <v>2660.77</v>
      </c>
      <c r="H68" s="13">
        <f>STDEV(E68,E70)</f>
        <v>3.0688434303497192</v>
      </c>
      <c r="K68" s="5">
        <f>G68+$J$33</f>
        <v>2650.1000000000004</v>
      </c>
    </row>
    <row r="69" spans="1:11" x14ac:dyDescent="0.25">
      <c r="A69" s="9" t="s">
        <v>11</v>
      </c>
      <c r="B69" s="10">
        <v>45058</v>
      </c>
      <c r="C69" s="10" t="s">
        <v>12</v>
      </c>
      <c r="D69" s="5">
        <v>51.08</v>
      </c>
      <c r="E69" s="14">
        <v>2635.37</v>
      </c>
      <c r="F69" s="16" t="s">
        <v>73</v>
      </c>
    </row>
    <row r="70" spans="1:11" x14ac:dyDescent="0.25">
      <c r="A70" s="9" t="s">
        <v>11</v>
      </c>
      <c r="B70" s="10">
        <v>45058</v>
      </c>
      <c r="C70" s="10" t="s">
        <v>12</v>
      </c>
      <c r="D70" s="5">
        <v>49.26</v>
      </c>
      <c r="E70" s="5">
        <v>2658.6</v>
      </c>
      <c r="F70" s="16" t="s">
        <v>74</v>
      </c>
    </row>
    <row r="71" spans="1:11" x14ac:dyDescent="0.25">
      <c r="A71" s="9" t="s">
        <v>11</v>
      </c>
      <c r="B71" s="10">
        <v>45058</v>
      </c>
      <c r="C71" s="10" t="s">
        <v>12</v>
      </c>
      <c r="D71" s="15">
        <v>48.42</v>
      </c>
      <c r="E71" s="5">
        <v>2351.7199999999998</v>
      </c>
      <c r="F71" s="16" t="s">
        <v>75</v>
      </c>
      <c r="G71" s="13">
        <f>AVERAGE(E72,E71)</f>
        <v>2353.9499999999998</v>
      </c>
      <c r="H71" s="13">
        <f>STDEV(E71,E72)</f>
        <v>3.1536962440920275</v>
      </c>
      <c r="K71" s="5">
        <f>G71+$J$33</f>
        <v>2343.2800000000002</v>
      </c>
    </row>
    <row r="72" spans="1:11" x14ac:dyDescent="0.25">
      <c r="A72" s="9" t="s">
        <v>11</v>
      </c>
      <c r="B72" s="10">
        <v>45059</v>
      </c>
      <c r="C72" s="10" t="s">
        <v>12</v>
      </c>
      <c r="D72" s="5">
        <v>52.08</v>
      </c>
      <c r="E72" s="5">
        <v>2356.1799999999998</v>
      </c>
      <c r="F72" s="16" t="s">
        <v>95</v>
      </c>
    </row>
    <row r="73" spans="1:11" x14ac:dyDescent="0.25">
      <c r="A73" s="9" t="s">
        <v>11</v>
      </c>
      <c r="B73" s="10">
        <v>45058</v>
      </c>
      <c r="C73" s="10" t="s">
        <v>12</v>
      </c>
      <c r="D73" s="5">
        <v>51.64</v>
      </c>
      <c r="E73" s="5">
        <v>2650.42</v>
      </c>
      <c r="F73" s="16" t="s">
        <v>76</v>
      </c>
      <c r="G73" s="13">
        <f>AVERAGE(E74,E73)</f>
        <v>2652.67</v>
      </c>
      <c r="H73" s="13">
        <f>STDEV(E74,E73)</f>
        <v>3.1819805153394638</v>
      </c>
      <c r="K73" s="5">
        <f>G73+$J$33</f>
        <v>2642.0000000000005</v>
      </c>
    </row>
    <row r="74" spans="1:11" x14ac:dyDescent="0.25">
      <c r="A74" s="9" t="s">
        <v>11</v>
      </c>
      <c r="B74" s="10">
        <v>45058</v>
      </c>
      <c r="C74" s="10" t="s">
        <v>12</v>
      </c>
      <c r="D74" s="5">
        <v>50.46</v>
      </c>
      <c r="E74" s="5">
        <v>2654.92</v>
      </c>
      <c r="F74" s="16" t="s">
        <v>77</v>
      </c>
    </row>
    <row r="75" spans="1:11" x14ac:dyDescent="0.25">
      <c r="A75" s="9" t="s">
        <v>11</v>
      </c>
      <c r="B75" s="10">
        <v>45058</v>
      </c>
      <c r="C75" s="10" t="s">
        <v>12</v>
      </c>
      <c r="D75" s="5">
        <v>50.63</v>
      </c>
      <c r="E75" s="5">
        <v>2629.73</v>
      </c>
      <c r="F75" s="16" t="s">
        <v>78</v>
      </c>
      <c r="G75" s="13">
        <f>AVERAGE(E76,E75)</f>
        <v>2631.4349999999999</v>
      </c>
      <c r="H75" s="13">
        <f>STDEV(E76,E75)</f>
        <v>2.411234123846024</v>
      </c>
      <c r="K75" s="5">
        <f>G75+$J$33</f>
        <v>2620.7650000000003</v>
      </c>
    </row>
    <row r="76" spans="1:11" x14ac:dyDescent="0.25">
      <c r="A76" s="9" t="s">
        <v>11</v>
      </c>
      <c r="B76" s="10">
        <v>45058</v>
      </c>
      <c r="C76" s="10" t="s">
        <v>12</v>
      </c>
      <c r="D76" s="5">
        <v>50.92</v>
      </c>
      <c r="E76" s="5">
        <v>2633.14</v>
      </c>
      <c r="F76" s="16" t="s">
        <v>79</v>
      </c>
    </row>
    <row r="77" spans="1:11" x14ac:dyDescent="0.25">
      <c r="A77" s="9" t="s">
        <v>11</v>
      </c>
      <c r="B77" s="10">
        <v>45058</v>
      </c>
      <c r="C77" s="10" t="s">
        <v>12</v>
      </c>
      <c r="D77" s="5">
        <v>50.69</v>
      </c>
      <c r="E77" s="5">
        <v>2671.36</v>
      </c>
      <c r="F77" s="16" t="s">
        <v>80</v>
      </c>
      <c r="G77" s="13">
        <f>AVERAGE(E77,E79)</f>
        <v>2673.7550000000001</v>
      </c>
      <c r="H77" s="13">
        <f>STDEV(E77,E79)</f>
        <v>3.387041481883537</v>
      </c>
      <c r="K77" s="5">
        <f>G77+$J$33</f>
        <v>2663.0850000000005</v>
      </c>
    </row>
    <row r="78" spans="1:11" x14ac:dyDescent="0.25">
      <c r="A78" s="9" t="s">
        <v>11</v>
      </c>
      <c r="B78" s="10">
        <v>45058</v>
      </c>
      <c r="C78" s="10" t="s">
        <v>12</v>
      </c>
      <c r="D78" s="5">
        <v>50.94</v>
      </c>
      <c r="E78" s="14">
        <v>2664.62</v>
      </c>
      <c r="F78" s="16" t="s">
        <v>81</v>
      </c>
    </row>
    <row r="79" spans="1:11" x14ac:dyDescent="0.25">
      <c r="A79" s="9" t="s">
        <v>11</v>
      </c>
      <c r="B79" s="10">
        <v>45058</v>
      </c>
      <c r="C79" s="10" t="s">
        <v>12</v>
      </c>
      <c r="D79" s="5">
        <v>49.78</v>
      </c>
      <c r="E79" s="5">
        <v>2676.15</v>
      </c>
      <c r="F79" s="16" t="s">
        <v>86</v>
      </c>
    </row>
    <row r="80" spans="1:11" x14ac:dyDescent="0.25">
      <c r="A80" s="9" t="s">
        <v>11</v>
      </c>
      <c r="B80" s="10">
        <v>45058</v>
      </c>
      <c r="C80" s="10" t="s">
        <v>12</v>
      </c>
      <c r="D80" s="5">
        <v>50.3</v>
      </c>
      <c r="E80" s="5">
        <v>2584.54</v>
      </c>
      <c r="F80" s="16" t="s">
        <v>82</v>
      </c>
      <c r="G80" s="13">
        <f>AVERAGE(E80,E82)</f>
        <v>2587.63</v>
      </c>
      <c r="H80" s="13">
        <f>STDEV(E80,E82)</f>
        <v>4.369919907732748</v>
      </c>
      <c r="K80" s="5">
        <f>G80+$J$33</f>
        <v>2576.9600000000005</v>
      </c>
    </row>
    <row r="81" spans="1:11" x14ac:dyDescent="0.25">
      <c r="A81" s="9" t="s">
        <v>11</v>
      </c>
      <c r="B81" s="10">
        <v>45058</v>
      </c>
      <c r="C81" s="10" t="s">
        <v>12</v>
      </c>
      <c r="D81" s="5">
        <v>50</v>
      </c>
      <c r="E81" s="14">
        <v>2598.9499999999998</v>
      </c>
      <c r="F81" s="16" t="s">
        <v>83</v>
      </c>
    </row>
    <row r="82" spans="1:11" x14ac:dyDescent="0.25">
      <c r="A82" s="9" t="s">
        <v>11</v>
      </c>
      <c r="B82" s="10">
        <v>45058</v>
      </c>
      <c r="C82" s="10" t="s">
        <v>12</v>
      </c>
      <c r="D82" s="5">
        <v>49.66</v>
      </c>
      <c r="E82" s="5">
        <v>2590.7199999999998</v>
      </c>
      <c r="F82" s="16" t="s">
        <v>84</v>
      </c>
    </row>
    <row r="83" spans="1:11" x14ac:dyDescent="0.25">
      <c r="A83" s="9" t="s">
        <v>11</v>
      </c>
      <c r="B83" s="10">
        <v>45059</v>
      </c>
      <c r="C83" s="10" t="s">
        <v>12</v>
      </c>
      <c r="D83" s="5">
        <v>51.6</v>
      </c>
      <c r="E83" s="14">
        <v>2600.5100000000002</v>
      </c>
      <c r="F83" s="16" t="s">
        <v>87</v>
      </c>
      <c r="G83" s="13">
        <f>AVERAGE(E84,E85)</f>
        <v>2592.8200000000002</v>
      </c>
      <c r="H83" s="13">
        <f>STDEV(E84,E85)</f>
        <v>1.7960512242138049</v>
      </c>
      <c r="K83" s="5">
        <f>G83+$J$63</f>
        <v>2584.4350000000004</v>
      </c>
    </row>
    <row r="84" spans="1:11" x14ac:dyDescent="0.25">
      <c r="A84" s="9" t="s">
        <v>11</v>
      </c>
      <c r="B84" s="10">
        <v>45059</v>
      </c>
      <c r="C84" s="10" t="s">
        <v>12</v>
      </c>
      <c r="D84" s="5">
        <v>51.16</v>
      </c>
      <c r="E84" s="5">
        <v>2591.5500000000002</v>
      </c>
      <c r="F84" s="16" t="s">
        <v>90</v>
      </c>
    </row>
    <row r="85" spans="1:11" x14ac:dyDescent="0.25">
      <c r="A85" s="9" t="s">
        <v>11</v>
      </c>
      <c r="B85" s="10">
        <v>45059</v>
      </c>
      <c r="C85" s="10" t="s">
        <v>12</v>
      </c>
      <c r="D85" s="5">
        <v>50.56</v>
      </c>
      <c r="E85" s="5">
        <v>2594.09</v>
      </c>
      <c r="F85" s="16" t="s">
        <v>91</v>
      </c>
    </row>
    <row r="86" spans="1:11" x14ac:dyDescent="0.25">
      <c r="A86" s="9" t="s">
        <v>11</v>
      </c>
      <c r="B86" s="10">
        <v>45059</v>
      </c>
      <c r="C86" s="10" t="s">
        <v>12</v>
      </c>
      <c r="D86" s="5">
        <v>50.01</v>
      </c>
      <c r="E86" s="5">
        <v>2563.02</v>
      </c>
      <c r="F86" s="16" t="s">
        <v>92</v>
      </c>
      <c r="G86" s="13">
        <f>AVERAGE(E86,E88)</f>
        <v>2565.895</v>
      </c>
      <c r="H86" s="13">
        <f>STDEV(E86,E88)</f>
        <v>4.0658639918226482</v>
      </c>
      <c r="K86" s="5">
        <f>G86+$J$63</f>
        <v>2557.5100000000002</v>
      </c>
    </row>
    <row r="87" spans="1:11" x14ac:dyDescent="0.25">
      <c r="A87" s="9" t="s">
        <v>11</v>
      </c>
      <c r="B87" s="10">
        <v>45059</v>
      </c>
      <c r="C87" s="10" t="s">
        <v>12</v>
      </c>
      <c r="D87" s="5">
        <v>49.18</v>
      </c>
      <c r="E87" s="14">
        <v>2584.94</v>
      </c>
      <c r="F87" s="16" t="s">
        <v>93</v>
      </c>
    </row>
    <row r="88" spans="1:11" x14ac:dyDescent="0.25">
      <c r="A88" s="9" t="s">
        <v>11</v>
      </c>
      <c r="B88" s="10">
        <v>45059</v>
      </c>
      <c r="C88" s="10" t="s">
        <v>12</v>
      </c>
      <c r="D88" s="5">
        <v>51.78</v>
      </c>
      <c r="E88" s="5">
        <v>2568.77</v>
      </c>
      <c r="F88" s="16" t="s">
        <v>94</v>
      </c>
    </row>
    <row r="89" spans="1:11" x14ac:dyDescent="0.25">
      <c r="A89" s="9" t="s">
        <v>11</v>
      </c>
      <c r="B89" s="10">
        <v>45059</v>
      </c>
      <c r="C89" s="10" t="s">
        <v>12</v>
      </c>
      <c r="D89" s="5">
        <v>51.4</v>
      </c>
      <c r="E89" s="5">
        <v>2661.01</v>
      </c>
      <c r="F89" s="16" t="s">
        <v>88</v>
      </c>
      <c r="G89" s="12">
        <f>AVERAGE(E89:E90)</f>
        <v>2662.76</v>
      </c>
      <c r="H89" s="13">
        <f>STDEV(E89:E90)</f>
        <v>2.4748737341529163</v>
      </c>
      <c r="K89" s="5">
        <f>G89+$J$63</f>
        <v>2654.3750000000005</v>
      </c>
    </row>
    <row r="90" spans="1:11" x14ac:dyDescent="0.25">
      <c r="A90" s="9" t="s">
        <v>11</v>
      </c>
      <c r="B90" s="10">
        <v>45059</v>
      </c>
      <c r="C90" s="10" t="s">
        <v>12</v>
      </c>
      <c r="D90" s="5">
        <v>51.8</v>
      </c>
      <c r="E90" s="5">
        <v>2664.51</v>
      </c>
      <c r="F90" s="16" t="s">
        <v>89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Santella-SZN</cp:lastModifiedBy>
  <dcterms:created xsi:type="dcterms:W3CDTF">2023-05-11T07:18:49Z</dcterms:created>
  <dcterms:modified xsi:type="dcterms:W3CDTF">2023-05-13T11:35:28Z</dcterms:modified>
</cp:coreProperties>
</file>