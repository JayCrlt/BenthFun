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322BCAB3-3013-0E48-8B76-5684751376AC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9" i="1" l="1"/>
  <c r="H409" i="1"/>
  <c r="G432" i="1"/>
  <c r="H432" i="1"/>
  <c r="H440" i="1"/>
  <c r="G440" i="1"/>
  <c r="H437" i="1"/>
  <c r="G437" i="1"/>
  <c r="H434" i="1"/>
  <c r="G434" i="1"/>
  <c r="H429" i="1"/>
  <c r="G429" i="1"/>
  <c r="H426" i="1"/>
  <c r="G426" i="1"/>
  <c r="H423" i="1"/>
  <c r="G423" i="1"/>
  <c r="H420" i="1"/>
  <c r="G420" i="1"/>
  <c r="H417" i="1"/>
  <c r="G417" i="1"/>
  <c r="H414" i="1"/>
  <c r="G414" i="1"/>
  <c r="H411" i="1"/>
  <c r="G411" i="1"/>
  <c r="G401" i="1"/>
  <c r="H401" i="1"/>
  <c r="G403" i="1"/>
  <c r="H403" i="1"/>
  <c r="H406" i="1"/>
  <c r="G406" i="1"/>
  <c r="H399" i="1"/>
  <c r="G399" i="1"/>
  <c r="H397" i="1"/>
  <c r="G397" i="1"/>
  <c r="G390" i="1"/>
  <c r="H390" i="1"/>
  <c r="G374" i="1"/>
  <c r="G377" i="1"/>
  <c r="H377" i="1"/>
  <c r="H380" i="1"/>
  <c r="G382" i="1"/>
  <c r="H382" i="1"/>
  <c r="H385" i="1"/>
  <c r="G380" i="1"/>
  <c r="H394" i="1"/>
  <c r="G394" i="1"/>
  <c r="H374" i="1"/>
  <c r="G371" i="1"/>
  <c r="H371" i="1"/>
  <c r="H366" i="1"/>
  <c r="G366" i="1"/>
  <c r="G369" i="1"/>
  <c r="H369" i="1"/>
  <c r="G363" i="1"/>
  <c r="H363" i="1"/>
  <c r="G357" i="1"/>
  <c r="H357" i="1"/>
  <c r="G360" i="1"/>
  <c r="H360" i="1"/>
  <c r="G349" i="1"/>
  <c r="H349" i="1"/>
  <c r="G354" i="1"/>
  <c r="H354" i="1"/>
  <c r="G352" i="1"/>
  <c r="H352" i="1"/>
  <c r="H339" i="1"/>
  <c r="H336" i="1"/>
  <c r="H347" i="1"/>
  <c r="G347" i="1"/>
  <c r="G345" i="1"/>
  <c r="H345" i="1"/>
  <c r="G331" i="1"/>
  <c r="J331" i="1" s="1"/>
  <c r="H331" i="1"/>
  <c r="G336" i="1"/>
  <c r="G342" i="1"/>
  <c r="H342" i="1"/>
  <c r="G339" i="1"/>
  <c r="H387" i="1"/>
  <c r="G387" i="1"/>
  <c r="G385" i="1"/>
  <c r="G334" i="1"/>
  <c r="H334" i="1"/>
  <c r="G327" i="1"/>
  <c r="H327" i="1"/>
  <c r="G312" i="1"/>
  <c r="H312" i="1"/>
  <c r="H315" i="1"/>
  <c r="G315" i="1"/>
  <c r="G318" i="1"/>
  <c r="H318" i="1"/>
  <c r="G309" i="1"/>
  <c r="H309" i="1"/>
  <c r="G306" i="1"/>
  <c r="H306" i="1"/>
  <c r="G303" i="1"/>
  <c r="H303" i="1"/>
  <c r="G300" i="1"/>
  <c r="H300" i="1"/>
  <c r="G297" i="1"/>
  <c r="H297" i="1"/>
  <c r="H294" i="1"/>
  <c r="H325" i="1"/>
  <c r="G325" i="1"/>
  <c r="H323" i="1"/>
  <c r="G323" i="1"/>
  <c r="H321" i="1"/>
  <c r="G321" i="1"/>
  <c r="G294" i="1"/>
  <c r="H291" i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J432" i="1" l="1"/>
  <c r="K426" i="1" s="1"/>
  <c r="J394" i="1"/>
  <c r="K387" i="1" s="1"/>
  <c r="K347" i="1"/>
  <c r="K345" i="1"/>
  <c r="J294" i="1"/>
  <c r="K294" i="1" s="1"/>
  <c r="J256" i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406" i="1" l="1"/>
  <c r="K434" i="1"/>
  <c r="K440" i="1"/>
  <c r="K437" i="1"/>
  <c r="K411" i="1"/>
  <c r="K414" i="1"/>
  <c r="K417" i="1"/>
  <c r="K429" i="1"/>
  <c r="K423" i="1"/>
  <c r="K420" i="1"/>
  <c r="K409" i="1"/>
  <c r="K432" i="1"/>
  <c r="K401" i="1"/>
  <c r="K399" i="1"/>
  <c r="K403" i="1"/>
  <c r="K385" i="1"/>
  <c r="K394" i="1"/>
  <c r="K390" i="1"/>
  <c r="K380" i="1"/>
  <c r="K382" i="1"/>
  <c r="K397" i="1"/>
  <c r="K377" i="1"/>
  <c r="K352" i="1"/>
  <c r="K366" i="1"/>
  <c r="K360" i="1"/>
  <c r="K369" i="1"/>
  <c r="K331" i="1"/>
  <c r="K354" i="1"/>
  <c r="K363" i="1"/>
  <c r="K371" i="1"/>
  <c r="K349" i="1"/>
  <c r="K357" i="1"/>
  <c r="K374" i="1"/>
  <c r="K336" i="1"/>
  <c r="K334" i="1"/>
  <c r="K342" i="1"/>
  <c r="K339" i="1"/>
  <c r="K303" i="1"/>
  <c r="K297" i="1"/>
  <c r="K306" i="1"/>
  <c r="K315" i="1"/>
  <c r="K323" i="1"/>
  <c r="K318" i="1"/>
  <c r="K309" i="1"/>
  <c r="K312" i="1"/>
  <c r="K300" i="1"/>
  <c r="K327" i="1"/>
  <c r="K321" i="1"/>
  <c r="K325" i="1"/>
  <c r="K291" i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<sst xmlns="http://schemas.openxmlformats.org/spreadsheetml/2006/main" count="1440" uniqueCount="411">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</sst>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0"/>
  <sheetViews>
    <sheetView tabSelected="1" zoomScale="90" zoomScaleNormal="73" workbookViewId="0">
      <pane ySplit="1" topLeftCell="A425" activePane="bottomLeft" state="frozen"/>
      <selection pane="bottomLeft" activeCell="D420" sqref="D420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2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2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2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2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2">
      <c r="B60" s="15"/>
    </row>
    <row r="61" spans="1:12" x14ac:dyDescent="0.2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2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2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2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2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2">
      <c r="B89" s="15"/>
    </row>
    <row r="90" spans="1:12" x14ac:dyDescent="0.2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2">
      <c r="B121" s="15"/>
    </row>
    <row r="122" spans="1:12" x14ac:dyDescent="0.2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2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2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2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2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2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2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2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2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2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2">
      <c r="A152" s="9"/>
      <c r="B152" s="10"/>
      <c r="C152" s="10"/>
      <c r="E152" s="14"/>
      <c r="F152" s="16"/>
    </row>
    <row r="153" spans="1:12" x14ac:dyDescent="0.2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2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2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2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2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2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2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2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2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2">
      <c r="B184" s="15"/>
    </row>
    <row r="185" spans="1:12" x14ac:dyDescent="0.2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2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2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2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2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2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2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2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2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2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2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2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2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2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2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2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2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2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2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2">
      <c r="A213" s="9"/>
      <c r="B213" s="15"/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2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2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2">
      <c r="E255" s="14"/>
      <c r="F255" s="1"/>
    </row>
    <row r="256" spans="1:12" x14ac:dyDescent="0.2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2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404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2" x14ac:dyDescent="0.2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2" x14ac:dyDescent="0.2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2" x14ac:dyDescent="0.2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2" x14ac:dyDescent="0.2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2" x14ac:dyDescent="0.2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405</v>
      </c>
    </row>
    <row r="294" spans="1:12" x14ac:dyDescent="0.2">
      <c r="A294" s="9" t="s">
        <v>11</v>
      </c>
      <c r="B294" s="31">
        <v>45082</v>
      </c>
      <c r="C294" s="25" t="s">
        <v>12</v>
      </c>
      <c r="D294" s="5">
        <v>50.09</v>
      </c>
      <c r="E294" s="14">
        <v>2229.2600000000002</v>
      </c>
      <c r="F294" s="16" t="s">
        <v>8</v>
      </c>
      <c r="G294" s="13">
        <f>AVERAGE(E295,E296)</f>
        <v>2221.9949999999999</v>
      </c>
      <c r="H294" s="18">
        <f>STDEV(E295,E296)</f>
        <v>1.0111626970966472</v>
      </c>
      <c r="I294" s="3">
        <v>2226.44</v>
      </c>
      <c r="J294" s="4">
        <f>I294-G294</f>
        <v>4.4450000000001637</v>
      </c>
      <c r="K294" s="5">
        <f>G294+J294</f>
        <v>2226.44</v>
      </c>
      <c r="L294" s="2" t="s">
        <v>94</v>
      </c>
    </row>
    <row r="295" spans="1:12" x14ac:dyDescent="0.2">
      <c r="A295" s="9" t="s">
        <v>11</v>
      </c>
      <c r="B295" s="31">
        <v>45082</v>
      </c>
      <c r="C295" s="10" t="s">
        <v>12</v>
      </c>
      <c r="D295" s="5">
        <v>50.52</v>
      </c>
      <c r="E295" s="5">
        <v>2221.2800000000002</v>
      </c>
      <c r="F295" s="16" t="s">
        <v>9</v>
      </c>
    </row>
    <row r="296" spans="1:12" x14ac:dyDescent="0.2">
      <c r="A296" s="9" t="s">
        <v>11</v>
      </c>
      <c r="B296" s="31">
        <v>45082</v>
      </c>
      <c r="C296" s="10" t="s">
        <v>12</v>
      </c>
      <c r="D296" s="5">
        <v>50.23</v>
      </c>
      <c r="E296" s="5">
        <v>2222.71</v>
      </c>
      <c r="F296" s="17" t="s">
        <v>96</v>
      </c>
    </row>
    <row r="297" spans="1:12" x14ac:dyDescent="0.2">
      <c r="A297" s="9" t="s">
        <v>11</v>
      </c>
      <c r="B297" s="31">
        <v>45082</v>
      </c>
      <c r="C297" s="10" t="s">
        <v>12</v>
      </c>
      <c r="D297" s="5">
        <v>50.19</v>
      </c>
      <c r="E297" s="5">
        <v>2675.99</v>
      </c>
      <c r="F297" s="32" t="s">
        <v>253</v>
      </c>
      <c r="G297" s="13">
        <f>AVERAGE(E297,E299)</f>
        <v>2678.7150000000001</v>
      </c>
      <c r="H297" s="18">
        <f>STDEV(E297,E299)</f>
        <v>3.8537319574668771</v>
      </c>
      <c r="K297" s="5">
        <f>G297+$J$294</f>
        <v>2683.1600000000003</v>
      </c>
    </row>
    <row r="298" spans="1:12" x14ac:dyDescent="0.2">
      <c r="A298" s="9" t="s">
        <v>11</v>
      </c>
      <c r="B298" s="31">
        <v>45082</v>
      </c>
      <c r="C298" s="10" t="s">
        <v>12</v>
      </c>
      <c r="D298" s="5">
        <v>49.27</v>
      </c>
      <c r="E298" s="14">
        <v>2689.84</v>
      </c>
      <c r="F298" s="32" t="s">
        <v>254</v>
      </c>
    </row>
    <row r="299" spans="1:12" x14ac:dyDescent="0.2">
      <c r="A299" s="9" t="s">
        <v>11</v>
      </c>
      <c r="B299" s="31">
        <v>45082</v>
      </c>
      <c r="C299" s="10" t="s">
        <v>12</v>
      </c>
      <c r="D299" s="5">
        <v>50.54</v>
      </c>
      <c r="E299" s="5">
        <v>2681.44</v>
      </c>
      <c r="F299" s="32" t="s">
        <v>263</v>
      </c>
    </row>
    <row r="300" spans="1:12" x14ac:dyDescent="0.2">
      <c r="A300" s="9" t="s">
        <v>11</v>
      </c>
      <c r="B300" s="31">
        <v>45082</v>
      </c>
      <c r="C300" s="10" t="s">
        <v>12</v>
      </c>
      <c r="D300" s="5">
        <v>50.97</v>
      </c>
      <c r="E300" s="5">
        <v>2763.97</v>
      </c>
      <c r="F300" s="32" t="s">
        <v>255</v>
      </c>
      <c r="G300" s="13">
        <f>AVERAGE(E300,E302)</f>
        <v>2763.52</v>
      </c>
      <c r="H300" s="18">
        <f>STDEV(E300,E302)</f>
        <v>0.6363961030676355</v>
      </c>
      <c r="K300" s="5">
        <f>G300+$J$294</f>
        <v>2767.9650000000001</v>
      </c>
    </row>
    <row r="301" spans="1:12" x14ac:dyDescent="0.2">
      <c r="A301" s="9" t="s">
        <v>11</v>
      </c>
      <c r="B301" s="31">
        <v>45082</v>
      </c>
      <c r="C301" s="10" t="s">
        <v>12</v>
      </c>
      <c r="D301" s="5">
        <v>51.25</v>
      </c>
      <c r="E301" s="14">
        <v>2775.93</v>
      </c>
      <c r="F301" s="32" t="s">
        <v>256</v>
      </c>
    </row>
    <row r="302" spans="1:12" x14ac:dyDescent="0.2">
      <c r="A302" s="9" t="s">
        <v>11</v>
      </c>
      <c r="B302" s="31">
        <v>45082</v>
      </c>
      <c r="C302" s="10" t="s">
        <v>12</v>
      </c>
      <c r="D302" s="5">
        <v>50.53</v>
      </c>
      <c r="E302" s="5">
        <v>2763.07</v>
      </c>
      <c r="F302" s="32" t="s">
        <v>257</v>
      </c>
    </row>
    <row r="303" spans="1:12" x14ac:dyDescent="0.2">
      <c r="A303" s="9" t="s">
        <v>11</v>
      </c>
      <c r="B303" s="31">
        <v>45082</v>
      </c>
      <c r="C303" s="10" t="s">
        <v>12</v>
      </c>
      <c r="D303" s="5">
        <v>50.84</v>
      </c>
      <c r="E303" s="14">
        <v>2677.87</v>
      </c>
      <c r="F303" s="32" t="s">
        <v>258</v>
      </c>
      <c r="G303" s="13">
        <f>AVERAGE(E304:E305)</f>
        <v>2660.46</v>
      </c>
      <c r="H303" s="18">
        <f>STDEV(E304:E305)</f>
        <v>0.4525483399596219</v>
      </c>
      <c r="K303" s="5">
        <f>G303+$J$294</f>
        <v>2664.9050000000002</v>
      </c>
    </row>
    <row r="304" spans="1:12" x14ac:dyDescent="0.2">
      <c r="A304" s="9" t="s">
        <v>11</v>
      </c>
      <c r="B304" s="31">
        <v>45082</v>
      </c>
      <c r="C304" s="10" t="s">
        <v>12</v>
      </c>
      <c r="D304" s="5">
        <v>51.25</v>
      </c>
      <c r="E304" s="5">
        <v>2660.78</v>
      </c>
      <c r="F304" s="32" t="s">
        <v>259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50.59</v>
      </c>
      <c r="E305" s="5">
        <v>2660.14</v>
      </c>
      <c r="F305" s="32" t="s">
        <v>260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48.28</v>
      </c>
      <c r="E306" s="14">
        <v>2519.1799999999998</v>
      </c>
      <c r="F306" s="32" t="s">
        <v>264</v>
      </c>
      <c r="G306" s="13">
        <f>AVERAGE(E307:E308)</f>
        <v>2502.665</v>
      </c>
      <c r="H306" s="18">
        <f>STDEV(E307:E308)</f>
        <v>0.27577164466298504</v>
      </c>
      <c r="K306" s="5">
        <f>G306+$J$294</f>
        <v>2507.11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50.97</v>
      </c>
      <c r="E307" s="5">
        <v>2502.86</v>
      </c>
      <c r="F307" s="32" t="s">
        <v>265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50.3</v>
      </c>
      <c r="E308" s="5">
        <v>2502.4699999999998</v>
      </c>
      <c r="F308" s="32" t="s">
        <v>266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50.71</v>
      </c>
      <c r="E309" s="14">
        <v>2568.89</v>
      </c>
      <c r="F309" s="32" t="s">
        <v>267</v>
      </c>
      <c r="G309" s="13">
        <f>AVERAGE(E310:E311)</f>
        <v>2556.1350000000002</v>
      </c>
      <c r="H309" s="18">
        <f>STDEV(E310:E311)</f>
        <v>0.91216774773094211</v>
      </c>
      <c r="K309" s="5">
        <f>G309+$J$294</f>
        <v>2560.5800000000004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51.81</v>
      </c>
      <c r="E310" s="5">
        <v>2555.4899999999998</v>
      </c>
      <c r="F310" s="32" t="s">
        <v>268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50</v>
      </c>
      <c r="E311" s="5">
        <v>2556.7800000000002</v>
      </c>
      <c r="F311" s="32" t="s">
        <v>269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48.63</v>
      </c>
      <c r="E312" s="14">
        <v>2560.79</v>
      </c>
      <c r="F312" s="32" t="s">
        <v>270</v>
      </c>
      <c r="G312" s="13">
        <f>AVERAGE(E313,E314)</f>
        <v>2547.31</v>
      </c>
      <c r="H312" s="13">
        <f>STDEV(E313,E314)</f>
        <v>1.8809040379561135</v>
      </c>
      <c r="K312" s="5">
        <f>G312+$J$294</f>
        <v>2551.7550000000001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51.07</v>
      </c>
      <c r="E313" s="5">
        <v>2545.98</v>
      </c>
      <c r="F313" s="32" t="s">
        <v>271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50.71</v>
      </c>
      <c r="E314" s="5">
        <v>2548.64</v>
      </c>
      <c r="F314" s="32" t="s">
        <v>406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51.27</v>
      </c>
      <c r="E315" s="14">
        <v>2585.0100000000002</v>
      </c>
      <c r="F315" s="32" t="s">
        <v>272</v>
      </c>
      <c r="G315" s="13">
        <f>AVERAGE(E316:E317)</f>
        <v>2604.0349999999999</v>
      </c>
      <c r="H315" s="18">
        <f>STDEV(E316:E317)</f>
        <v>6.3639610306892178E-2</v>
      </c>
      <c r="K315" s="5">
        <f>G315+$J$294</f>
        <v>2608.48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49.07</v>
      </c>
      <c r="E316" s="5">
        <v>2603.9899999999998</v>
      </c>
      <c r="F316" s="32" t="s">
        <v>273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48.74</v>
      </c>
      <c r="E317" s="5">
        <v>2604.08</v>
      </c>
      <c r="F317" s="32" t="s">
        <v>274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50.99</v>
      </c>
      <c r="E318" s="14">
        <v>2658.15</v>
      </c>
      <c r="F318" s="32" t="s">
        <v>275</v>
      </c>
      <c r="G318" s="13">
        <f>AVERAGE(E319:E320)</f>
        <v>2646.86</v>
      </c>
      <c r="H318" s="18">
        <f>STDEV(E319:E320)</f>
        <v>2.3617366491631717</v>
      </c>
      <c r="K318" s="5">
        <f>G318+$J$294</f>
        <v>2651.3050000000003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50.89</v>
      </c>
      <c r="E319" s="5">
        <v>2645.19</v>
      </c>
      <c r="F319" s="32" t="s">
        <v>276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49.61</v>
      </c>
      <c r="E320" s="5">
        <v>2648.53</v>
      </c>
      <c r="F320" s="32" t="s">
        <v>277</v>
      </c>
    </row>
    <row r="321" spans="1:12" x14ac:dyDescent="0.2">
      <c r="A321" s="9" t="s">
        <v>11</v>
      </c>
      <c r="B321" s="31">
        <v>45082</v>
      </c>
      <c r="C321" s="10" t="s">
        <v>12</v>
      </c>
      <c r="D321" s="5">
        <v>48.94</v>
      </c>
      <c r="E321" s="5">
        <v>2614.2199999999998</v>
      </c>
      <c r="F321" s="32" t="s">
        <v>278</v>
      </c>
      <c r="G321" s="13">
        <f>AVERAGE(E321:E322)</f>
        <v>2612.37</v>
      </c>
      <c r="H321" s="18">
        <f>STDEV(E321:E322)</f>
        <v>2.6162950903900972</v>
      </c>
      <c r="K321" s="5">
        <f>G321+$J$294</f>
        <v>2616.8150000000001</v>
      </c>
    </row>
    <row r="322" spans="1:12" x14ac:dyDescent="0.2">
      <c r="A322" s="9" t="s">
        <v>11</v>
      </c>
      <c r="B322" s="31">
        <v>45082</v>
      </c>
      <c r="C322" s="10" t="s">
        <v>12</v>
      </c>
      <c r="D322" s="5">
        <v>50.77</v>
      </c>
      <c r="E322" s="5">
        <v>2610.52</v>
      </c>
      <c r="F322" s="32" t="s">
        <v>279</v>
      </c>
    </row>
    <row r="323" spans="1:12" x14ac:dyDescent="0.2">
      <c r="A323" s="9" t="s">
        <v>11</v>
      </c>
      <c r="B323" s="31">
        <v>45082</v>
      </c>
      <c r="C323" s="10" t="s">
        <v>12</v>
      </c>
      <c r="D323" s="5">
        <v>52.43</v>
      </c>
      <c r="E323" s="5">
        <v>2530.13</v>
      </c>
      <c r="F323" s="32" t="s">
        <v>280</v>
      </c>
      <c r="G323" s="13">
        <f>AVERAGE(E323:E324)</f>
        <v>2528.3500000000004</v>
      </c>
      <c r="H323" s="18">
        <f>STDEV(E323:E324)</f>
        <v>2.5173001410240707</v>
      </c>
      <c r="K323" s="5">
        <f>G323+$J$294</f>
        <v>2532.7950000000005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49.17</v>
      </c>
      <c r="E324" s="5">
        <v>2526.5700000000002</v>
      </c>
      <c r="F324" s="32" t="s">
        <v>281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50.31</v>
      </c>
      <c r="E325" s="5">
        <v>2623.15</v>
      </c>
      <c r="F325" s="32" t="s">
        <v>282</v>
      </c>
      <c r="G325" s="13">
        <f>AVERAGE(E325:E326)</f>
        <v>2622.16</v>
      </c>
      <c r="H325" s="18">
        <f>STDEV(E325:E326)</f>
        <v>1.400071426749377</v>
      </c>
      <c r="K325" s="5">
        <f>G325+$J$294</f>
        <v>2626.605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51.67</v>
      </c>
      <c r="E326" s="5">
        <v>2621.17</v>
      </c>
      <c r="F326" s="32" t="s">
        <v>283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50.42</v>
      </c>
      <c r="E327" s="14">
        <v>2585.75</v>
      </c>
      <c r="F327" s="32" t="s">
        <v>284</v>
      </c>
      <c r="G327" s="13">
        <f>AVERAGE(E328:E329)</f>
        <v>2575.38</v>
      </c>
      <c r="H327" s="18">
        <f>STDEV(E328:E329)</f>
        <v>4.2426406871192848</v>
      </c>
      <c r="K327" s="5">
        <f>G327+$J$294</f>
        <v>2579.8250000000003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50.63</v>
      </c>
      <c r="E328" s="5">
        <v>2572.38</v>
      </c>
      <c r="F328" s="32" t="s">
        <v>285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49.19</v>
      </c>
      <c r="E329" s="5">
        <v>2578.38</v>
      </c>
      <c r="F329" s="32" t="s">
        <v>286</v>
      </c>
    </row>
    <row r="330" spans="1:12" x14ac:dyDescent="0.2">
      <c r="C330" s="10"/>
    </row>
    <row r="331" spans="1:12" x14ac:dyDescent="0.2">
      <c r="A331" s="9" t="s">
        <v>11</v>
      </c>
      <c r="B331" s="31">
        <v>45083</v>
      </c>
      <c r="C331" s="25" t="s">
        <v>12</v>
      </c>
      <c r="D331" s="5">
        <v>50.52</v>
      </c>
      <c r="E331" s="14">
        <v>2219.19</v>
      </c>
      <c r="F331" s="16" t="s">
        <v>8</v>
      </c>
      <c r="G331" s="13">
        <f>AVERAGE(E332:E333)</f>
        <v>2238.3050000000003</v>
      </c>
      <c r="H331" s="18">
        <f>STDEV(E332:E333)</f>
        <v>2.8637824638053244</v>
      </c>
      <c r="I331" s="3">
        <v>2226.44</v>
      </c>
      <c r="J331" s="4">
        <f>I331-G331</f>
        <v>-11.865000000000236</v>
      </c>
      <c r="K331" s="5">
        <f>G331+J331</f>
        <v>2226.44</v>
      </c>
      <c r="L331" s="2" t="s">
        <v>94</v>
      </c>
    </row>
    <row r="332" spans="1:12" x14ac:dyDescent="0.2">
      <c r="A332" s="9" t="s">
        <v>11</v>
      </c>
      <c r="B332" s="31">
        <v>45083</v>
      </c>
      <c r="C332" s="10" t="s">
        <v>12</v>
      </c>
      <c r="D332" s="5">
        <v>48.27</v>
      </c>
      <c r="E332" s="5">
        <v>2236.2800000000002</v>
      </c>
      <c r="F332" s="16" t="s">
        <v>9</v>
      </c>
    </row>
    <row r="333" spans="1:12" x14ac:dyDescent="0.2">
      <c r="A333" s="9" t="s">
        <v>11</v>
      </c>
      <c r="B333" s="31">
        <v>45083</v>
      </c>
      <c r="C333" s="10" t="s">
        <v>12</v>
      </c>
      <c r="D333" s="5">
        <v>50.04</v>
      </c>
      <c r="E333" s="5">
        <v>2240.33</v>
      </c>
      <c r="F333" s="17" t="s">
        <v>96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48.96</v>
      </c>
      <c r="E334" s="5">
        <v>2601.0100000000002</v>
      </c>
      <c r="F334" s="32" t="s">
        <v>287</v>
      </c>
      <c r="G334" s="13">
        <f>AVERAGE(E334:E335)</f>
        <v>2601.6750000000002</v>
      </c>
      <c r="H334" s="18">
        <f>STDEV(E334:E335)</f>
        <v>0.94045201897805675</v>
      </c>
      <c r="K334" s="5">
        <f>G334+$J$294</f>
        <v>2606.1200000000003</v>
      </c>
    </row>
    <row r="335" spans="1:12" x14ac:dyDescent="0.2">
      <c r="A335" s="9" t="s">
        <v>11</v>
      </c>
      <c r="B335" s="31">
        <v>45082</v>
      </c>
      <c r="C335" s="10" t="s">
        <v>12</v>
      </c>
      <c r="D335" s="5">
        <v>52.01</v>
      </c>
      <c r="E335" s="5">
        <v>2602.34</v>
      </c>
      <c r="F335" s="32" t="s">
        <v>288</v>
      </c>
    </row>
    <row r="336" spans="1:12" x14ac:dyDescent="0.2">
      <c r="A336" s="9" t="s">
        <v>11</v>
      </c>
      <c r="B336" s="31">
        <v>45082</v>
      </c>
      <c r="C336" s="10" t="s">
        <v>12</v>
      </c>
      <c r="D336" s="5">
        <v>50.22</v>
      </c>
      <c r="E336" s="14">
        <v>2534.11</v>
      </c>
      <c r="F336" s="32" t="s">
        <v>289</v>
      </c>
      <c r="G336" s="18">
        <f>AVERAGE(E337:E338)</f>
        <v>2582.8850000000002</v>
      </c>
      <c r="H336" s="18">
        <f>STDEV(E337:E338)</f>
        <v>9.1923881554006784E-2</v>
      </c>
      <c r="K336" s="5">
        <f>G336+$J$294</f>
        <v>2587.3300000000004</v>
      </c>
    </row>
    <row r="337" spans="1:11" x14ac:dyDescent="0.2">
      <c r="A337" s="9" t="s">
        <v>11</v>
      </c>
      <c r="B337" s="31">
        <v>45082</v>
      </c>
      <c r="C337" s="10" t="s">
        <v>12</v>
      </c>
      <c r="D337" s="5">
        <v>49.96</v>
      </c>
      <c r="E337" s="5">
        <v>2582.9499999999998</v>
      </c>
      <c r="F337" s="32" t="s">
        <v>290</v>
      </c>
    </row>
    <row r="338" spans="1:11" x14ac:dyDescent="0.2">
      <c r="A338" s="9" t="s">
        <v>11</v>
      </c>
      <c r="B338" s="31">
        <v>45082</v>
      </c>
      <c r="C338" s="10" t="s">
        <v>12</v>
      </c>
      <c r="D338" s="5">
        <v>49.71</v>
      </c>
      <c r="E338" s="5">
        <v>2582.8200000000002</v>
      </c>
      <c r="F338" s="32" t="s">
        <v>407</v>
      </c>
    </row>
    <row r="339" spans="1:11" x14ac:dyDescent="0.2">
      <c r="A339" s="9" t="s">
        <v>11</v>
      </c>
      <c r="B339" s="31">
        <v>45082</v>
      </c>
      <c r="C339" s="10" t="s">
        <v>12</v>
      </c>
      <c r="D339" s="5">
        <v>49.6</v>
      </c>
      <c r="E339" s="5">
        <v>2562.94</v>
      </c>
      <c r="F339" s="32" t="s">
        <v>291</v>
      </c>
      <c r="G339" s="13">
        <f>AVERAGE(E339:E340)</f>
        <v>2555.1149999999998</v>
      </c>
      <c r="H339" s="18">
        <f>STDEV(E339,E341)</f>
        <v>2.9698484809833712</v>
      </c>
      <c r="K339" s="5">
        <f>G339+$J$294</f>
        <v>2559.56</v>
      </c>
    </row>
    <row r="340" spans="1:11" x14ac:dyDescent="0.2">
      <c r="A340" s="9" t="s">
        <v>11</v>
      </c>
      <c r="B340" s="31">
        <v>45082</v>
      </c>
      <c r="C340" s="10" t="s">
        <v>12</v>
      </c>
      <c r="D340" s="5">
        <v>52</v>
      </c>
      <c r="E340" s="14">
        <v>2547.29</v>
      </c>
      <c r="F340" s="32" t="s">
        <v>292</v>
      </c>
    </row>
    <row r="341" spans="1:11" x14ac:dyDescent="0.2">
      <c r="A341" s="9" t="s">
        <v>11</v>
      </c>
      <c r="B341" s="31">
        <v>45082</v>
      </c>
      <c r="C341" s="10" t="s">
        <v>12</v>
      </c>
      <c r="D341" s="5">
        <v>49.79</v>
      </c>
      <c r="E341" s="5">
        <v>2567.14</v>
      </c>
      <c r="F341" s="32" t="s">
        <v>293</v>
      </c>
    </row>
    <row r="342" spans="1:11" x14ac:dyDescent="0.2">
      <c r="A342" s="9" t="s">
        <v>11</v>
      </c>
      <c r="B342" s="31">
        <v>45082</v>
      </c>
      <c r="C342" s="10" t="s">
        <v>12</v>
      </c>
      <c r="D342" s="5">
        <v>51.18</v>
      </c>
      <c r="E342" s="14">
        <v>2589.9299999999998</v>
      </c>
      <c r="F342" s="32" t="s">
        <v>294</v>
      </c>
      <c r="G342" s="13">
        <f>AVERAGE(E343:E344)</f>
        <v>2580.4549999999999</v>
      </c>
      <c r="H342" s="18">
        <f>STDEV(E343:E344)</f>
        <v>1.3788582233136391</v>
      </c>
      <c r="K342" s="5">
        <f>G342+$J$294</f>
        <v>2584.9</v>
      </c>
    </row>
    <row r="343" spans="1:11" x14ac:dyDescent="0.2">
      <c r="A343" s="9" t="s">
        <v>11</v>
      </c>
      <c r="B343" s="31">
        <v>45082</v>
      </c>
      <c r="C343" s="10" t="s">
        <v>12</v>
      </c>
      <c r="D343" s="5">
        <v>50.87</v>
      </c>
      <c r="E343" s="5">
        <v>2581.4299999999998</v>
      </c>
      <c r="F343" s="32" t="s">
        <v>295</v>
      </c>
    </row>
    <row r="344" spans="1:11" x14ac:dyDescent="0.2">
      <c r="A344" s="9" t="s">
        <v>11</v>
      </c>
      <c r="B344" s="31">
        <v>45082</v>
      </c>
      <c r="C344" s="10" t="s">
        <v>12</v>
      </c>
      <c r="D344" s="5">
        <v>49.3</v>
      </c>
      <c r="E344" s="5">
        <v>2579.48</v>
      </c>
      <c r="F344" s="32" t="s">
        <v>296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51.48</v>
      </c>
      <c r="E345" s="5">
        <v>2583.7800000000002</v>
      </c>
      <c r="F345" s="32" t="s">
        <v>297</v>
      </c>
      <c r="G345" s="13">
        <f>AVERAGE(E345:E346)</f>
        <v>2581.6000000000004</v>
      </c>
      <c r="H345" s="18">
        <f>STDEV(E345:E346)</f>
        <v>3.0829855659734373</v>
      </c>
      <c r="K345" s="5">
        <f>G345+$J$331</f>
        <v>2569.7350000000001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50.77</v>
      </c>
      <c r="E346" s="5">
        <v>2579.42</v>
      </c>
      <c r="F346" s="32" t="s">
        <v>298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50.57</v>
      </c>
      <c r="E347" s="5">
        <v>2526.5100000000002</v>
      </c>
      <c r="F347" s="32" t="s">
        <v>299</v>
      </c>
      <c r="G347" s="13">
        <f>AVERAGE(E347:E348)</f>
        <v>2524.2700000000004</v>
      </c>
      <c r="H347" s="18">
        <f>STDEV(E347:E348)</f>
        <v>3.1678383797157457</v>
      </c>
      <c r="K347" s="5">
        <f>G347+$J$331</f>
        <v>2512.4050000000002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50.2</v>
      </c>
      <c r="E348" s="5">
        <v>2522.0300000000002</v>
      </c>
      <c r="F348" s="32" t="s">
        <v>300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51.23</v>
      </c>
      <c r="E349" s="5">
        <v>2528.85</v>
      </c>
      <c r="F349" s="32" t="s">
        <v>301</v>
      </c>
      <c r="G349" s="13">
        <f>AVERAGE(E349,E351)</f>
        <v>2527.4899999999998</v>
      </c>
      <c r="H349" s="18">
        <f>STDEV(E349,E351)</f>
        <v>1.9233304448272679</v>
      </c>
      <c r="K349" s="5">
        <f>G349+$J$331</f>
        <v>2515.6249999999995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50.45</v>
      </c>
      <c r="E350" s="14">
        <v>2487.25</v>
      </c>
      <c r="F350" s="32" t="s">
        <v>302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50.72</v>
      </c>
      <c r="E351" s="5">
        <v>2526.13</v>
      </c>
      <c r="F351" s="32" t="s">
        <v>408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49.24</v>
      </c>
      <c r="E352" s="5">
        <v>2442.25</v>
      </c>
      <c r="F352" s="32" t="s">
        <v>303</v>
      </c>
      <c r="G352" s="13">
        <f>AVERAGE(E352:E353)</f>
        <v>2443.69</v>
      </c>
      <c r="H352" s="18">
        <f>STDEV(E352:E353)</f>
        <v>2.036467529817334</v>
      </c>
      <c r="K352" s="5">
        <f>G352+$J$331</f>
        <v>2431.8249999999998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50.38</v>
      </c>
      <c r="E353" s="5">
        <v>2445.13</v>
      </c>
      <c r="F353" s="32" t="s">
        <v>304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50.66</v>
      </c>
      <c r="E354" s="5">
        <v>2465.79</v>
      </c>
      <c r="F354" s="32" t="s">
        <v>305</v>
      </c>
      <c r="G354" s="13">
        <f>AVERAGE(E354,E356)</f>
        <v>2464.0450000000001</v>
      </c>
      <c r="H354" s="18">
        <f>STDEV(E354,E356)</f>
        <v>2.4678026663408965</v>
      </c>
      <c r="K354" s="5">
        <f>G354+$J$331</f>
        <v>2452.1799999999998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50.38</v>
      </c>
      <c r="E355" s="14">
        <v>2473.2600000000002</v>
      </c>
      <c r="F355" s="32" t="s">
        <v>306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49.58</v>
      </c>
      <c r="E356" s="5">
        <v>2462.3000000000002</v>
      </c>
      <c r="F356" s="32" t="s">
        <v>307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48.57</v>
      </c>
      <c r="E357" s="5">
        <v>2592.0100000000002</v>
      </c>
      <c r="F357" s="32" t="s">
        <v>308</v>
      </c>
      <c r="G357" s="13">
        <f>AVERAGE(E358,E359)</f>
        <v>2479.8000000000002</v>
      </c>
      <c r="H357" s="18">
        <f>STDEV(E358,E359)</f>
        <v>3.2385490578343363</v>
      </c>
      <c r="K357" s="5">
        <f>G357+$J$331</f>
        <v>2467.9349999999999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48.07</v>
      </c>
      <c r="E358" s="5">
        <v>2477.5100000000002</v>
      </c>
      <c r="F358" s="32" t="s">
        <v>309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51.58</v>
      </c>
      <c r="E359" s="5">
        <v>2482.09</v>
      </c>
      <c r="F359" s="32" t="s">
        <v>409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49.59</v>
      </c>
      <c r="E360" s="5">
        <v>2471.12</v>
      </c>
      <c r="F360" s="32" t="s">
        <v>310</v>
      </c>
      <c r="G360" s="13">
        <f>AVERAGE(E360,E362)</f>
        <v>2473.2049999999999</v>
      </c>
      <c r="H360" s="18">
        <f>STDEV(E360,E362)</f>
        <v>2.9486352775479547</v>
      </c>
      <c r="K360" s="5">
        <f>G360+$J$331</f>
        <v>2461.3399999999997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49.61</v>
      </c>
      <c r="E361" s="14">
        <v>2442.16</v>
      </c>
      <c r="F361" s="32" t="s">
        <v>311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50.11</v>
      </c>
      <c r="E362" s="5">
        <v>2475.29</v>
      </c>
      <c r="F362" s="33" t="s">
        <v>312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50.48</v>
      </c>
      <c r="E363" s="14">
        <v>2497.66</v>
      </c>
      <c r="F363" s="32" t="s">
        <v>313</v>
      </c>
      <c r="G363" s="13">
        <f>AVERAGE(E364:E365)</f>
        <v>2475.91</v>
      </c>
      <c r="H363" s="18">
        <f>STDEV(E364:E365)</f>
        <v>1.5980613254814302</v>
      </c>
      <c r="K363" s="5">
        <f>G363+$J$331</f>
        <v>2464.0449999999996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51.38</v>
      </c>
      <c r="E364" s="5">
        <v>2474.7800000000002</v>
      </c>
      <c r="F364" s="32" t="s">
        <v>314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50.49</v>
      </c>
      <c r="E365" s="5">
        <v>2477.04</v>
      </c>
      <c r="F365" s="32" t="s">
        <v>410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50.73</v>
      </c>
      <c r="E366" s="5">
        <v>2478.58</v>
      </c>
      <c r="F366" s="32" t="s">
        <v>315</v>
      </c>
      <c r="G366" s="13">
        <f>AVERAGE(E366,E368)</f>
        <v>2481.125</v>
      </c>
      <c r="H366" s="18">
        <f>STDEV(E366,E368)</f>
        <v>3.5991735162396297</v>
      </c>
      <c r="K366" s="5">
        <f>G366+$J$331</f>
        <v>2469.2599999999998</v>
      </c>
    </row>
    <row r="367" spans="1:11" x14ac:dyDescent="0.2">
      <c r="A367" s="9" t="s">
        <v>11</v>
      </c>
      <c r="B367" s="31">
        <v>45083</v>
      </c>
      <c r="C367" s="10" t="s">
        <v>12</v>
      </c>
      <c r="D367" s="5">
        <v>48.76</v>
      </c>
      <c r="E367" s="14">
        <v>2462.1799999999998</v>
      </c>
      <c r="F367" s="32" t="s">
        <v>316</v>
      </c>
    </row>
    <row r="368" spans="1:11" x14ac:dyDescent="0.2">
      <c r="A368" s="9" t="s">
        <v>11</v>
      </c>
      <c r="B368" s="31">
        <v>45083</v>
      </c>
      <c r="C368" s="10" t="s">
        <v>12</v>
      </c>
      <c r="D368" s="5">
        <v>49.49</v>
      </c>
      <c r="E368" s="5">
        <v>2483.67</v>
      </c>
      <c r="F368" s="32" t="s">
        <v>317</v>
      </c>
    </row>
    <row r="369" spans="1:11" x14ac:dyDescent="0.2">
      <c r="A369" s="9" t="s">
        <v>11</v>
      </c>
      <c r="B369" s="31">
        <v>45083</v>
      </c>
      <c r="C369" s="10" t="s">
        <v>12</v>
      </c>
      <c r="D369" s="5">
        <v>49.57</v>
      </c>
      <c r="E369" s="5">
        <v>2419.6799999999998</v>
      </c>
      <c r="F369" s="32" t="s">
        <v>318</v>
      </c>
      <c r="G369" s="13">
        <f>AVERAGE(E369:E370)</f>
        <v>2421.96</v>
      </c>
      <c r="H369" s="18">
        <f>STDEV(E369:E370)</f>
        <v>3.2244069222106182</v>
      </c>
      <c r="K369" s="5">
        <f>G369+$J$331</f>
        <v>2410.0949999999998</v>
      </c>
    </row>
    <row r="370" spans="1:11" x14ac:dyDescent="0.2">
      <c r="A370" s="9" t="s">
        <v>11</v>
      </c>
      <c r="B370" s="31">
        <v>45083</v>
      </c>
      <c r="C370" s="10" t="s">
        <v>12</v>
      </c>
      <c r="D370" s="5">
        <v>49.37</v>
      </c>
      <c r="E370" s="5">
        <v>2424.2399999999998</v>
      </c>
      <c r="F370" s="32" t="s">
        <v>319</v>
      </c>
    </row>
    <row r="371" spans="1:11" x14ac:dyDescent="0.2">
      <c r="A371" s="9" t="s">
        <v>11</v>
      </c>
      <c r="B371" s="31">
        <v>45083</v>
      </c>
      <c r="C371" s="10" t="s">
        <v>12</v>
      </c>
      <c r="D371" s="5">
        <v>48.39</v>
      </c>
      <c r="E371" s="5">
        <v>2487.91</v>
      </c>
      <c r="F371" s="32" t="s">
        <v>320</v>
      </c>
      <c r="G371" s="13">
        <f>AVERAGE(E371,E373)</f>
        <v>2488.9749999999999</v>
      </c>
      <c r="H371" s="18">
        <f>STDEV(E371,E373)</f>
        <v>1.5061374439274233</v>
      </c>
      <c r="K371" s="5">
        <f>G371+$J$331</f>
        <v>2477.1099999999997</v>
      </c>
    </row>
    <row r="372" spans="1:11" x14ac:dyDescent="0.2">
      <c r="A372" s="9" t="s">
        <v>11</v>
      </c>
      <c r="B372" s="31">
        <v>45083</v>
      </c>
      <c r="C372" s="10" t="s">
        <v>12</v>
      </c>
      <c r="D372" s="5">
        <v>50.53</v>
      </c>
      <c r="E372" s="14">
        <v>2498.6999999999998</v>
      </c>
      <c r="F372" s="32" t="s">
        <v>321</v>
      </c>
    </row>
    <row r="373" spans="1:11" x14ac:dyDescent="0.2">
      <c r="A373" s="9" t="s">
        <v>11</v>
      </c>
      <c r="B373" s="31">
        <v>45083</v>
      </c>
      <c r="C373" s="10" t="s">
        <v>12</v>
      </c>
      <c r="D373" s="5">
        <v>50.24</v>
      </c>
      <c r="E373" s="5">
        <v>2490.04</v>
      </c>
      <c r="F373" s="32" t="s">
        <v>322</v>
      </c>
    </row>
    <row r="374" spans="1:11" x14ac:dyDescent="0.2">
      <c r="A374" s="9" t="s">
        <v>11</v>
      </c>
      <c r="B374" s="31">
        <v>45083</v>
      </c>
      <c r="C374" s="10" t="s">
        <v>12</v>
      </c>
      <c r="D374" s="5">
        <v>48.99</v>
      </c>
      <c r="E374" s="14">
        <v>2472.96</v>
      </c>
      <c r="F374" s="32" t="s">
        <v>323</v>
      </c>
      <c r="G374" s="13">
        <f>AVERAGE(E375:E376)</f>
        <v>2465.23</v>
      </c>
      <c r="H374" s="18">
        <f>STDEV(E375:E376)</f>
        <v>2.6587214972615731</v>
      </c>
      <c r="K374" s="5">
        <f>G374+$J$331</f>
        <v>2453.3649999999998</v>
      </c>
    </row>
    <row r="375" spans="1:11" x14ac:dyDescent="0.2">
      <c r="A375" s="9" t="s">
        <v>11</v>
      </c>
      <c r="B375" s="31">
        <v>45083</v>
      </c>
      <c r="C375" s="10" t="s">
        <v>12</v>
      </c>
      <c r="D375" s="5">
        <v>49.26</v>
      </c>
      <c r="E375" s="5">
        <v>2463.35</v>
      </c>
      <c r="F375" s="32" t="s">
        <v>324</v>
      </c>
    </row>
    <row r="376" spans="1:11" x14ac:dyDescent="0.2">
      <c r="A376" s="9" t="s">
        <v>11</v>
      </c>
      <c r="B376" s="31">
        <v>45083</v>
      </c>
      <c r="C376" s="10" t="s">
        <v>12</v>
      </c>
      <c r="D376" s="5">
        <v>49.75</v>
      </c>
      <c r="E376" s="5">
        <v>2467.11</v>
      </c>
      <c r="F376" s="32" t="s">
        <v>325</v>
      </c>
    </row>
    <row r="377" spans="1:11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5">
        <v>2557.1799999999998</v>
      </c>
      <c r="F377" s="32" t="s">
        <v>326</v>
      </c>
      <c r="G377" s="13">
        <f>AVERAGE(E377,E379)</f>
        <v>2554.3850000000002</v>
      </c>
      <c r="H377" s="18">
        <f>STDEV(E377,E379)</f>
        <v>3.9527269068325821</v>
      </c>
      <c r="K377" s="5">
        <f>G377+$J$394</f>
        <v>2557.395</v>
      </c>
    </row>
    <row r="378" spans="1:11" x14ac:dyDescent="0.2">
      <c r="A378" s="9" t="s">
        <v>11</v>
      </c>
      <c r="B378" s="31">
        <v>45084</v>
      </c>
      <c r="C378" s="10" t="s">
        <v>12</v>
      </c>
      <c r="D378" s="5">
        <v>49.71</v>
      </c>
      <c r="E378" s="14">
        <v>2569.42</v>
      </c>
      <c r="F378" s="32" t="s">
        <v>327</v>
      </c>
    </row>
    <row r="379" spans="1:11" x14ac:dyDescent="0.2">
      <c r="A379" s="9" t="s">
        <v>11</v>
      </c>
      <c r="B379" s="31">
        <v>45084</v>
      </c>
      <c r="C379" s="10" t="s">
        <v>12</v>
      </c>
      <c r="D379" s="5">
        <v>50.58</v>
      </c>
      <c r="E379" s="5">
        <v>2551.59</v>
      </c>
      <c r="F379" s="32" t="s">
        <v>328</v>
      </c>
    </row>
    <row r="380" spans="1:11" x14ac:dyDescent="0.2">
      <c r="A380" s="9" t="s">
        <v>11</v>
      </c>
      <c r="B380" s="31">
        <v>45084</v>
      </c>
      <c r="C380" s="10" t="s">
        <v>12</v>
      </c>
      <c r="D380" s="5">
        <v>49.55</v>
      </c>
      <c r="E380" s="5">
        <v>2526.6799999999998</v>
      </c>
      <c r="F380" s="32" t="s">
        <v>329</v>
      </c>
      <c r="G380" s="13">
        <f>AVERAGE(E380:E381)</f>
        <v>2528.5249999999996</v>
      </c>
      <c r="H380" s="18">
        <f>STDEV(E380:E381)</f>
        <v>2.6092240225783989</v>
      </c>
      <c r="K380" s="5">
        <f>G380+$J$394</f>
        <v>2531.5349999999994</v>
      </c>
    </row>
    <row r="381" spans="1:11" x14ac:dyDescent="0.2">
      <c r="A381" s="9" t="s">
        <v>11</v>
      </c>
      <c r="B381" s="31">
        <v>45084</v>
      </c>
      <c r="C381" s="10" t="s">
        <v>12</v>
      </c>
      <c r="D381" s="5">
        <v>50.17</v>
      </c>
      <c r="E381" s="5">
        <v>2530.37</v>
      </c>
      <c r="F381" s="32" t="s">
        <v>330</v>
      </c>
    </row>
    <row r="382" spans="1:11" x14ac:dyDescent="0.2">
      <c r="A382" s="9" t="s">
        <v>11</v>
      </c>
      <c r="B382" s="31">
        <v>45084</v>
      </c>
      <c r="C382" s="10" t="s">
        <v>12</v>
      </c>
      <c r="D382" s="5">
        <v>50.25</v>
      </c>
      <c r="E382" s="14">
        <v>2551.3000000000002</v>
      </c>
      <c r="F382" s="32" t="s">
        <v>331</v>
      </c>
      <c r="G382" s="13">
        <f>AVERAGE(E383:E384)</f>
        <v>2560.7350000000001</v>
      </c>
      <c r="H382" s="18">
        <f>STDEV(E383:E384)</f>
        <v>1.7041273426594767</v>
      </c>
      <c r="K382" s="5">
        <f>G382+$J$394</f>
        <v>2563.7449999999999</v>
      </c>
    </row>
    <row r="383" spans="1:11" x14ac:dyDescent="0.2">
      <c r="A383" s="9" t="s">
        <v>11</v>
      </c>
      <c r="B383" s="31">
        <v>45084</v>
      </c>
      <c r="C383" s="10" t="s">
        <v>12</v>
      </c>
      <c r="D383" s="5">
        <v>50.42</v>
      </c>
      <c r="E383" s="5">
        <v>2559.5300000000002</v>
      </c>
      <c r="F383" s="32" t="s">
        <v>332</v>
      </c>
    </row>
    <row r="384" spans="1:11" x14ac:dyDescent="0.2">
      <c r="A384" s="9" t="s">
        <v>11</v>
      </c>
      <c r="B384" s="31">
        <v>45084</v>
      </c>
      <c r="C384" s="10" t="s">
        <v>12</v>
      </c>
      <c r="D384" s="5">
        <v>51.75</v>
      </c>
      <c r="E384" s="5">
        <v>2561.94</v>
      </c>
      <c r="F384" s="32" t="s">
        <v>333</v>
      </c>
    </row>
    <row r="385" spans="1:12" x14ac:dyDescent="0.2">
      <c r="A385" s="9" t="s">
        <v>11</v>
      </c>
      <c r="B385" s="31">
        <v>45084</v>
      </c>
      <c r="C385" s="10" t="s">
        <v>12</v>
      </c>
      <c r="D385" s="5">
        <v>50.52</v>
      </c>
      <c r="E385" s="5">
        <v>2550.35</v>
      </c>
      <c r="F385" s="32" t="s">
        <v>334</v>
      </c>
      <c r="G385" s="13">
        <f>AVERAGE(E386:E386)</f>
        <v>2547.5500000000002</v>
      </c>
      <c r="H385" s="18">
        <f>STDEV(E385:E386)</f>
        <v>1.9798989873221402</v>
      </c>
      <c r="K385" s="5">
        <f>G385+$J$394</f>
        <v>2550.56</v>
      </c>
    </row>
    <row r="386" spans="1:12" x14ac:dyDescent="0.2">
      <c r="A386" s="9" t="s">
        <v>11</v>
      </c>
      <c r="B386" s="31">
        <v>45084</v>
      </c>
      <c r="C386" s="10" t="s">
        <v>12</v>
      </c>
      <c r="D386" s="5">
        <v>50.42</v>
      </c>
      <c r="E386" s="5">
        <v>2547.5500000000002</v>
      </c>
      <c r="F386" s="32" t="s">
        <v>335</v>
      </c>
    </row>
    <row r="387" spans="1:12" x14ac:dyDescent="0.2">
      <c r="A387" s="9" t="s">
        <v>11</v>
      </c>
      <c r="B387" s="31">
        <v>45084</v>
      </c>
      <c r="C387" s="10" t="s">
        <v>12</v>
      </c>
      <c r="D387" s="5">
        <v>49.88</v>
      </c>
      <c r="E387" s="14" t="s">
        <v>153</v>
      </c>
      <c r="F387" s="32" t="s">
        <v>336</v>
      </c>
      <c r="G387" s="13">
        <f>AVERAGE(E388:E389)</f>
        <v>2530.77</v>
      </c>
      <c r="H387" s="18">
        <f>STDEV(E388:E389)</f>
        <v>1.2869343417593107</v>
      </c>
      <c r="K387" s="5">
        <f>G387+$J$394</f>
        <v>2533.7799999999997</v>
      </c>
    </row>
    <row r="388" spans="1:12" x14ac:dyDescent="0.2">
      <c r="A388" s="9" t="s">
        <v>11</v>
      </c>
      <c r="B388" s="31">
        <v>45084</v>
      </c>
      <c r="C388" s="10" t="s">
        <v>12</v>
      </c>
      <c r="D388" s="5">
        <v>50.59</v>
      </c>
      <c r="E388" s="5">
        <v>2529.86</v>
      </c>
      <c r="F388" s="32" t="s">
        <v>337</v>
      </c>
    </row>
    <row r="389" spans="1:12" x14ac:dyDescent="0.2">
      <c r="A389" s="9" t="s">
        <v>11</v>
      </c>
      <c r="B389" s="31">
        <v>45084</v>
      </c>
      <c r="C389" s="10" t="s">
        <v>12</v>
      </c>
      <c r="D389" s="5">
        <v>50.92</v>
      </c>
      <c r="E389" s="5">
        <v>2531.6799999999998</v>
      </c>
      <c r="F389" s="32" t="s">
        <v>338</v>
      </c>
    </row>
    <row r="390" spans="1:12" x14ac:dyDescent="0.2">
      <c r="A390" s="9" t="s">
        <v>11</v>
      </c>
      <c r="B390" s="31">
        <v>45084</v>
      </c>
      <c r="C390" s="10" t="s">
        <v>12</v>
      </c>
      <c r="D390" s="5">
        <v>49.68</v>
      </c>
      <c r="E390" s="5">
        <v>2544.84</v>
      </c>
      <c r="F390" s="32" t="s">
        <v>339</v>
      </c>
      <c r="G390" s="13">
        <f>AVERAGE(E390,E392)</f>
        <v>2546.91</v>
      </c>
      <c r="H390" s="18">
        <f>STDEV(E390,E392)</f>
        <v>2.9274220741122168</v>
      </c>
      <c r="K390" s="5">
        <f>G390+$J$394</f>
        <v>2549.9199999999996</v>
      </c>
    </row>
    <row r="391" spans="1:12" x14ac:dyDescent="0.2">
      <c r="A391" s="9" t="s">
        <v>11</v>
      </c>
      <c r="B391" s="31">
        <v>45084</v>
      </c>
      <c r="C391" s="10" t="s">
        <v>12</v>
      </c>
      <c r="D391" s="5">
        <v>50.52</v>
      </c>
      <c r="E391" s="14">
        <v>2560.81</v>
      </c>
      <c r="F391" s="32" t="s">
        <v>340</v>
      </c>
    </row>
    <row r="392" spans="1:12" x14ac:dyDescent="0.2">
      <c r="A392" s="9" t="s">
        <v>11</v>
      </c>
      <c r="B392" s="31">
        <v>45084</v>
      </c>
      <c r="C392" s="10" t="s">
        <v>12</v>
      </c>
      <c r="D392" s="5">
        <v>51.62</v>
      </c>
      <c r="E392" s="5">
        <v>2548.98</v>
      </c>
      <c r="F392" s="32" t="s">
        <v>341</v>
      </c>
    </row>
    <row r="393" spans="1:12" x14ac:dyDescent="0.2">
      <c r="C393" s="10"/>
    </row>
    <row r="394" spans="1:12" x14ac:dyDescent="0.2">
      <c r="A394" s="9" t="s">
        <v>11</v>
      </c>
      <c r="B394" s="31">
        <v>45084</v>
      </c>
      <c r="C394" s="25" t="s">
        <v>12</v>
      </c>
      <c r="D394" s="14">
        <v>50.58</v>
      </c>
      <c r="E394" s="14">
        <v>2251.12</v>
      </c>
      <c r="F394" s="16" t="s">
        <v>8</v>
      </c>
      <c r="G394" s="13">
        <f>AVERAGE(E395:E396)</f>
        <v>2223.4300000000003</v>
      </c>
      <c r="H394" s="18">
        <f>STDEV(E395:E396)</f>
        <v>0.22627416997981095</v>
      </c>
      <c r="I394" s="3">
        <v>2226.44</v>
      </c>
      <c r="J394" s="4">
        <f>I394-G394</f>
        <v>3.0099999999997635</v>
      </c>
      <c r="K394" s="5">
        <f>G394+J394</f>
        <v>2226.44</v>
      </c>
      <c r="L394" s="2" t="s">
        <v>94</v>
      </c>
    </row>
    <row r="395" spans="1:12" x14ac:dyDescent="0.2">
      <c r="A395" s="9" t="s">
        <v>11</v>
      </c>
      <c r="B395" s="31">
        <v>45084</v>
      </c>
      <c r="C395" s="10" t="s">
        <v>12</v>
      </c>
      <c r="D395" s="5">
        <v>49.7</v>
      </c>
      <c r="E395" s="5">
        <v>2223.27</v>
      </c>
      <c r="F395" s="16" t="s">
        <v>9</v>
      </c>
    </row>
    <row r="396" spans="1:12" x14ac:dyDescent="0.2">
      <c r="A396" s="9" t="s">
        <v>11</v>
      </c>
      <c r="B396" s="31">
        <v>45084</v>
      </c>
      <c r="C396" s="10" t="s">
        <v>12</v>
      </c>
      <c r="D396" s="5">
        <v>48.62</v>
      </c>
      <c r="E396" s="5">
        <v>2223.59</v>
      </c>
      <c r="F396" s="17" t="s">
        <v>96</v>
      </c>
    </row>
    <row r="397" spans="1:12" x14ac:dyDescent="0.2">
      <c r="A397" s="9" t="s">
        <v>11</v>
      </c>
      <c r="B397" s="31">
        <v>45084</v>
      </c>
      <c r="C397" s="10" t="s">
        <v>12</v>
      </c>
      <c r="D397" s="5">
        <v>50.21</v>
      </c>
      <c r="E397" s="5">
        <v>2556.63</v>
      </c>
      <c r="F397" s="32" t="s">
        <v>342</v>
      </c>
      <c r="G397" s="13">
        <f>AVERAGE(E397:E398)</f>
        <v>2556.88</v>
      </c>
      <c r="H397" s="18">
        <f>STDEV(E397:E398)</f>
        <v>0.35355339059327379</v>
      </c>
      <c r="K397" s="5">
        <f>G397+$J$394</f>
        <v>2559.89</v>
      </c>
    </row>
    <row r="398" spans="1:12" x14ac:dyDescent="0.2">
      <c r="A398" s="9" t="s">
        <v>11</v>
      </c>
      <c r="B398" s="31">
        <v>45084</v>
      </c>
      <c r="C398" s="10" t="s">
        <v>12</v>
      </c>
      <c r="D398" s="5">
        <v>51.83</v>
      </c>
      <c r="E398" s="5">
        <v>2557.13</v>
      </c>
      <c r="F398" s="32" t="s">
        <v>343</v>
      </c>
    </row>
    <row r="399" spans="1:12" x14ac:dyDescent="0.2">
      <c r="A399" s="9" t="s">
        <v>11</v>
      </c>
      <c r="B399" s="31">
        <v>45084</v>
      </c>
      <c r="C399" s="10" t="s">
        <v>12</v>
      </c>
      <c r="D399" s="5">
        <v>49.33</v>
      </c>
      <c r="E399" s="5">
        <v>2576.39</v>
      </c>
      <c r="F399" s="32" t="s">
        <v>344</v>
      </c>
      <c r="G399" s="13">
        <f>AVERAGE(E399:E400)</f>
        <v>2575.5500000000002</v>
      </c>
      <c r="H399" s="18">
        <f>STDEV(E399:E400)</f>
        <v>1.1879393923932842</v>
      </c>
      <c r="K399" s="5">
        <f>G399+$J$394</f>
        <v>2578.56</v>
      </c>
    </row>
    <row r="400" spans="1:12" x14ac:dyDescent="0.2">
      <c r="A400" s="9" t="s">
        <v>11</v>
      </c>
      <c r="B400" s="31">
        <v>45084</v>
      </c>
      <c r="C400" s="10" t="s">
        <v>12</v>
      </c>
      <c r="D400" s="5">
        <v>51.19</v>
      </c>
      <c r="E400" s="5">
        <v>2574.71</v>
      </c>
      <c r="F400" s="32" t="s">
        <v>345</v>
      </c>
    </row>
    <row r="401" spans="1:11" x14ac:dyDescent="0.2">
      <c r="A401" s="9" t="s">
        <v>11</v>
      </c>
      <c r="B401" s="31">
        <v>45084</v>
      </c>
      <c r="C401" s="10" t="s">
        <v>12</v>
      </c>
      <c r="D401" s="5">
        <v>50.11</v>
      </c>
      <c r="E401" s="5">
        <v>2584.3000000000002</v>
      </c>
      <c r="F401" s="32" t="s">
        <v>346</v>
      </c>
      <c r="G401" s="13">
        <f>AVERAGE(E401:E402)</f>
        <v>2586.9949999999999</v>
      </c>
      <c r="H401" s="18">
        <f>STDEV(E401:E402)</f>
        <v>3.8113055505954012</v>
      </c>
      <c r="K401" s="5">
        <f>G401+$J$394</f>
        <v>2590.0049999999997</v>
      </c>
    </row>
    <row r="402" spans="1:11" x14ac:dyDescent="0.2">
      <c r="A402" s="9" t="s">
        <v>11</v>
      </c>
      <c r="B402" s="31">
        <v>45084</v>
      </c>
      <c r="C402" s="10" t="s">
        <v>12</v>
      </c>
      <c r="D402" s="5">
        <v>51.16</v>
      </c>
      <c r="E402" s="5">
        <v>2589.69</v>
      </c>
      <c r="F402" s="32" t="s">
        <v>347</v>
      </c>
    </row>
    <row r="403" spans="1:11" x14ac:dyDescent="0.2">
      <c r="A403" s="9" t="s">
        <v>11</v>
      </c>
      <c r="B403" s="31">
        <v>45084</v>
      </c>
      <c r="C403" s="10" t="s">
        <v>12</v>
      </c>
      <c r="D403" s="5">
        <v>51.03</v>
      </c>
      <c r="E403" s="14">
        <v>2580.5300000000002</v>
      </c>
      <c r="F403" s="32" t="s">
        <v>348</v>
      </c>
      <c r="G403" s="13">
        <f>AVERAGE(E404:E405)</f>
        <v>2592.87</v>
      </c>
      <c r="H403" s="18">
        <f>STDEV(E404:E405)</f>
        <v>4.2426406871192848</v>
      </c>
      <c r="K403" s="5">
        <f>G403+$J$394</f>
        <v>2595.8799999999997</v>
      </c>
    </row>
    <row r="404" spans="1:11" x14ac:dyDescent="0.2">
      <c r="A404" s="9" t="s">
        <v>11</v>
      </c>
      <c r="B404" s="31">
        <v>45084</v>
      </c>
      <c r="C404" s="10" t="s">
        <v>12</v>
      </c>
      <c r="D404" s="5">
        <v>49.23</v>
      </c>
      <c r="E404" s="5">
        <v>2595.87</v>
      </c>
      <c r="F404" s="32" t="s">
        <v>349</v>
      </c>
    </row>
    <row r="405" spans="1:11" x14ac:dyDescent="0.2">
      <c r="A405" s="9" t="s">
        <v>11</v>
      </c>
      <c r="B405" s="31">
        <v>45084</v>
      </c>
      <c r="C405" s="10" t="s">
        <v>12</v>
      </c>
      <c r="D405" s="5">
        <v>51.58</v>
      </c>
      <c r="E405" s="5">
        <v>2589.87</v>
      </c>
      <c r="F405" s="32" t="s">
        <v>350</v>
      </c>
    </row>
    <row r="406" spans="1:11" x14ac:dyDescent="0.2">
      <c r="A406" s="9" t="s">
        <v>11</v>
      </c>
      <c r="B406" s="31">
        <v>45084</v>
      </c>
      <c r="C406" s="10" t="s">
        <v>12</v>
      </c>
      <c r="D406" s="5">
        <v>51.53</v>
      </c>
      <c r="E406" s="14">
        <v>2539.8200000000002</v>
      </c>
      <c r="F406" s="32" t="s">
        <v>351</v>
      </c>
      <c r="G406" s="13">
        <f>AVERAGE(E407:E408)</f>
        <v>2556.105</v>
      </c>
      <c r="H406" s="18">
        <f>STDEV(E407:E408)</f>
        <v>1.2374368670764582</v>
      </c>
      <c r="K406" s="5">
        <f>G406+$J$394</f>
        <v>2559.1149999999998</v>
      </c>
    </row>
    <row r="407" spans="1:11" x14ac:dyDescent="0.2">
      <c r="A407" s="9" t="s">
        <v>11</v>
      </c>
      <c r="B407" s="31">
        <v>45084</v>
      </c>
      <c r="C407" s="10" t="s">
        <v>12</v>
      </c>
      <c r="D407" s="5">
        <v>51.05</v>
      </c>
      <c r="E407" s="5">
        <v>2555.23</v>
      </c>
      <c r="F407" s="32" t="s">
        <v>352</v>
      </c>
    </row>
    <row r="408" spans="1:11" x14ac:dyDescent="0.2">
      <c r="A408" s="9" t="s">
        <v>11</v>
      </c>
      <c r="B408" s="31">
        <v>45084</v>
      </c>
      <c r="C408" s="10" t="s">
        <v>12</v>
      </c>
      <c r="D408" s="5">
        <v>49.5</v>
      </c>
      <c r="E408" s="5">
        <v>2556.98</v>
      </c>
      <c r="F408" s="32" t="s">
        <v>353</v>
      </c>
    </row>
    <row r="409" spans="1:11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2573.62</v>
      </c>
      <c r="F409" s="32" t="s">
        <v>354</v>
      </c>
      <c r="G409" s="13">
        <f>AVERAGE(E409:E410)</f>
        <v>2571.7150000000001</v>
      </c>
      <c r="H409" s="18">
        <f>STDEV(E409:E410)</f>
        <v>2.6940768363207073</v>
      </c>
      <c r="K409" s="5">
        <f>G409+$J$432</f>
        <v>2568.17</v>
      </c>
    </row>
    <row r="410" spans="1:11" x14ac:dyDescent="0.2">
      <c r="A410" s="9" t="s">
        <v>11</v>
      </c>
      <c r="B410" s="31">
        <v>45084</v>
      </c>
      <c r="C410" s="10" t="s">
        <v>12</v>
      </c>
      <c r="D410" s="5">
        <v>50.84</v>
      </c>
      <c r="E410" s="5">
        <v>2569.81</v>
      </c>
      <c r="F410" s="32" t="s">
        <v>355</v>
      </c>
    </row>
    <row r="411" spans="1:11" x14ac:dyDescent="0.2">
      <c r="A411" s="9" t="s">
        <v>11</v>
      </c>
      <c r="B411" s="31">
        <v>45084</v>
      </c>
      <c r="C411" s="10" t="s">
        <v>12</v>
      </c>
      <c r="D411" s="5">
        <v>50.26</v>
      </c>
      <c r="F411" s="32" t="s">
        <v>356</v>
      </c>
      <c r="G411" s="13" t="e">
        <f>AVERAGE(E412:E413)</f>
        <v>#DIV/0!</v>
      </c>
      <c r="H411" s="18" t="e">
        <f>STDEV(E412:E413)</f>
        <v>#DIV/0!</v>
      </c>
      <c r="K411" s="5" t="e">
        <f>G411+$J$432</f>
        <v>#DIV/0!</v>
      </c>
    </row>
    <row r="412" spans="1:11" x14ac:dyDescent="0.2">
      <c r="A412" s="9" t="s">
        <v>11</v>
      </c>
      <c r="B412" s="31">
        <v>45084</v>
      </c>
      <c r="C412" s="10" t="s">
        <v>12</v>
      </c>
      <c r="D412" s="5">
        <v>49.6</v>
      </c>
      <c r="F412" s="32" t="s">
        <v>357</v>
      </c>
    </row>
    <row r="413" spans="1:11" x14ac:dyDescent="0.2">
      <c r="A413" s="9" t="s">
        <v>11</v>
      </c>
      <c r="B413" s="31">
        <v>45084</v>
      </c>
      <c r="C413" s="10" t="s">
        <v>12</v>
      </c>
      <c r="D413" s="5">
        <v>48.01</v>
      </c>
      <c r="F413" s="32" t="s">
        <v>358</v>
      </c>
    </row>
    <row r="414" spans="1:11" x14ac:dyDescent="0.2">
      <c r="A414" s="9" t="s">
        <v>11</v>
      </c>
      <c r="B414" s="31">
        <v>45084</v>
      </c>
      <c r="C414" s="10" t="s">
        <v>12</v>
      </c>
      <c r="D414" s="5">
        <v>51.72</v>
      </c>
      <c r="F414" s="32" t="s">
        <v>359</v>
      </c>
      <c r="G414" s="13" t="e">
        <f>AVERAGE(E415:E416)</f>
        <v>#DIV/0!</v>
      </c>
      <c r="H414" s="18" t="e">
        <f>STDEV(E415:E416)</f>
        <v>#DIV/0!</v>
      </c>
      <c r="K414" s="5" t="e">
        <f>G414+$J$432</f>
        <v>#DIV/0!</v>
      </c>
    </row>
    <row r="415" spans="1:11" x14ac:dyDescent="0.2">
      <c r="A415" s="9" t="s">
        <v>11</v>
      </c>
      <c r="B415" s="31">
        <v>45084</v>
      </c>
      <c r="C415" s="10" t="s">
        <v>12</v>
      </c>
      <c r="D415" s="5">
        <v>51.74</v>
      </c>
      <c r="F415" s="32" t="s">
        <v>360</v>
      </c>
    </row>
    <row r="416" spans="1:11" x14ac:dyDescent="0.2">
      <c r="A416" s="9" t="s">
        <v>11</v>
      </c>
      <c r="B416" s="31">
        <v>45084</v>
      </c>
      <c r="C416" s="10" t="s">
        <v>12</v>
      </c>
      <c r="D416" s="5">
        <v>50.54</v>
      </c>
      <c r="F416" s="32" t="s">
        <v>361</v>
      </c>
    </row>
    <row r="417" spans="1:12" x14ac:dyDescent="0.2">
      <c r="A417" s="9" t="s">
        <v>11</v>
      </c>
      <c r="B417" s="31">
        <v>45084</v>
      </c>
      <c r="C417" s="10" t="s">
        <v>12</v>
      </c>
      <c r="D417" s="5">
        <v>49.45</v>
      </c>
      <c r="F417" s="32" t="s">
        <v>362</v>
      </c>
      <c r="G417" s="13" t="e">
        <f>AVERAGE(E418:E419)</f>
        <v>#DIV/0!</v>
      </c>
      <c r="H417" s="18" t="e">
        <f>STDEV(E418:E419)</f>
        <v>#DIV/0!</v>
      </c>
      <c r="K417" s="5" t="e">
        <f>G417+$J$432</f>
        <v>#DIV/0!</v>
      </c>
    </row>
    <row r="418" spans="1:12" x14ac:dyDescent="0.2">
      <c r="A418" s="9" t="s">
        <v>11</v>
      </c>
      <c r="B418" s="31">
        <v>45084</v>
      </c>
      <c r="C418" s="10" t="s">
        <v>12</v>
      </c>
      <c r="D418" s="5">
        <v>48.52</v>
      </c>
      <c r="F418" s="32" t="s">
        <v>363</v>
      </c>
    </row>
    <row r="419" spans="1:12" x14ac:dyDescent="0.2">
      <c r="A419" s="9" t="s">
        <v>11</v>
      </c>
      <c r="B419" s="31">
        <v>45084</v>
      </c>
      <c r="C419" s="10" t="s">
        <v>12</v>
      </c>
      <c r="D419" s="5">
        <v>49.32</v>
      </c>
      <c r="F419" s="32" t="s">
        <v>364</v>
      </c>
    </row>
    <row r="420" spans="1:12" x14ac:dyDescent="0.2">
      <c r="A420" s="9" t="s">
        <v>11</v>
      </c>
      <c r="B420" s="31">
        <v>45084</v>
      </c>
      <c r="C420" s="10" t="s">
        <v>12</v>
      </c>
      <c r="F420" s="32" t="s">
        <v>365</v>
      </c>
      <c r="G420" s="13" t="e">
        <f>AVERAGE(E421:E422)</f>
        <v>#DIV/0!</v>
      </c>
      <c r="H420" s="18" t="e">
        <f>STDEV(E421:E422)</f>
        <v>#DIV/0!</v>
      </c>
      <c r="K420" s="5" t="e">
        <f>G420+$J$432</f>
        <v>#DIV/0!</v>
      </c>
    </row>
    <row r="421" spans="1:12" x14ac:dyDescent="0.2">
      <c r="A421" s="9" t="s">
        <v>11</v>
      </c>
      <c r="B421" s="31">
        <v>45084</v>
      </c>
      <c r="C421" s="10" t="s">
        <v>12</v>
      </c>
      <c r="F421" s="32" t="s">
        <v>366</v>
      </c>
    </row>
    <row r="422" spans="1:12" x14ac:dyDescent="0.2">
      <c r="A422" s="9" t="s">
        <v>11</v>
      </c>
      <c r="B422" s="31">
        <v>45084</v>
      </c>
      <c r="C422" s="10" t="s">
        <v>12</v>
      </c>
      <c r="F422" s="32" t="s">
        <v>367</v>
      </c>
    </row>
    <row r="423" spans="1:12" x14ac:dyDescent="0.2">
      <c r="A423" s="9" t="s">
        <v>11</v>
      </c>
      <c r="B423" s="31">
        <v>45084</v>
      </c>
      <c r="C423" s="10" t="s">
        <v>12</v>
      </c>
      <c r="F423" s="32" t="s">
        <v>368</v>
      </c>
      <c r="G423" s="13" t="e">
        <f>AVERAGE(E424:E425)</f>
        <v>#DIV/0!</v>
      </c>
      <c r="H423" s="18" t="e">
        <f>STDEV(E424:E425)</f>
        <v>#DIV/0!</v>
      </c>
      <c r="K423" s="5" t="e">
        <f>G423+$J$432</f>
        <v>#DIV/0!</v>
      </c>
    </row>
    <row r="424" spans="1:12" x14ac:dyDescent="0.2">
      <c r="A424" s="9" t="s">
        <v>11</v>
      </c>
      <c r="B424" s="31">
        <v>45084</v>
      </c>
      <c r="C424" s="10" t="s">
        <v>12</v>
      </c>
      <c r="F424" s="32" t="s">
        <v>369</v>
      </c>
    </row>
    <row r="425" spans="1:12" x14ac:dyDescent="0.2">
      <c r="A425" s="9" t="s">
        <v>11</v>
      </c>
      <c r="B425" s="31">
        <v>45084</v>
      </c>
      <c r="C425" s="10" t="s">
        <v>12</v>
      </c>
      <c r="F425" s="33" t="s">
        <v>370</v>
      </c>
    </row>
    <row r="426" spans="1:12" x14ac:dyDescent="0.2">
      <c r="A426" s="9" t="s">
        <v>11</v>
      </c>
      <c r="B426" s="31">
        <v>45084</v>
      </c>
      <c r="C426" s="10" t="s">
        <v>12</v>
      </c>
      <c r="F426" s="32" t="s">
        <v>371</v>
      </c>
      <c r="G426" s="13" t="e">
        <f>AVERAGE(E427:E428)</f>
        <v>#DIV/0!</v>
      </c>
      <c r="H426" s="18" t="e">
        <f>STDEV(E427:E428)</f>
        <v>#DIV/0!</v>
      </c>
      <c r="K426" s="5" t="e">
        <f>G426+$J$432</f>
        <v>#DIV/0!</v>
      </c>
    </row>
    <row r="427" spans="1:12" x14ac:dyDescent="0.2">
      <c r="A427" s="9" t="s">
        <v>11</v>
      </c>
      <c r="B427" s="31">
        <v>45084</v>
      </c>
      <c r="C427" s="10" t="s">
        <v>12</v>
      </c>
      <c r="F427" s="32" t="s">
        <v>372</v>
      </c>
    </row>
    <row r="428" spans="1:12" x14ac:dyDescent="0.2">
      <c r="A428" s="9" t="s">
        <v>11</v>
      </c>
      <c r="B428" s="31">
        <v>45084</v>
      </c>
      <c r="C428" s="10" t="s">
        <v>12</v>
      </c>
      <c r="F428" s="32" t="s">
        <v>373</v>
      </c>
    </row>
    <row r="429" spans="1:12" x14ac:dyDescent="0.2">
      <c r="A429" s="9" t="s">
        <v>11</v>
      </c>
      <c r="B429" s="31">
        <v>45084</v>
      </c>
      <c r="C429" s="10" t="s">
        <v>12</v>
      </c>
      <c r="F429" s="32" t="s">
        <v>374</v>
      </c>
      <c r="G429" s="13" t="e">
        <f>AVERAGE(E430:E431)</f>
        <v>#DIV/0!</v>
      </c>
      <c r="H429" s="18" t="e">
        <f>STDEV(E430:E431)</f>
        <v>#DIV/0!</v>
      </c>
      <c r="K429" s="5" t="e">
        <f>G429+$J$432</f>
        <v>#DIV/0!</v>
      </c>
    </row>
    <row r="430" spans="1:12" x14ac:dyDescent="0.2">
      <c r="A430" s="9" t="s">
        <v>11</v>
      </c>
      <c r="B430" s="31">
        <v>45084</v>
      </c>
      <c r="C430" s="25" t="s">
        <v>12</v>
      </c>
      <c r="F430" s="32" t="s">
        <v>375</v>
      </c>
    </row>
    <row r="431" spans="1:12" x14ac:dyDescent="0.2">
      <c r="A431" s="9" t="s">
        <v>11</v>
      </c>
      <c r="B431" s="31">
        <v>45084</v>
      </c>
      <c r="C431" s="10" t="s">
        <v>12</v>
      </c>
      <c r="F431" s="32" t="s">
        <v>376</v>
      </c>
    </row>
    <row r="432" spans="1:12" x14ac:dyDescent="0.2">
      <c r="A432" s="9" t="s">
        <v>11</v>
      </c>
      <c r="B432" s="31">
        <v>45084</v>
      </c>
      <c r="C432" s="10" t="s">
        <v>12</v>
      </c>
      <c r="D432" s="5">
        <v>49.82</v>
      </c>
      <c r="E432" s="5">
        <v>2228.86</v>
      </c>
      <c r="F432" s="16" t="s">
        <v>8</v>
      </c>
      <c r="G432" s="13">
        <f>AVERAGE(E432:E433)</f>
        <v>2229.9850000000001</v>
      </c>
      <c r="H432" s="18">
        <f>STDEV(E432:E433)</f>
        <v>1.5909902576697319</v>
      </c>
      <c r="I432" s="3">
        <v>2226.44</v>
      </c>
      <c r="J432" s="4">
        <f>I432-G432</f>
        <v>-3.5450000000000728</v>
      </c>
      <c r="K432" s="5">
        <f>G432+J432</f>
        <v>2226.44</v>
      </c>
      <c r="L432" s="2" t="s">
        <v>94</v>
      </c>
    </row>
    <row r="433" spans="1:11" x14ac:dyDescent="0.2">
      <c r="A433" s="9" t="s">
        <v>11</v>
      </c>
      <c r="B433" s="31">
        <v>45084</v>
      </c>
      <c r="C433" s="10" t="s">
        <v>12</v>
      </c>
      <c r="D433" s="5">
        <v>49.88</v>
      </c>
      <c r="E433" s="5">
        <v>2231.11</v>
      </c>
      <c r="F433" s="16" t="s">
        <v>9</v>
      </c>
    </row>
    <row r="434" spans="1:11" x14ac:dyDescent="0.2">
      <c r="A434" s="9" t="s">
        <v>11</v>
      </c>
      <c r="B434" s="31">
        <v>45084</v>
      </c>
      <c r="C434" s="10" t="s">
        <v>12</v>
      </c>
      <c r="F434" s="32" t="s">
        <v>377</v>
      </c>
      <c r="G434" s="13" t="e">
        <f>AVERAGE(E435:E436)</f>
        <v>#DIV/0!</v>
      </c>
      <c r="H434" s="18" t="e">
        <f>STDEV(E435:E436)</f>
        <v>#DIV/0!</v>
      </c>
      <c r="K434" s="5" t="e">
        <f>G434+$J$432</f>
        <v>#DIV/0!</v>
      </c>
    </row>
    <row r="435" spans="1:11" x14ac:dyDescent="0.2">
      <c r="A435" s="9" t="s">
        <v>11</v>
      </c>
      <c r="B435" s="31">
        <v>45084</v>
      </c>
      <c r="C435" s="10" t="s">
        <v>12</v>
      </c>
      <c r="F435" s="32" t="s">
        <v>378</v>
      </c>
    </row>
    <row r="436" spans="1:11" x14ac:dyDescent="0.2">
      <c r="A436" s="9" t="s">
        <v>11</v>
      </c>
      <c r="B436" s="31">
        <v>45084</v>
      </c>
      <c r="C436" s="10" t="s">
        <v>12</v>
      </c>
      <c r="F436" s="32" t="s">
        <v>379</v>
      </c>
    </row>
    <row r="437" spans="1:11" x14ac:dyDescent="0.2">
      <c r="A437" s="9" t="s">
        <v>11</v>
      </c>
      <c r="B437" s="31">
        <v>45084</v>
      </c>
      <c r="C437" s="10" t="s">
        <v>12</v>
      </c>
      <c r="F437" s="32" t="s">
        <v>380</v>
      </c>
      <c r="G437" s="13" t="e">
        <f>AVERAGE(E438:E439)</f>
        <v>#DIV/0!</v>
      </c>
      <c r="H437" s="18" t="e">
        <f>STDEV(E438:E439)</f>
        <v>#DIV/0!</v>
      </c>
      <c r="K437" s="5" t="e">
        <f>G437+$J$432</f>
        <v>#DIV/0!</v>
      </c>
    </row>
    <row r="438" spans="1:11" x14ac:dyDescent="0.2">
      <c r="A438" s="9" t="s">
        <v>11</v>
      </c>
      <c r="B438" s="31">
        <v>45084</v>
      </c>
      <c r="C438" s="10" t="s">
        <v>12</v>
      </c>
      <c r="F438" s="32" t="s">
        <v>381</v>
      </c>
    </row>
    <row r="439" spans="1:11" x14ac:dyDescent="0.2">
      <c r="A439" s="9" t="s">
        <v>11</v>
      </c>
      <c r="B439" s="31">
        <v>45084</v>
      </c>
      <c r="C439" s="10" t="s">
        <v>12</v>
      </c>
      <c r="F439" s="32" t="s">
        <v>382</v>
      </c>
    </row>
    <row r="440" spans="1:11" x14ac:dyDescent="0.2">
      <c r="A440" s="9" t="s">
        <v>11</v>
      </c>
      <c r="B440" s="31">
        <v>45084</v>
      </c>
      <c r="C440" s="10" t="s">
        <v>12</v>
      </c>
      <c r="F440" s="32" t="s">
        <v>383</v>
      </c>
      <c r="G440" s="13" t="e">
        <f>AVERAGE(E441:E442)</f>
        <v>#DIV/0!</v>
      </c>
      <c r="H440" s="18" t="e">
        <f>STDEV(E441:E442)</f>
        <v>#DIV/0!</v>
      </c>
      <c r="K440" s="5" t="e">
        <f>G440+$J$432</f>
        <v>#DIV/0!</v>
      </c>
    </row>
    <row r="441" spans="1:11" x14ac:dyDescent="0.2">
      <c r="A441" s="9" t="s">
        <v>11</v>
      </c>
      <c r="B441" s="31">
        <v>45084</v>
      </c>
      <c r="C441" s="10" t="s">
        <v>12</v>
      </c>
      <c r="F441" s="32" t="s">
        <v>384</v>
      </c>
    </row>
    <row r="442" spans="1:11" x14ac:dyDescent="0.2">
      <c r="A442" s="9" t="s">
        <v>11</v>
      </c>
      <c r="C442" s="10" t="s">
        <v>12</v>
      </c>
      <c r="F442" s="32" t="s">
        <v>385</v>
      </c>
    </row>
    <row r="443" spans="1:11" x14ac:dyDescent="0.2">
      <c r="A443" s="9" t="s">
        <v>11</v>
      </c>
      <c r="C443" s="10" t="s">
        <v>12</v>
      </c>
      <c r="F443" s="32" t="s">
        <v>386</v>
      </c>
    </row>
    <row r="444" spans="1:11" x14ac:dyDescent="0.2">
      <c r="A444" s="9" t="s">
        <v>11</v>
      </c>
      <c r="C444" s="10" t="s">
        <v>12</v>
      </c>
      <c r="F444" s="32" t="s">
        <v>387</v>
      </c>
    </row>
    <row r="445" spans="1:11" x14ac:dyDescent="0.2">
      <c r="A445" s="9" t="s">
        <v>11</v>
      </c>
      <c r="C445" s="10" t="s">
        <v>12</v>
      </c>
      <c r="F445" s="32" t="s">
        <v>388</v>
      </c>
    </row>
    <row r="446" spans="1:11" x14ac:dyDescent="0.2">
      <c r="A446" s="9" t="s">
        <v>11</v>
      </c>
      <c r="C446" s="10" t="s">
        <v>12</v>
      </c>
      <c r="F446" s="32" t="s">
        <v>389</v>
      </c>
    </row>
    <row r="447" spans="1:11" x14ac:dyDescent="0.2">
      <c r="A447" s="9" t="s">
        <v>11</v>
      </c>
      <c r="C447" s="10" t="s">
        <v>12</v>
      </c>
      <c r="F447" s="32" t="s">
        <v>390</v>
      </c>
    </row>
    <row r="448" spans="1:11" x14ac:dyDescent="0.2">
      <c r="A448" s="9" t="s">
        <v>11</v>
      </c>
      <c r="C448" s="10" t="s">
        <v>12</v>
      </c>
      <c r="F448" s="32" t="s">
        <v>391</v>
      </c>
    </row>
    <row r="449" spans="1:6" x14ac:dyDescent="0.2">
      <c r="A449" s="9" t="s">
        <v>11</v>
      </c>
      <c r="C449" s="10" t="s">
        <v>12</v>
      </c>
      <c r="F449" s="32" t="s">
        <v>392</v>
      </c>
    </row>
    <row r="450" spans="1:6" x14ac:dyDescent="0.2">
      <c r="A450" s="9" t="s">
        <v>11</v>
      </c>
      <c r="C450" s="10" t="s">
        <v>12</v>
      </c>
      <c r="F450" s="32" t="s">
        <v>393</v>
      </c>
    </row>
    <row r="451" spans="1:6" x14ac:dyDescent="0.2">
      <c r="A451" s="9" t="s">
        <v>11</v>
      </c>
      <c r="C451" s="10" t="s">
        <v>12</v>
      </c>
      <c r="F451" s="32" t="s">
        <v>394</v>
      </c>
    </row>
    <row r="452" spans="1:6" x14ac:dyDescent="0.2">
      <c r="A452" s="9" t="s">
        <v>11</v>
      </c>
      <c r="C452" s="10" t="s">
        <v>12</v>
      </c>
      <c r="F452" s="32" t="s">
        <v>395</v>
      </c>
    </row>
    <row r="453" spans="1:6" x14ac:dyDescent="0.2">
      <c r="A453" s="9" t="s">
        <v>11</v>
      </c>
      <c r="C453" s="10" t="s">
        <v>12</v>
      </c>
      <c r="F453" s="32" t="s">
        <v>396</v>
      </c>
    </row>
    <row r="454" spans="1:6" x14ac:dyDescent="0.2">
      <c r="A454" s="9" t="s">
        <v>11</v>
      </c>
      <c r="C454" s="10" t="s">
        <v>12</v>
      </c>
      <c r="F454" s="32" t="s">
        <v>397</v>
      </c>
    </row>
    <row r="455" spans="1:6" x14ac:dyDescent="0.2">
      <c r="A455" s="9" t="s">
        <v>11</v>
      </c>
      <c r="C455" s="10" t="s">
        <v>12</v>
      </c>
      <c r="F455" s="32" t="s">
        <v>398</v>
      </c>
    </row>
    <row r="456" spans="1:6" x14ac:dyDescent="0.2">
      <c r="A456" s="9" t="s">
        <v>11</v>
      </c>
      <c r="C456" s="10" t="s">
        <v>12</v>
      </c>
      <c r="F456" s="32" t="s">
        <v>399</v>
      </c>
    </row>
    <row r="457" spans="1:6" x14ac:dyDescent="0.2">
      <c r="A457" s="9" t="s">
        <v>11</v>
      </c>
      <c r="C457" s="10" t="s">
        <v>12</v>
      </c>
      <c r="F457" s="32" t="s">
        <v>400</v>
      </c>
    </row>
    <row r="458" spans="1:6" x14ac:dyDescent="0.2">
      <c r="A458" s="9" t="s">
        <v>11</v>
      </c>
      <c r="C458" s="10" t="s">
        <v>12</v>
      </c>
      <c r="F458" s="32" t="s">
        <v>401</v>
      </c>
    </row>
    <row r="459" spans="1:6" x14ac:dyDescent="0.2">
      <c r="A459" s="9" t="s">
        <v>11</v>
      </c>
      <c r="C459" s="10" t="s">
        <v>12</v>
      </c>
      <c r="F459" s="32" t="s">
        <v>402</v>
      </c>
    </row>
    <row r="460" spans="1:6" x14ac:dyDescent="0.2">
      <c r="A460" s="9" t="s">
        <v>11</v>
      </c>
      <c r="C460" s="10" t="s">
        <v>12</v>
      </c>
      <c r="F460" s="32" t="s">
        <v>403</v>
      </c>
    </row>
    <row r="461" spans="1:6" x14ac:dyDescent="0.2">
      <c r="C461" s="10"/>
    </row>
    <row r="462" spans="1:6" x14ac:dyDescent="0.2">
      <c r="C462" s="10"/>
    </row>
    <row r="463" spans="1:6" x14ac:dyDescent="0.2">
      <c r="C463" s="10"/>
    </row>
    <row r="464" spans="1:6" x14ac:dyDescent="0.2">
      <c r="C464" s="10"/>
    </row>
    <row r="465" spans="3:3" x14ac:dyDescent="0.2">
      <c r="C465" s="10"/>
    </row>
    <row r="466" spans="3:3" x14ac:dyDescent="0.2">
      <c r="C466" s="10"/>
    </row>
    <row r="467" spans="3:3" x14ac:dyDescent="0.2">
      <c r="C467" s="10"/>
    </row>
    <row r="468" spans="3:3" x14ac:dyDescent="0.2">
      <c r="C468" s="10"/>
    </row>
    <row r="469" spans="3:3" x14ac:dyDescent="0.2">
      <c r="C469" s="10"/>
    </row>
    <row r="471" spans="3:3" x14ac:dyDescent="0.2">
      <c r="C471" s="25"/>
    </row>
    <row r="472" spans="3:3" x14ac:dyDescent="0.2">
      <c r="C472" s="10"/>
    </row>
    <row r="473" spans="3:3" x14ac:dyDescent="0.2">
      <c r="C473" s="10"/>
    </row>
    <row r="474" spans="3:3" x14ac:dyDescent="0.2">
      <c r="C474" s="10"/>
    </row>
    <row r="475" spans="3:3" x14ac:dyDescent="0.2">
      <c r="C475" s="10"/>
    </row>
    <row r="476" spans="3:3" x14ac:dyDescent="0.2">
      <c r="C476" s="10"/>
    </row>
    <row r="477" spans="3:3" x14ac:dyDescent="0.2">
      <c r="C477" s="10"/>
    </row>
    <row r="478" spans="3:3" x14ac:dyDescent="0.2">
      <c r="C478" s="10"/>
    </row>
    <row r="479" spans="3:3" x14ac:dyDescent="0.2">
      <c r="C479" s="10"/>
    </row>
    <row r="480" spans="3:3" x14ac:dyDescent="0.2">
      <c r="C480" s="10"/>
    </row>
    <row r="481" spans="3:3" x14ac:dyDescent="0.2">
      <c r="C481" s="10"/>
    </row>
    <row r="482" spans="3:3" x14ac:dyDescent="0.2">
      <c r="C482" s="10"/>
    </row>
    <row r="483" spans="3:3" x14ac:dyDescent="0.2">
      <c r="C483" s="10"/>
    </row>
    <row r="484" spans="3:3" x14ac:dyDescent="0.2">
      <c r="C484" s="10"/>
    </row>
    <row r="485" spans="3:3" x14ac:dyDescent="0.2">
      <c r="C485" s="10"/>
    </row>
    <row r="486" spans="3:3" x14ac:dyDescent="0.2">
      <c r="C486" s="10"/>
    </row>
    <row r="487" spans="3:3" x14ac:dyDescent="0.2">
      <c r="C487" s="10"/>
    </row>
    <row r="488" spans="3:3" x14ac:dyDescent="0.2">
      <c r="C488" s="10"/>
    </row>
    <row r="489" spans="3:3" x14ac:dyDescent="0.2">
      <c r="C489" s="10"/>
    </row>
    <row r="490" spans="3:3" x14ac:dyDescent="0.2">
      <c r="C490" s="10"/>
    </row>
    <row r="491" spans="3:3" x14ac:dyDescent="0.2">
      <c r="C491" s="10"/>
    </row>
    <row r="492" spans="3:3" x14ac:dyDescent="0.2">
      <c r="C492" s="10"/>
    </row>
    <row r="493" spans="3:3" x14ac:dyDescent="0.2">
      <c r="C493" s="10"/>
    </row>
    <row r="494" spans="3:3" x14ac:dyDescent="0.2">
      <c r="C494" s="10"/>
    </row>
    <row r="495" spans="3:3" x14ac:dyDescent="0.2">
      <c r="C495" s="10"/>
    </row>
    <row r="496" spans="3:3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2023-06-08T08:10:59Z</dcterms:modified>
</cp:coreProperties>
</file>