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2F9E9D14-5511-D14F-BA42-E85087343537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46" i="1" l="1"/>
  <c r="H546" i="1"/>
  <c r="G544" i="1"/>
  <c r="G539" i="1"/>
  <c r="H539" i="1"/>
  <c r="G542" i="1"/>
  <c r="H542" i="1"/>
  <c r="H532" i="1"/>
  <c r="G532" i="1"/>
  <c r="H555" i="1"/>
  <c r="G555" i="1"/>
  <c r="H552" i="1"/>
  <c r="G552" i="1"/>
  <c r="H549" i="1"/>
  <c r="G549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529" i="1" l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544" i="1" l="1"/>
  <c r="K546" i="1"/>
  <c r="K539" i="1"/>
  <c r="K542" i="1"/>
  <c r="K555" i="1"/>
  <c r="K535" i="1"/>
  <c r="K537" i="1"/>
  <c r="K549" i="1"/>
  <c r="K552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<sst xmlns="http://schemas.openxmlformats.org/spreadsheetml/2006/main" count="1897" uniqueCount="565">
  <si>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</si>
  <si>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</si>
  <si>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</si>
  <si>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</si>
  <si>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</si>
  <si>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</si>
  <si>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</si>
  <si>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</si>
  <si>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</si>
  <si>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</si>
  <si>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</si>
  <si>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</si>
  <si>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</si>
  <si>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</si>
  <si>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</si>
  <si>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</si>
  <si>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</si>
  <si>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</si>
  <si>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</si>
  <si>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</si>
  <si>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</si>
  <si>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</si>
  <si>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</si>
  <si>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</si>
  <si>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</si>
  <si>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</si>
  <si>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</si>
  <si>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</si>
  <si>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</si>
  <si>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</si>
  <si>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</si>
  <si>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</si>
  <si>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</si>
  <si>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</si>
  <si>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</si>
  <si>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</si>
  <si>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</si>
  <si>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</si>
  <si>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</si>
  <si>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</si>
  <si>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</si>
  <si>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</si>
  <si>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</si>
  <si>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</si>
  <si>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</si>
  <si>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</si>
  <si>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</si>
  <si>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</si>
  <si>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</si>
  <si>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</si>
  <si>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</si>
  <si>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</si>
  <si>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</si>
  <si>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</si>
  <si>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</si>
  <si>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</si>
  <si>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</si>
  <si>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</si>
  <si>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</si>
  <si>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</si>
  <si>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</si>
  <si>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</si>
  <si>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</si>
  <si>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</si>
  <si>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</si>
  <si>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</si>
  <si>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</si>
  <si>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</si>
  <si>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</si>
  <si>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</si>
  <si>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</si>
  <si>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</si>
  <si>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</si>
  <si>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</si>
  <si>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</si>
  <si>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</si>
  <si>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</si>
  <si>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</si>
  <si>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</si>
  <si>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</si>
  <si>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</si>
  <si>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</si>
  <si>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</si>
  <si>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</si>
  <si>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</si>
  <si>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</si>
  <si>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</si>
  <si>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</si>
  <si>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</si>
  <si>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</si>
  <si>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</si>
  <si>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</si>
  <si>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</si>
  <si>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</si>
  <si>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</si>
  <si>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</si>
  <si>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</si>
  <si>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</si>
  <si>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</si>
  <si>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</si>
  <si>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</si>
  <si>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</si>
  <si>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</si>
  <si>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</si>
  <si>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</si>
  <si>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</si>
  <si>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</si>
  <si>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</si>
  <si>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</si>
  <si>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</si>
  <si>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</si>
  <si>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</si>
  <si>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</si>
  <si>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</si>
  <si>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</si>
  <si>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</si>
  <si>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</si>
  <si>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</si>
  <si>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</si>
  <si>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</si>
  <si>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</si>
  <si>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</si>
  <si>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</si>
  <si>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</si>
  <si>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</si>
  <si>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</si>
  <si>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</si>
  <si>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</si>
  <si>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</si>
  <si>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</si>
  <si>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</si>
  <si>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</si>
  <si>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</si>
  <si>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</si>
  <si>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</si>
  <si>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</si>
  <si>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</si>
  <si>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</si>
  <si>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</si>
  <si>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</si>
  <si>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</si>
  <si>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</si>
  <si>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</si>
  <si>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</si>
  <si>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</si>
  <si>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</si>
  <si>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</si>
  <si>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</si>
  <si>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</si>
  <si>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</si>
  <si>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</si>
  <si>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</si>
  <si>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</si>
  <si>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</si>
  <si>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</si>
  <si>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</si>
  <si>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</si>
  <si>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</si>
  <si>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</si>
  <si>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</si>
  <si>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</si>
  <si>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</si>
  <si>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</si>
  <si>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</si>
  <si>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</si>
  <si>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</si>
  <si>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</si>
  <si>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</si>
  <si>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</si>
  <si>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</si>
  <si>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</si>
  <si>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</si>
  <si>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</si>
  <si>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</si>
  <si>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</si>
  <si>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</si>
  <si>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</si>
  <si>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</si>
  <si>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</si>
  <si>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</si>
  <si>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</si>
  <si>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</si>
  <si>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</si>
  <si>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</si>
  <si>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</si>
  <si>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</si>
  <si>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</si>
  <si>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</si>
  <si>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</si>
  <si>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</si>
  <si>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</si>
  <si>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</si>
  <si>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</si>
  <si>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</si>
  <si>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</si>
  <si>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</si>
  <si>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</si>
  <si>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</si>
  <si>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</si>
  <si>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</si>
  <si>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</si>
  <si>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</si>
  <si>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</si>
  <si>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</si>
  <si>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</si>
  <si>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</si>
  <si>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</si>
  <si>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</si>
  <si>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</si>
  <si>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</si>
  <si>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</si>
  <si>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</si>
  <si>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</si>
  <si>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</si>
  <si>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</si>
  <si>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</si>
  <si>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</si>
  <si>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</si>
  <si>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</si>
  <si>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</si>
  <si>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</si>
  <si>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</si>
  <si>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</si>
  <si>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</si>
  <si>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</si>
  <si>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</si>
  <si>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</si>
  <si>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</si>
  <si>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</si>
  <si>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</si>
  <si>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</si>
  <si>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</si>
  <si>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</si>
  <si>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</si>
  <si>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</si>
  <si>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</si>
  <si>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</si>
  <si>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</si>
  <si>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</si>
  <si>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</si>
  <si>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</si>
  <si>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</si>
  <si>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</si>
  <si>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</si>
  <si>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</si>
  <si>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</si>
  <si>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</si>
  <si>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</si>
  <si>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</si>
  <si>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</si>
  <si>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</si>
  <si>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</si>
  <si>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</si>
  <si>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</si>
  <si>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</si>
  <si>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</si>
  <si>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</si>
  <si>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</si>
  <si>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</si>
  <si>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</si>
  <si>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</si>
  <si>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</si>
  <si>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</si>
  <si>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</si>
  <si>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</si>
  <si>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</si>
  <si>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</si>
  <si>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</si>
  <si>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</si>
  <si>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</si>
  <si>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</si>
  <si>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</si>
  <si>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</si>
  <si>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</si>
  <si>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</si>
  <si>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</si>
  <si>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</si>
  <si>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</si>
  <si>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</si>
  <si>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</si>
  <si>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</si>
  <si>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</si>
  <si>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</si>
  <si>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</si>
  <si>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</si>
  <si>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</si>
  <si>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</si>
  <si>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</si>
  <si>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</si>
  <si>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</si>
  <si>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</si>
  <si>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</si>
  <si>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</si>
  <si>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</si>
  <si>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</si>
  <si>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</si>
  <si>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</si>
  <si>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</si>
  <si>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</si>
  <si>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</si>
  <si>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</si>
  <si>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</si>
  <si>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</si>
  <si>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</si>
  <si>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</si>
  <si>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</si>
  <si>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</si>
  <si>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</si>
  <si>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</si>
  <si>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</si>
  <si>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</si>
  <si>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</si>
  <si>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</si>
  <si>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</si>
  <si>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</si>
  <si>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</si>
  <si>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</si>
  <si>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</si>
  <si>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</si>
  <si>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</si>
  <si>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</si>
  <si>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</si>
  <si>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</si>
  <si>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</si>
  <si>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</si>
  <si>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</si>
  <si>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</si>
  <si>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</si>
  <si>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</si>
  <si>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</si>
  <si>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</si>
  <si>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</si>
  <si>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</si>
  <si>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</si>
  <si>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</si>
  <si>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</si>
  <si>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</si>
  <si>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</si>
  <si>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</si>
  <si>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</si>
  <si>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</si>
  <si>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</si>
  <si>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</si>
  <si>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</si>
  <si>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</si>
  <si>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</si>
  <si>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</si>
  <si>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</si>
  <si>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</si>
  <si>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</si>
  <si>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</si>
  <si>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</si>
  <si>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</si>
  <si>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</si>
  <si>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</si>
  <si>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</si>
  <si>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</si>
  <si>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</si>
  <si>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</si>
  <si>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</si>
  <si>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</si>
  <si>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</si>
  <si>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</si>
  <si>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</si>
  <si>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</si>
  <si>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</si>
  <si>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</si>
  <si>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</si>
  <si>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</si>
  <si>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</si>
  <si>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</si>
  <si>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</si>
  <si>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</si>
  <si>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</si>
  <si>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</si>
  <si>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</si>
  <si>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</si>
  <si>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</si>
  <si>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</si>
  <si>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</si>
  <si>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</si>
  <si>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</si>
  <si>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</si>
  <si>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</si>
  <si>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</si>
  <si>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</si>
  <si>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</si>
  <si>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</si>
  <si>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</si>
  <si>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</si>
  <si>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</si>
  <si>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</si>
  <si>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</si>
  <si>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</si>
  <si>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</si>
  <si>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</si>
  <si>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</si>
  <si>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</si>
  <si>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</si>
  <si>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</si>
  <si>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</si>
  <si>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</si>
  <si>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</si>
  <si>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</si>
  <si>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</si>
  <si>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</si>
  <si>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</si>
  <si>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</si>
  <si>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</si>
  <si>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</si>
  <si>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</si>
  <si>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</si>
  <si>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</si>
  <si>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</si>
  <si>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</si>
  <si>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</si>
  <si>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</si>
  <si>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</si>
  <si>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</si>
  <si>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</si>
  <si>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</si>
  <si>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</si>
  <si>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</si>
  <si>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</si>
  <si>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</si>
  <si>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</si>
  <si>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</si>
  <si>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</si>
  <si>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</si>
  <si>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</si>
  <si>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</si>
  <si>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</si>
  <si>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</si>
  <si>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</si>
  <si>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</si>
  <si>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</si>
  <si>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</si>
  <si>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</si>
  <si>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</si>
  <si>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</si>
  <si>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</si>
  <si>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</si>
  <si>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</si>
  <si>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</si>
  <si>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</si>
  <si>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</si>
  <si>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</si>
  <si>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</si>
  <si>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</si>
  <si>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</si>
  <si>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</si>
  <si>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</si>
  <si>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</si>
  <si>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</si>
  <si>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</si>
  <si>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</si>
  <si>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</si>
  <si>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</si>
  <si>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</si>
  <si>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</si>
  <si>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</si>
  <si>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</si>
  <si>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</si>
  <si>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</si>
  <si>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</si>
  <si>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</si>
  <si>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</si>
  <si>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</si>
  <si>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</si>
  <si>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</si>
  <si>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</si>
  <si>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</si>
  <si>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</si>
  <si>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</si>
  <si>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</si>
  <si>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</si>
  <si>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</si>
  <si>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</si>
  <si>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</si>
  <si>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</si>
  <si>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</si>
  <si>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</si>
  <si>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</si>
  <si>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</si>
  <si>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</si>
  <si>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</si>
  <si>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</si>
  <si>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</si>
  <si>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</si>
  <si>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</si>
  <si>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</si>
  <si>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</si>
  <si>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</si>
  <si>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</si>
  <si>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</si>
  <si>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</si>
  <si>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</si>
  <si>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</si>
  <si>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</si>
  <si>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</si>
  <si>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</si>
  <si>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</si>
  <si>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</si>
  <si>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</si>
  <si>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</si>
  <si>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</si>
  <si>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</si>
  <si>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</si>
  <si>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</si>
  <si>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</si>
  <si>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</si>
  <si>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</si>
  <si>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</si>
  <si>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</si>
  <si>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</si>
  <si>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</si>
  <si>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</si>
  <si>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</si>
  <si>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</si>
  <si>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</si>
  <si>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</si>
  <si>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</si>
  <si>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</si>
  <si>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</si>
  <si>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</si>
  <si>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</si>
  <si>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</si>
  <si>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</si>
  <si>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</si>
  <si>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</si>
  <si>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</si>
  <si>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</si>
  <si>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</si>
  <si>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</si>
  <si>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</si>
  <si>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</si>
  <si>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</si>
  <si>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</si>
  <si>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</si>
  <si>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</si>
  <si>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</si>
  <si>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</si>
  <si>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</si>
  <si>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</si>
  <si>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</si>
  <si>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</si>
  <si>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</si>
  <si>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</si>
  <si>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</si>
  <si>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</si>
  <si>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</si>
  <si>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</si>
  <si>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</si>
  <si>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</si>
  <si>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</si>
  <si>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</si>
  <si>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</si>
  <si>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</si>
  <si>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</si>
  <si>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</si>
  <si>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</si>
  <si>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</si>
  <si>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</si>
  <si>
    <t>Ali e Anto</t>
  </si>
  <si>
    <t>Tn_t1_LOW_blank_01d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</si>
</sst>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5"/>
  <sheetViews>
    <sheetView tabSelected="1" zoomScale="90" zoomScaleNormal="73" workbookViewId="0">
      <pane ySplit="1" topLeftCell="A532" activePane="bottomLeft" state="frozen"/>
      <selection pane="bottomLeft" activeCell="J555" sqref="J555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561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562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563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564</v>
      </c>
    </row>
    <row r="490" spans="1:12" x14ac:dyDescent="0.2">
      <c r="A490" s="9" t="s">
        <v>563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563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563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563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563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563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1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1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1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1" x14ac:dyDescent="0.2">
      <c r="C548" s="10"/>
      <c r="F548" s="16"/>
    </row>
    <row r="549" spans="1:11" x14ac:dyDescent="0.2">
      <c r="C549" s="10" t="s">
        <v>12</v>
      </c>
      <c r="F549" s="16" t="s">
        <v>492</v>
      </c>
      <c r="G549" s="13" t="e">
        <f>AVERAGE(E549:E550)</f>
        <v>#DIV/0!</v>
      </c>
      <c r="H549" s="18" t="e">
        <f>STDEV(E549:E550)</f>
        <v>#DIV/0!</v>
      </c>
      <c r="K549" s="5" t="e">
        <f>G549+$J$529</f>
        <v>#DIV/0!</v>
      </c>
    </row>
    <row r="550" spans="1:11" x14ac:dyDescent="0.2">
      <c r="C550" s="10" t="s">
        <v>12</v>
      </c>
      <c r="F550" s="16" t="s">
        <v>493</v>
      </c>
    </row>
    <row r="551" spans="1:11" x14ac:dyDescent="0.2">
      <c r="C551" s="10" t="s">
        <v>12</v>
      </c>
      <c r="F551" s="16" t="s">
        <v>494</v>
      </c>
    </row>
    <row r="552" spans="1:11" x14ac:dyDescent="0.2">
      <c r="C552" s="10" t="s">
        <v>12</v>
      </c>
      <c r="F552" s="16" t="s">
        <v>495</v>
      </c>
      <c r="G552" s="13" t="e">
        <f>AVERAGE(E552:E553)</f>
        <v>#DIV/0!</v>
      </c>
      <c r="H552" s="18" t="e">
        <f>STDEV(E552:E553)</f>
        <v>#DIV/0!</v>
      </c>
      <c r="K552" s="5" t="e">
        <f>G552+$J$529</f>
        <v>#DIV/0!</v>
      </c>
    </row>
    <row r="553" spans="1:11" x14ac:dyDescent="0.2">
      <c r="C553" s="10" t="s">
        <v>12</v>
      </c>
      <c r="F553" s="16" t="s">
        <v>496</v>
      </c>
    </row>
    <row r="554" spans="1:11" x14ac:dyDescent="0.2">
      <c r="C554" s="10" t="s">
        <v>12</v>
      </c>
      <c r="F554" s="16" t="s">
        <v>497</v>
      </c>
    </row>
    <row r="555" spans="1:11" x14ac:dyDescent="0.2">
      <c r="C555" s="10" t="s">
        <v>12</v>
      </c>
      <c r="F555" s="16" t="s">
        <v>498</v>
      </c>
      <c r="G555" s="13" t="e">
        <f>AVERAGE(E555:E556)</f>
        <v>#DIV/0!</v>
      </c>
      <c r="H555" s="18" t="e">
        <f>STDEV(E555:E556)</f>
        <v>#DIV/0!</v>
      </c>
      <c r="K555" s="5" t="e">
        <f>G555+$J$529</f>
        <v>#DIV/0!</v>
      </c>
    </row>
    <row r="556" spans="1:11" x14ac:dyDescent="0.2">
      <c r="C556" s="10" t="s">
        <v>12</v>
      </c>
      <c r="F556" s="16" t="s">
        <v>499</v>
      </c>
    </row>
    <row r="557" spans="1:11" x14ac:dyDescent="0.2">
      <c r="C557" s="10" t="s">
        <v>12</v>
      </c>
      <c r="F557" s="16" t="s">
        <v>500</v>
      </c>
    </row>
    <row r="558" spans="1:11" x14ac:dyDescent="0.2">
      <c r="F558" s="16"/>
    </row>
    <row r="559" spans="1:11" x14ac:dyDescent="0.2">
      <c r="C559" s="10" t="s">
        <v>12</v>
      </c>
      <c r="F559" s="16" t="s">
        <v>8</v>
      </c>
    </row>
    <row r="560" spans="1:11" x14ac:dyDescent="0.2">
      <c r="C560" s="10" t="s">
        <v>12</v>
      </c>
      <c r="F560" s="16" t="s">
        <v>9</v>
      </c>
    </row>
    <row r="561" spans="3:6" x14ac:dyDescent="0.2">
      <c r="C561" s="10" t="s">
        <v>12</v>
      </c>
      <c r="F561" s="16" t="s">
        <v>96</v>
      </c>
    </row>
    <row r="562" spans="3:6" x14ac:dyDescent="0.2">
      <c r="C562" s="10" t="s">
        <v>12</v>
      </c>
      <c r="F562" s="16" t="s">
        <v>501</v>
      </c>
    </row>
    <row r="563" spans="3:6" x14ac:dyDescent="0.2">
      <c r="C563" s="10" t="s">
        <v>12</v>
      </c>
      <c r="F563" s="16" t="s">
        <v>502</v>
      </c>
    </row>
    <row r="564" spans="3:6" x14ac:dyDescent="0.2">
      <c r="C564" s="10" t="s">
        <v>12</v>
      </c>
      <c r="F564" s="16" t="s">
        <v>503</v>
      </c>
    </row>
    <row r="565" spans="3:6" x14ac:dyDescent="0.2">
      <c r="C565" s="10" t="s">
        <v>12</v>
      </c>
      <c r="F565" s="16" t="s">
        <v>504</v>
      </c>
    </row>
    <row r="566" spans="3:6" x14ac:dyDescent="0.2">
      <c r="C566" s="10" t="s">
        <v>12</v>
      </c>
      <c r="F566" s="16" t="s">
        <v>505</v>
      </c>
    </row>
    <row r="567" spans="3:6" x14ac:dyDescent="0.2">
      <c r="C567" s="10" t="s">
        <v>12</v>
      </c>
      <c r="F567" s="16" t="s">
        <v>506</v>
      </c>
    </row>
    <row r="568" spans="3:6" x14ac:dyDescent="0.2">
      <c r="C568" s="10" t="s">
        <v>12</v>
      </c>
      <c r="F568" s="16" t="s">
        <v>507</v>
      </c>
    </row>
    <row r="569" spans="3:6" x14ac:dyDescent="0.2">
      <c r="C569" s="10" t="s">
        <v>12</v>
      </c>
      <c r="F569" s="16" t="s">
        <v>508</v>
      </c>
    </row>
    <row r="570" spans="3:6" x14ac:dyDescent="0.2">
      <c r="C570" s="10" t="s">
        <v>12</v>
      </c>
      <c r="F570" s="16" t="s">
        <v>509</v>
      </c>
    </row>
    <row r="571" spans="3:6" x14ac:dyDescent="0.2">
      <c r="C571" s="10" t="s">
        <v>12</v>
      </c>
      <c r="F571" s="16" t="s">
        <v>510</v>
      </c>
    </row>
    <row r="572" spans="3:6" x14ac:dyDescent="0.2">
      <c r="C572" s="10" t="s">
        <v>12</v>
      </c>
      <c r="F572" s="16" t="s">
        <v>511</v>
      </c>
    </row>
    <row r="573" spans="3:6" x14ac:dyDescent="0.2">
      <c r="C573" s="10" t="s">
        <v>12</v>
      </c>
      <c r="F573" s="16" t="s">
        <v>512</v>
      </c>
    </row>
    <row r="574" spans="3:6" x14ac:dyDescent="0.2">
      <c r="C574" s="10" t="s">
        <v>12</v>
      </c>
      <c r="F574" s="16" t="s">
        <v>513</v>
      </c>
    </row>
    <row r="575" spans="3:6" x14ac:dyDescent="0.2">
      <c r="C575" s="10" t="s">
        <v>12</v>
      </c>
      <c r="F575" s="16" t="s">
        <v>514</v>
      </c>
    </row>
    <row r="576" spans="3:6" x14ac:dyDescent="0.2">
      <c r="C576" s="10" t="s">
        <v>12</v>
      </c>
      <c r="F576" s="16" t="s">
        <v>515</v>
      </c>
    </row>
    <row r="577" spans="3:6" x14ac:dyDescent="0.2">
      <c r="C577" s="10" t="s">
        <v>12</v>
      </c>
      <c r="F577" s="16" t="s">
        <v>516</v>
      </c>
    </row>
    <row r="578" spans="3:6" x14ac:dyDescent="0.2">
      <c r="C578" s="10" t="s">
        <v>12</v>
      </c>
      <c r="F578" s="16" t="s">
        <v>517</v>
      </c>
    </row>
    <row r="579" spans="3:6" x14ac:dyDescent="0.2">
      <c r="C579" s="10" t="s">
        <v>12</v>
      </c>
      <c r="F579" s="16" t="s">
        <v>518</v>
      </c>
    </row>
    <row r="580" spans="3:6" x14ac:dyDescent="0.2">
      <c r="C580" s="10" t="s">
        <v>12</v>
      </c>
      <c r="F580" s="16" t="s">
        <v>519</v>
      </c>
    </row>
    <row r="581" spans="3:6" x14ac:dyDescent="0.2">
      <c r="C581" s="10" t="s">
        <v>12</v>
      </c>
      <c r="F581" s="16" t="s">
        <v>520</v>
      </c>
    </row>
    <row r="582" spans="3:6" x14ac:dyDescent="0.2">
      <c r="C582" s="10" t="s">
        <v>12</v>
      </c>
      <c r="F582" s="16" t="s">
        <v>521</v>
      </c>
    </row>
    <row r="583" spans="3:6" x14ac:dyDescent="0.2">
      <c r="C583" s="10" t="s">
        <v>12</v>
      </c>
      <c r="F583" s="16" t="s">
        <v>522</v>
      </c>
    </row>
    <row r="584" spans="3:6" x14ac:dyDescent="0.2">
      <c r="C584" s="10" t="s">
        <v>12</v>
      </c>
      <c r="F584" s="16" t="s">
        <v>523</v>
      </c>
    </row>
    <row r="585" spans="3:6" x14ac:dyDescent="0.2">
      <c r="C585" s="10" t="s">
        <v>12</v>
      </c>
      <c r="F585" s="16" t="s">
        <v>524</v>
      </c>
    </row>
    <row r="586" spans="3:6" x14ac:dyDescent="0.2">
      <c r="C586" s="10" t="s">
        <v>12</v>
      </c>
      <c r="F586" s="16" t="s">
        <v>525</v>
      </c>
    </row>
    <row r="587" spans="3:6" x14ac:dyDescent="0.2">
      <c r="C587" s="10" t="s">
        <v>12</v>
      </c>
      <c r="F587" s="16" t="s">
        <v>526</v>
      </c>
    </row>
    <row r="588" spans="3:6" x14ac:dyDescent="0.2">
      <c r="C588" s="10" t="s">
        <v>12</v>
      </c>
      <c r="F588" s="16" t="s">
        <v>527</v>
      </c>
    </row>
    <row r="589" spans="3:6" x14ac:dyDescent="0.2">
      <c r="C589" s="10" t="s">
        <v>12</v>
      </c>
      <c r="F589" s="16" t="s">
        <v>528</v>
      </c>
    </row>
    <row r="590" spans="3:6" x14ac:dyDescent="0.2">
      <c r="C590" s="10" t="s">
        <v>12</v>
      </c>
      <c r="F590" s="16" t="s">
        <v>529</v>
      </c>
    </row>
    <row r="591" spans="3:6" x14ac:dyDescent="0.2">
      <c r="C591" s="10" t="s">
        <v>12</v>
      </c>
      <c r="F591" s="16" t="s">
        <v>530</v>
      </c>
    </row>
    <row r="593" spans="3:6" x14ac:dyDescent="0.2">
      <c r="C593" s="10" t="s">
        <v>12</v>
      </c>
      <c r="F593" s="16" t="s">
        <v>8</v>
      </c>
    </row>
    <row r="594" spans="3:6" x14ac:dyDescent="0.2">
      <c r="C594" s="10" t="s">
        <v>12</v>
      </c>
      <c r="F594" s="16" t="s">
        <v>9</v>
      </c>
    </row>
    <row r="595" spans="3:6" x14ac:dyDescent="0.2">
      <c r="C595" s="10" t="s">
        <v>12</v>
      </c>
      <c r="F595" s="16" t="s">
        <v>96</v>
      </c>
    </row>
    <row r="596" spans="3:6" x14ac:dyDescent="0.2">
      <c r="C596" s="10" t="s">
        <v>12</v>
      </c>
      <c r="F596" s="16" t="s">
        <v>531</v>
      </c>
    </row>
    <row r="597" spans="3:6" x14ac:dyDescent="0.2">
      <c r="C597" s="10" t="s">
        <v>12</v>
      </c>
      <c r="F597" s="16" t="s">
        <v>532</v>
      </c>
    </row>
    <row r="598" spans="3:6" x14ac:dyDescent="0.2">
      <c r="C598" s="10" t="s">
        <v>12</v>
      </c>
      <c r="F598" s="16" t="s">
        <v>533</v>
      </c>
    </row>
    <row r="599" spans="3:6" x14ac:dyDescent="0.2">
      <c r="C599" s="10" t="s">
        <v>12</v>
      </c>
      <c r="F599" s="16" t="s">
        <v>534</v>
      </c>
    </row>
    <row r="600" spans="3:6" x14ac:dyDescent="0.2">
      <c r="C600" s="10" t="s">
        <v>12</v>
      </c>
      <c r="F600" s="16" t="s">
        <v>535</v>
      </c>
    </row>
    <row r="601" spans="3:6" x14ac:dyDescent="0.2">
      <c r="C601" s="10" t="s">
        <v>12</v>
      </c>
      <c r="F601" s="16" t="s">
        <v>536</v>
      </c>
    </row>
    <row r="602" spans="3:6" x14ac:dyDescent="0.2">
      <c r="C602" s="10" t="s">
        <v>12</v>
      </c>
      <c r="F602" s="16" t="s">
        <v>537</v>
      </c>
    </row>
    <row r="603" spans="3:6" x14ac:dyDescent="0.2">
      <c r="C603" s="10" t="s">
        <v>12</v>
      </c>
      <c r="F603" s="16" t="s">
        <v>538</v>
      </c>
    </row>
    <row r="604" spans="3:6" x14ac:dyDescent="0.2">
      <c r="C604" s="10" t="s">
        <v>12</v>
      </c>
      <c r="F604" s="16" t="s">
        <v>539</v>
      </c>
    </row>
    <row r="605" spans="3:6" x14ac:dyDescent="0.2">
      <c r="C605" s="10" t="s">
        <v>12</v>
      </c>
      <c r="F605" s="16" t="s">
        <v>540</v>
      </c>
    </row>
    <row r="606" spans="3:6" x14ac:dyDescent="0.2">
      <c r="C606" s="10" t="s">
        <v>12</v>
      </c>
      <c r="F606" s="16" t="s">
        <v>541</v>
      </c>
    </row>
    <row r="607" spans="3:6" x14ac:dyDescent="0.2">
      <c r="C607" s="10" t="s">
        <v>12</v>
      </c>
      <c r="F607" s="16" t="s">
        <v>542</v>
      </c>
    </row>
    <row r="608" spans="3:6" x14ac:dyDescent="0.2">
      <c r="C608" s="10" t="s">
        <v>12</v>
      </c>
      <c r="F608" s="16" t="s">
        <v>543</v>
      </c>
    </row>
    <row r="609" spans="3:6" x14ac:dyDescent="0.2">
      <c r="C609" s="10" t="s">
        <v>12</v>
      </c>
      <c r="F609" s="16" t="s">
        <v>544</v>
      </c>
    </row>
    <row r="610" spans="3:6" x14ac:dyDescent="0.2">
      <c r="C610" s="10" t="s">
        <v>12</v>
      </c>
      <c r="F610" s="16" t="s">
        <v>545</v>
      </c>
    </row>
    <row r="611" spans="3:6" x14ac:dyDescent="0.2">
      <c r="C611" s="10" t="s">
        <v>12</v>
      </c>
      <c r="F611" s="16" t="s">
        <v>546</v>
      </c>
    </row>
    <row r="612" spans="3:6" x14ac:dyDescent="0.2">
      <c r="C612" s="10" t="s">
        <v>12</v>
      </c>
      <c r="F612" s="16" t="s">
        <v>547</v>
      </c>
    </row>
    <row r="613" spans="3:6" x14ac:dyDescent="0.2">
      <c r="C613" s="10" t="s">
        <v>12</v>
      </c>
      <c r="F613" s="16" t="s">
        <v>548</v>
      </c>
    </row>
    <row r="614" spans="3:6" x14ac:dyDescent="0.2">
      <c r="C614" s="10" t="s">
        <v>12</v>
      </c>
      <c r="F614" s="16" t="s">
        <v>549</v>
      </c>
    </row>
    <row r="615" spans="3:6" x14ac:dyDescent="0.2">
      <c r="C615" s="10" t="s">
        <v>12</v>
      </c>
      <c r="F615" s="16" t="s">
        <v>550</v>
      </c>
    </row>
    <row r="616" spans="3:6" x14ac:dyDescent="0.2">
      <c r="C616" s="10" t="s">
        <v>12</v>
      </c>
      <c r="F616" s="16" t="s">
        <v>551</v>
      </c>
    </row>
    <row r="617" spans="3:6" x14ac:dyDescent="0.2">
      <c r="C617" s="10" t="s">
        <v>12</v>
      </c>
      <c r="F617" s="16" t="s">
        <v>552</v>
      </c>
    </row>
    <row r="618" spans="3:6" x14ac:dyDescent="0.2">
      <c r="C618" s="10" t="s">
        <v>12</v>
      </c>
      <c r="F618" s="16" t="s">
        <v>553</v>
      </c>
    </row>
    <row r="619" spans="3:6" x14ac:dyDescent="0.2">
      <c r="C619" s="10" t="s">
        <v>12</v>
      </c>
      <c r="F619" s="16" t="s">
        <v>554</v>
      </c>
    </row>
    <row r="620" spans="3:6" x14ac:dyDescent="0.2">
      <c r="C620" s="10" t="s">
        <v>12</v>
      </c>
      <c r="F620" s="16" t="s">
        <v>555</v>
      </c>
    </row>
    <row r="621" spans="3:6" x14ac:dyDescent="0.2">
      <c r="C621" s="10" t="s">
        <v>12</v>
      </c>
      <c r="F621" s="16" t="s">
        <v>556</v>
      </c>
    </row>
    <row r="622" spans="3:6" x14ac:dyDescent="0.2">
      <c r="C622" s="10" t="s">
        <v>12</v>
      </c>
      <c r="F622" s="16" t="s">
        <v>557</v>
      </c>
    </row>
    <row r="623" spans="3:6" x14ac:dyDescent="0.2">
      <c r="C623" s="10" t="s">
        <v>12</v>
      </c>
      <c r="F623" s="16" t="s">
        <v>558</v>
      </c>
    </row>
    <row r="624" spans="3:6" x14ac:dyDescent="0.2">
      <c r="C624" s="10" t="s">
        <v>12</v>
      </c>
      <c r="F624" s="16" t="s">
        <v>559</v>
      </c>
    </row>
    <row r="625" spans="3:6" x14ac:dyDescent="0.2">
      <c r="C625" s="10" t="s">
        <v>12</v>
      </c>
      <c r="F625" s="16" t="s">
        <v>560</v>
      </c>
    </row>
  </sheetData>
  <autoFilter ref="A1:L557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2023-06-19T16:15:12Z</dcterms:modified>
</cp:coreProperties>
</file>