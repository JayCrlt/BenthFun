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ZNHP213\OneDrive\Desktop\SZN\Jeremy project\Data\Spring_2023\"/>
    </mc:Choice>
  </mc:AlternateContent>
  <bookViews>
    <workbookView xWindow="0" yWindow="500" windowWidth="28800" windowHeight="16100"/>
  </bookViews>
  <sheets>
    <sheet name="Sheet1" sheetId="1" r:id="rId1"/>
  </sheets>
  <definedNames>
    <definedName name="_xlnm._FilterDatabase" localSheetId="0" hidden="1">Sheet1!$A$1:$L$1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38" i="1" l="1"/>
  <c r="G338" i="1"/>
  <c r="G345" i="1"/>
  <c r="H345" i="1"/>
  <c r="H342" i="1"/>
  <c r="G342" i="1"/>
  <c r="H400" i="1"/>
  <c r="G400" i="1"/>
  <c r="H397" i="1"/>
  <c r="G397" i="1"/>
  <c r="H394" i="1"/>
  <c r="G394" i="1"/>
  <c r="H391" i="1"/>
  <c r="G391" i="1"/>
  <c r="H388" i="1"/>
  <c r="G388" i="1"/>
  <c r="H385" i="1"/>
  <c r="G385" i="1"/>
  <c r="H382" i="1"/>
  <c r="G382" i="1"/>
  <c r="H379" i="1"/>
  <c r="G379" i="1"/>
  <c r="H376" i="1"/>
  <c r="G376" i="1"/>
  <c r="H372" i="1"/>
  <c r="G372" i="1"/>
  <c r="H369" i="1"/>
  <c r="G369" i="1"/>
  <c r="H366" i="1"/>
  <c r="G366" i="1"/>
  <c r="H363" i="1"/>
  <c r="G363" i="1"/>
  <c r="H360" i="1"/>
  <c r="G360" i="1"/>
  <c r="H357" i="1"/>
  <c r="G357" i="1"/>
  <c r="H354" i="1"/>
  <c r="G354" i="1"/>
  <c r="H351" i="1"/>
  <c r="G351" i="1"/>
  <c r="H348" i="1"/>
  <c r="G348" i="1"/>
  <c r="H333" i="1"/>
  <c r="G333" i="1"/>
  <c r="G336" i="1"/>
  <c r="H336" i="1"/>
  <c r="G329" i="1"/>
  <c r="H329" i="1"/>
  <c r="G313" i="1"/>
  <c r="H313" i="1"/>
  <c r="H317" i="1"/>
  <c r="G317" i="1"/>
  <c r="G320" i="1"/>
  <c r="H320" i="1"/>
  <c r="G310" i="1"/>
  <c r="H310" i="1"/>
  <c r="G307" i="1"/>
  <c r="H307" i="1"/>
  <c r="G304" i="1"/>
  <c r="H304" i="1"/>
  <c r="G301" i="1"/>
  <c r="H301" i="1"/>
  <c r="G298" i="1"/>
  <c r="H298" i="1"/>
  <c r="H295" i="1"/>
  <c r="H327" i="1"/>
  <c r="G327" i="1"/>
  <c r="H325" i="1"/>
  <c r="G325" i="1"/>
  <c r="H323" i="1"/>
  <c r="G323" i="1"/>
  <c r="G295" i="1"/>
  <c r="H291" i="1"/>
  <c r="G291" i="1"/>
  <c r="H280" i="1"/>
  <c r="G280" i="1"/>
  <c r="G282" i="1"/>
  <c r="H282" i="1"/>
  <c r="G275" i="1"/>
  <c r="H275" i="1"/>
  <c r="G278" i="1"/>
  <c r="H278" i="1"/>
  <c r="H270" i="1"/>
  <c r="G270" i="1"/>
  <c r="G273" i="1"/>
  <c r="H273" i="1"/>
  <c r="H267" i="1"/>
  <c r="G267" i="1"/>
  <c r="H261" i="1"/>
  <c r="G264" i="1"/>
  <c r="H264" i="1"/>
  <c r="H285" i="1"/>
  <c r="G285" i="1"/>
  <c r="G256" i="1"/>
  <c r="H256" i="1"/>
  <c r="G261" i="1"/>
  <c r="H259" i="1"/>
  <c r="G259" i="1"/>
  <c r="G250" i="1"/>
  <c r="H236" i="1"/>
  <c r="H241" i="1"/>
  <c r="G241" i="1"/>
  <c r="G236" i="1"/>
  <c r="H230" i="1"/>
  <c r="G230" i="1"/>
  <c r="G233" i="1"/>
  <c r="H233" i="1"/>
  <c r="H227" i="1"/>
  <c r="G227" i="1"/>
  <c r="H250" i="1"/>
  <c r="H245" i="1"/>
  <c r="G245" i="1"/>
  <c r="H239" i="1"/>
  <c r="G239" i="1"/>
  <c r="H222" i="1"/>
  <c r="G225" i="1"/>
  <c r="H225" i="1"/>
  <c r="G220" i="1"/>
  <c r="H220" i="1"/>
  <c r="H214" i="1"/>
  <c r="G214" i="1"/>
  <c r="J214" i="1" s="1"/>
  <c r="G222" i="1"/>
  <c r="H209" i="1"/>
  <c r="G209" i="1"/>
  <c r="G198" i="1"/>
  <c r="G201" i="1"/>
  <c r="H201" i="1"/>
  <c r="H198" i="1"/>
  <c r="H195" i="1"/>
  <c r="G195" i="1"/>
  <c r="H191" i="1"/>
  <c r="G191" i="1"/>
  <c r="H185" i="1"/>
  <c r="G185" i="1"/>
  <c r="J185" i="1" s="1"/>
  <c r="H207" i="1"/>
  <c r="G207" i="1"/>
  <c r="G175" i="1"/>
  <c r="H175" i="1"/>
  <c r="G172" i="1"/>
  <c r="H178" i="1"/>
  <c r="G178" i="1"/>
  <c r="H181" i="1"/>
  <c r="G181" i="1"/>
  <c r="H169" i="1"/>
  <c r="G169" i="1"/>
  <c r="G164" i="1"/>
  <c r="G167" i="1"/>
  <c r="H167" i="1"/>
  <c r="G161" i="1"/>
  <c r="G158" i="1"/>
  <c r="G155" i="1"/>
  <c r="G153" i="1"/>
  <c r="J153" i="1" s="1"/>
  <c r="H153" i="1"/>
  <c r="H172" i="1"/>
  <c r="H164" i="1"/>
  <c r="H161" i="1"/>
  <c r="H158" i="1"/>
  <c r="H155" i="1"/>
  <c r="H122" i="1"/>
  <c r="G122" i="1"/>
  <c r="J122" i="1" s="1"/>
  <c r="H149" i="1"/>
  <c r="G149" i="1"/>
  <c r="H146" i="1"/>
  <c r="G146" i="1"/>
  <c r="K357" i="1" l="1"/>
  <c r="K391" i="1"/>
  <c r="J333" i="1"/>
  <c r="K351" i="1" s="1"/>
  <c r="J295" i="1"/>
  <c r="K295" i="1" s="1"/>
  <c r="J256" i="1"/>
  <c r="K256" i="1" s="1"/>
  <c r="K261" i="1"/>
  <c r="K259" i="1"/>
  <c r="K241" i="1"/>
  <c r="K236" i="1"/>
  <c r="K239" i="1"/>
  <c r="K245" i="1"/>
  <c r="K250" i="1"/>
  <c r="K209" i="1"/>
  <c r="K201" i="1"/>
  <c r="K191" i="1"/>
  <c r="K198" i="1"/>
  <c r="K185" i="1"/>
  <c r="K207" i="1"/>
  <c r="K195" i="1"/>
  <c r="K149" i="1"/>
  <c r="K158" i="1"/>
  <c r="K155" i="1"/>
  <c r="K161" i="1"/>
  <c r="K146" i="1"/>
  <c r="K164" i="1"/>
  <c r="H138" i="1"/>
  <c r="G138" i="1"/>
  <c r="H141" i="1"/>
  <c r="G141" i="1"/>
  <c r="H133" i="1"/>
  <c r="G133" i="1"/>
  <c r="H136" i="1"/>
  <c r="G136" i="1"/>
  <c r="H131" i="1"/>
  <c r="G131" i="1"/>
  <c r="H128" i="1"/>
  <c r="G128" i="1"/>
  <c r="H125" i="1"/>
  <c r="G125" i="1"/>
  <c r="K372" i="1" l="1"/>
  <c r="K385" i="1"/>
  <c r="K366" i="1"/>
  <c r="K376" i="1"/>
  <c r="K400" i="1"/>
  <c r="K333" i="1"/>
  <c r="K348" i="1"/>
  <c r="K360" i="1"/>
  <c r="K394" i="1"/>
  <c r="K369" i="1"/>
  <c r="K397" i="1"/>
  <c r="K379" i="1"/>
  <c r="K354" i="1"/>
  <c r="K388" i="1"/>
  <c r="K363" i="1"/>
  <c r="K382" i="1"/>
  <c r="K338" i="1"/>
  <c r="K336" i="1"/>
  <c r="K345" i="1"/>
  <c r="K342" i="1"/>
  <c r="K304" i="1"/>
  <c r="K298" i="1"/>
  <c r="K307" i="1"/>
  <c r="K317" i="1"/>
  <c r="K325" i="1"/>
  <c r="K320" i="1"/>
  <c r="K310" i="1"/>
  <c r="K313" i="1"/>
  <c r="K301" i="1"/>
  <c r="K329" i="1"/>
  <c r="K323" i="1"/>
  <c r="K327" i="1"/>
  <c r="K291" i="1"/>
  <c r="K282" i="1"/>
  <c r="K273" i="1"/>
  <c r="K285" i="1"/>
  <c r="K264" i="1"/>
  <c r="K280" i="1"/>
  <c r="K267" i="1"/>
  <c r="K275" i="1"/>
  <c r="K278" i="1"/>
  <c r="K270" i="1"/>
  <c r="K214" i="1"/>
  <c r="K233" i="1"/>
  <c r="K222" i="1"/>
  <c r="K227" i="1"/>
  <c r="K225" i="1"/>
  <c r="K230" i="1"/>
  <c r="K220" i="1"/>
  <c r="K153" i="1"/>
  <c r="K167" i="1"/>
  <c r="G113" i="1"/>
  <c r="H118" i="1"/>
  <c r="G118" i="1"/>
  <c r="G115" i="1"/>
  <c r="H115" i="1"/>
  <c r="G110" i="1"/>
  <c r="H110" i="1"/>
  <c r="H107" i="1"/>
  <c r="G107" i="1"/>
  <c r="G104" i="1"/>
  <c r="H104" i="1"/>
  <c r="H101" i="1"/>
  <c r="G101" i="1"/>
  <c r="H98" i="1"/>
  <c r="G98" i="1"/>
  <c r="G93" i="1"/>
  <c r="H93" i="1"/>
  <c r="H113" i="1"/>
  <c r="H96" i="1"/>
  <c r="G96" i="1"/>
  <c r="G90" i="1"/>
  <c r="H90" i="1"/>
  <c r="J90" i="1" l="1"/>
  <c r="H69" i="1"/>
  <c r="G69" i="1"/>
  <c r="H87" i="1"/>
  <c r="G87" i="1"/>
  <c r="G81" i="1"/>
  <c r="H84" i="1"/>
  <c r="G84" i="1"/>
  <c r="H81" i="1"/>
  <c r="H61" i="1"/>
  <c r="G61" i="1"/>
  <c r="J61" i="1" s="1"/>
  <c r="K61" i="1" s="1"/>
  <c r="K181" i="1" l="1"/>
  <c r="K178" i="1"/>
  <c r="K175" i="1"/>
  <c r="K172" i="1"/>
  <c r="K169" i="1"/>
  <c r="K104" i="1"/>
  <c r="K122" i="1"/>
  <c r="K125" i="1"/>
  <c r="K133" i="1"/>
  <c r="K131" i="1"/>
  <c r="K138" i="1"/>
  <c r="K128" i="1"/>
  <c r="K141" i="1"/>
  <c r="K136" i="1"/>
  <c r="K96" i="1"/>
  <c r="K93" i="1"/>
  <c r="K115" i="1"/>
  <c r="K101" i="1"/>
  <c r="K90" i="1"/>
  <c r="K107" i="1"/>
  <c r="K110" i="1"/>
  <c r="K118" i="1"/>
  <c r="K113" i="1"/>
  <c r="K98" i="1"/>
  <c r="K84" i="1"/>
  <c r="K81" i="1"/>
  <c r="K87" i="1"/>
  <c r="H78" i="1"/>
  <c r="G78" i="1"/>
  <c r="H75" i="1"/>
  <c r="G75" i="1"/>
  <c r="H73" i="1"/>
  <c r="G73" i="1"/>
  <c r="H71" i="1"/>
  <c r="G71" i="1"/>
  <c r="H66" i="1"/>
  <c r="G66" i="1"/>
  <c r="H63" i="1"/>
  <c r="G63" i="1"/>
  <c r="G58" i="1"/>
  <c r="H58" i="1"/>
  <c r="G56" i="1"/>
  <c r="H56" i="1"/>
  <c r="H54" i="1"/>
  <c r="G54" i="1"/>
  <c r="H51" i="1"/>
  <c r="G51" i="1"/>
  <c r="G46" i="1"/>
  <c r="G43" i="1"/>
  <c r="G39" i="1"/>
  <c r="H49" i="1"/>
  <c r="G49" i="1"/>
  <c r="H39" i="1"/>
  <c r="H46" i="1"/>
  <c r="H43" i="1"/>
  <c r="H32" i="1"/>
  <c r="G32" i="1"/>
  <c r="J32" i="1" s="1"/>
  <c r="K58" i="1" l="1"/>
  <c r="K69" i="1"/>
  <c r="K63" i="1"/>
  <c r="K71" i="1"/>
  <c r="K73" i="1"/>
  <c r="K66" i="1"/>
  <c r="K75" i="1"/>
  <c r="K78" i="1"/>
  <c r="K39" i="1"/>
  <c r="K43" i="1"/>
  <c r="K46" i="1"/>
  <c r="K49" i="1"/>
  <c r="K51" i="1"/>
  <c r="K54" i="1"/>
  <c r="K56" i="1"/>
  <c r="K32" i="1"/>
  <c r="H36" i="1"/>
  <c r="G36" i="1"/>
  <c r="H34" i="1"/>
  <c r="G34" i="1"/>
  <c r="H28" i="1" l="1"/>
  <c r="G28" i="1"/>
  <c r="H25" i="1"/>
  <c r="G25" i="1"/>
  <c r="G4" i="1"/>
  <c r="H23" i="1"/>
  <c r="G23" i="1"/>
  <c r="H20" i="1"/>
  <c r="G20" i="1"/>
  <c r="H17" i="1"/>
  <c r="G17" i="1"/>
  <c r="H15" i="1"/>
  <c r="G15" i="1"/>
  <c r="G7" i="1"/>
  <c r="H10" i="1"/>
  <c r="G10" i="1"/>
  <c r="H13" i="1"/>
  <c r="G13" i="1"/>
  <c r="H4" i="1"/>
  <c r="H7" i="1"/>
  <c r="G2" i="1"/>
  <c r="J2" i="1" s="1"/>
  <c r="H2" i="1"/>
  <c r="K36" i="1" l="1"/>
  <c r="K7" i="1"/>
  <c r="K34" i="1"/>
  <c r="K15" i="1"/>
  <c r="K25" i="1"/>
  <c r="K20" i="1"/>
  <c r="K23" i="1"/>
  <c r="K13" i="1"/>
  <c r="K10" i="1"/>
  <c r="K17" i="1"/>
  <c r="K28" i="1"/>
  <c r="K2" i="1"/>
  <c r="K4" i="1"/>
</calcChain>
</file>

<file path=xl/sharedStrings.xml><?xml version="1.0" encoding="utf-8"?>
<sst xmlns="http://schemas.openxmlformats.org/spreadsheetml/2006/main" count="1375" uniqueCount="422">
  <si>
    <t>Operator</t>
  </si>
  <si>
    <t>analysis date</t>
  </si>
  <si>
    <t>site</t>
  </si>
  <si>
    <t>weight_g</t>
  </si>
  <si>
    <t>TA</t>
  </si>
  <si>
    <t>Sample id</t>
  </si>
  <si>
    <t>correction</t>
  </si>
  <si>
    <t>note</t>
  </si>
  <si>
    <t>CRM1</t>
  </si>
  <si>
    <t>CRM2</t>
  </si>
  <si>
    <t>delta batch</t>
  </si>
  <si>
    <t>Jeremy</t>
  </si>
  <si>
    <t>Castello_south</t>
  </si>
  <si>
    <t>T0_t1_ELOW_tile_01a</t>
  </si>
  <si>
    <t>T0_t1_ELOW_tile_01b</t>
  </si>
  <si>
    <t>T0_t1_ELOW_tile_01c</t>
  </si>
  <si>
    <t>T0_t1_ELOW_tile_02b</t>
  </si>
  <si>
    <t>T0_t1_ELOW_tile_02a</t>
  </si>
  <si>
    <t>T0_t1_ELOW_tile_03a</t>
  </si>
  <si>
    <t>T0_t1_ELOW_tile_03b</t>
  </si>
  <si>
    <t>T0_t0_ELOW_blank_01a</t>
  </si>
  <si>
    <t>T0_t0_ELOW_blank_01b</t>
  </si>
  <si>
    <t>T0_t0_ELOW_blank_01c</t>
  </si>
  <si>
    <t>T0_t0_ELOW_blank_02a</t>
  </si>
  <si>
    <t>T0_t0_ELOW_blank_02b</t>
  </si>
  <si>
    <t>T0_t0_ELOW_blank_02c</t>
  </si>
  <si>
    <t>T0_t1_ELOW_blank_01a</t>
  </si>
  <si>
    <t>T0_t1_ELOW_blank_01c</t>
  </si>
  <si>
    <t>T0_t1_ELOW_blank_01b</t>
  </si>
  <si>
    <t>T0_t1_ELOW_tile_04a</t>
  </si>
  <si>
    <t>T0_t1_ELOW_tile_04b</t>
  </si>
  <si>
    <t>T0_t1_ELOW_tile_04c</t>
  </si>
  <si>
    <t>T0_t1_ELOW_tile_05a</t>
  </si>
  <si>
    <t>T0_t1_ELOW_tile_05b</t>
  </si>
  <si>
    <t>T0_t1_ELOW_tile_06a</t>
  </si>
  <si>
    <t>T0_t1_ELOW_tile_06c</t>
  </si>
  <si>
    <t>T0_t1_ELOW_blank_02a</t>
  </si>
  <si>
    <t>T0_t1_ELOW_blank_02b</t>
  </si>
  <si>
    <t>T0_t1_ELOW_blank_02c</t>
  </si>
  <si>
    <t>T0_t1_ELOW_tile_06d</t>
  </si>
  <si>
    <t>Batch mean</t>
  </si>
  <si>
    <t>Batch sd</t>
  </si>
  <si>
    <t>T0_t0_LOW_blank_01a</t>
  </si>
  <si>
    <t>T0_t0_LOW_blank_01b</t>
  </si>
  <si>
    <t>T0_t0_LOW_blank_02a</t>
  </si>
  <si>
    <t>T0_t0_LOW_blank_02b</t>
  </si>
  <si>
    <t>T0_t0_LOW_blank_02c</t>
  </si>
  <si>
    <t>T0_t1_LOW_tile_01a</t>
  </si>
  <si>
    <t>T0_t1_LOW_tile_01b</t>
  </si>
  <si>
    <t>T0_t1_LOW_tile_01c</t>
  </si>
  <si>
    <t>T0_t1_LOW_tile_02a</t>
  </si>
  <si>
    <t>T0_t1_LOW_tile_02b</t>
  </si>
  <si>
    <t>T0_t1_LOW_tile_03a</t>
  </si>
  <si>
    <t>T0_t1_LOW_tile_03b</t>
  </si>
  <si>
    <t>T0_t1_LOW_blank_01a</t>
  </si>
  <si>
    <t>T0_t1_LOW_blank_01b</t>
  </si>
  <si>
    <t>T0_t1_LOW_tile_04a</t>
  </si>
  <si>
    <t>T0_t1_LOW_tile_04b</t>
  </si>
  <si>
    <t>T0_t1_LOW_tile_04c</t>
  </si>
  <si>
    <t>T0_t1_LOW_tile_05a</t>
  </si>
  <si>
    <t>T0_t1_LOW_tile_05b</t>
  </si>
  <si>
    <t>T0_t1_LOW_tile_06a</t>
  </si>
  <si>
    <t>T0_t1_LOW_tile_06b</t>
  </si>
  <si>
    <t>T0_t1_LOW_blank_02a</t>
  </si>
  <si>
    <t>T0_t1_LOW_blank_02b</t>
  </si>
  <si>
    <t>T0_t1_LOW_tile_03c</t>
  </si>
  <si>
    <t>T0_t1_LOW_tile_01d</t>
  </si>
  <si>
    <t>T0_t1_LOW_tile_02d</t>
  </si>
  <si>
    <t>T0_t0_AMB_blank_01a</t>
  </si>
  <si>
    <t>T0_t0_AMB_blank_01b</t>
  </si>
  <si>
    <t>T0_t0_AMB_blank_02a</t>
  </si>
  <si>
    <t>T0_t0_AMB_blank_02b</t>
  </si>
  <si>
    <t>T0_t0_AMB_blank_02c</t>
  </si>
  <si>
    <t>T0_t1_AMB_tile_01b</t>
  </si>
  <si>
    <t>T0_t1_AMB_tile_02a</t>
  </si>
  <si>
    <t>T0_t1_AMB_tile_02b</t>
  </si>
  <si>
    <t>T0_t1_AMB_tile_03a</t>
  </si>
  <si>
    <t>T0_t1_AMB_tile_03b</t>
  </si>
  <si>
    <t>T0_t1_AMB_blank_01a</t>
  </si>
  <si>
    <t>T0_t1_AMB_blank_01b</t>
  </si>
  <si>
    <t>T0_t1_AMB_tile_04a</t>
  </si>
  <si>
    <t>T0_t1_AMB_tile_04b</t>
  </si>
  <si>
    <t>T0_t1_AMB_tile_04c</t>
  </si>
  <si>
    <t>T0_t0_AMB_blank_01c</t>
  </si>
  <si>
    <t>T0_t1_AMB_blank_01c</t>
  </si>
  <si>
    <t>T0_t1_AMB_tile_05a</t>
  </si>
  <si>
    <t>T0_t1_AMB_blank_02a</t>
  </si>
  <si>
    <t>T0_t1_AMB_blank_02b</t>
  </si>
  <si>
    <t>T0_t1_AMB_tile_05b</t>
  </si>
  <si>
    <t>T0_t1_AMB_tile_05c</t>
  </si>
  <si>
    <t>T0_t1_AMB_tile_06a</t>
  </si>
  <si>
    <t>T0_t1_AMB_tile_06b</t>
  </si>
  <si>
    <t>T0_t1_AMB_tile_06c</t>
  </si>
  <si>
    <t>T0_t1_AMB_tile_01d</t>
  </si>
  <si>
    <t>Batch 184</t>
  </si>
  <si>
    <t>ALK batch</t>
  </si>
  <si>
    <t>CRM3</t>
  </si>
  <si>
    <t>T1_t0_ELOW_blank_01a</t>
  </si>
  <si>
    <t>T1_t0_ELOW_blank_01b</t>
  </si>
  <si>
    <t>T1_t0_ELOW_blank_01c</t>
  </si>
  <si>
    <t>T1_t0_ELOW_blank_02a</t>
  </si>
  <si>
    <t>T1_t0_ELOW_blank_02b</t>
  </si>
  <si>
    <t>T1_t1_ELOW_tile_01a</t>
  </si>
  <si>
    <t>T1_t1_ELOW_tile_01b</t>
  </si>
  <si>
    <t>T1_t1_ELOW_tile_01c</t>
  </si>
  <si>
    <t>T1_t1_ELOW_tile_02a</t>
  </si>
  <si>
    <t>T1_t1_ELOW_tile_02b</t>
  </si>
  <si>
    <t>T1_t1_ELOW_tile_02c</t>
  </si>
  <si>
    <t>T1_t1_ELOW_tile_03a</t>
  </si>
  <si>
    <t>T1_t1_ELOW_tile_03b</t>
  </si>
  <si>
    <t>T1_t1_ELOW_tile_03c</t>
  </si>
  <si>
    <t>T1_t1_ELOW_blank_01a</t>
  </si>
  <si>
    <t>T1_t1_ELOW_blank_01b</t>
  </si>
  <si>
    <t>T1_t1_ELOW_blank_01c</t>
  </si>
  <si>
    <t>T1_t1_ELOW_tile_04a</t>
  </si>
  <si>
    <t>T1_t1_ELOW_tile_04b</t>
  </si>
  <si>
    <t>T1_t1_ELOW_tile_04c</t>
  </si>
  <si>
    <t>T1_t1_ELOW_tile_05a</t>
  </si>
  <si>
    <t>T1_t1_ELOW_tile_05b</t>
  </si>
  <si>
    <t>T1_t1_ELOW_tile_06a</t>
  </si>
  <si>
    <t>T1_t1_ELOW_tile_06b</t>
  </si>
  <si>
    <t>T1_t1_ELOW_tile_06c</t>
  </si>
  <si>
    <t>T1_t1_ELOW_blank_02a</t>
  </si>
  <si>
    <t>T1_t1_ELOW_blank_02b</t>
  </si>
  <si>
    <t>T1_t1_ELOW_blank_02c</t>
  </si>
  <si>
    <t>T1_t0_LOW_blank_01a</t>
  </si>
  <si>
    <t>T1_t0_LOW_blank_01b</t>
  </si>
  <si>
    <t>T1_t0_LOW_blank_01c</t>
  </si>
  <si>
    <t>T1_t0_LOW_blank_02a</t>
  </si>
  <si>
    <t>T1_t0_LOW_blank_02b</t>
  </si>
  <si>
    <t>T1_t1_LOW_tile_01a</t>
  </si>
  <si>
    <t>T1_t1_LOW_tile_01b</t>
  </si>
  <si>
    <t>T1_t1_LOW_tile_02a</t>
  </si>
  <si>
    <t>T1_t1_LOW_tile_02b</t>
  </si>
  <si>
    <t>T1_t1_LOW_tile_02c</t>
  </si>
  <si>
    <t>T1_t1_LOW_tile_03a</t>
  </si>
  <si>
    <t>T1_t1_LOW_tile_03b</t>
  </si>
  <si>
    <t>T1_t1_LOW_blank_01a</t>
  </si>
  <si>
    <t>T1_t1_LOW_blank_01b</t>
  </si>
  <si>
    <t>T1_t1_LOW_blank_01c</t>
  </si>
  <si>
    <t>T1_t1_LOW_tile_04a</t>
  </si>
  <si>
    <t>T1_t1_LOW_tile_04b</t>
  </si>
  <si>
    <t>T1_t1_LOW_tile_05a</t>
  </si>
  <si>
    <t>T1_t1_LOW_tile_05b</t>
  </si>
  <si>
    <t>T1_t1_LOW_tile_06a</t>
  </si>
  <si>
    <t>T1_t1_LOW_tile_06b</t>
  </si>
  <si>
    <t>T1_t1_LOW_tile_06c</t>
  </si>
  <si>
    <t>T1_t1_LOW_blank_02a</t>
  </si>
  <si>
    <t>T1_t1_LOW_blank_02b</t>
  </si>
  <si>
    <t>T1_t1_LOW_blank_02c</t>
  </si>
  <si>
    <t>T1_t0_LOW_blank_02c</t>
  </si>
  <si>
    <t>T1_t1_LOW_tile_05c</t>
  </si>
  <si>
    <t>Alice</t>
  </si>
  <si>
    <t>NA</t>
  </si>
  <si>
    <t>T1_t1_LOW_tile_01c</t>
  </si>
  <si>
    <t>T1_t1_LOW_tile_04c</t>
  </si>
  <si>
    <t>T1_t1_LOW_blank_02d</t>
  </si>
  <si>
    <t>T1_t1_LOW_tile_06d</t>
  </si>
  <si>
    <t>PI_t1_ELOW_T0a</t>
  </si>
  <si>
    <t>PI_t1_ELOW_T0b</t>
  </si>
  <si>
    <t>PI_t1_ELOW_T0c</t>
  </si>
  <si>
    <t>PI_t2_ELOW_T0a</t>
  </si>
  <si>
    <t>PI_t2_ELOW_T0b</t>
  </si>
  <si>
    <t>PI_t2_ELOW_T0c</t>
  </si>
  <si>
    <t>PI_t3_ELOW_T0a</t>
  </si>
  <si>
    <t>PI_t3_ELOW_T0b</t>
  </si>
  <si>
    <t>PI_t3_ELOW_T0c</t>
  </si>
  <si>
    <t>PI_t4_ELOW_T0a</t>
  </si>
  <si>
    <t>PI_t4_ELOW_T0b</t>
  </si>
  <si>
    <t>PI_t4_ELOW_T0c</t>
  </si>
  <si>
    <t>PI_t5_ELOW_T0a</t>
  </si>
  <si>
    <t>PI_t5_ELOW_T0b</t>
  </si>
  <si>
    <t>PI_t5_ELOW_T0c</t>
  </si>
  <si>
    <t>PI_t6_ELOW_T0a</t>
  </si>
  <si>
    <t>PI_t6_ELOW_T0b</t>
  </si>
  <si>
    <t>PI_t6_ELOW_T0c</t>
  </si>
  <si>
    <t>PI_t7_ELOW_T0a</t>
  </si>
  <si>
    <t>PI_t7_ELOW_T0b</t>
  </si>
  <si>
    <t>PI_t8_ELOW_T0a</t>
  </si>
  <si>
    <t>PI_t8_ELOW_T0b</t>
  </si>
  <si>
    <t>PI_t8_ELOW_T0c</t>
  </si>
  <si>
    <t>PI_t2_ELOW_T0d</t>
  </si>
  <si>
    <t>too many variability</t>
  </si>
  <si>
    <t>PI_t8_ELOW_T0d</t>
  </si>
  <si>
    <t>PI_t2_LOW_T0a</t>
  </si>
  <si>
    <t>PI_t2_LOW_T0b</t>
  </si>
  <si>
    <t>PI_t3_LOW_T0a</t>
  </si>
  <si>
    <t>PI_t3_LOW_T0b</t>
  </si>
  <si>
    <t>PI_t3_LOW_T0c</t>
  </si>
  <si>
    <t>PI_t4_LOW_T0a</t>
  </si>
  <si>
    <t>PI_t4_LOW_T0b</t>
  </si>
  <si>
    <t>PI_t5_LOW_T0a</t>
  </si>
  <si>
    <t>PI_t5_LOW_T0b</t>
  </si>
  <si>
    <t>PI_t5_LOW_T0c</t>
  </si>
  <si>
    <t>PI_t6_LOW_T0a</t>
  </si>
  <si>
    <t>PI_t6_LOW_T0b</t>
  </si>
  <si>
    <t>PI_t6_LOW_T0c</t>
  </si>
  <si>
    <t>PI_t7_LOW_T0a</t>
  </si>
  <si>
    <t>PI_t7_LOW_T0b</t>
  </si>
  <si>
    <t>PI_t1_AMB_T0a</t>
  </si>
  <si>
    <t>PI_t1_AMB_T0b</t>
  </si>
  <si>
    <t>PI_t1_AMB_T0c</t>
  </si>
  <si>
    <t>PI_t2_AMB_T0a</t>
  </si>
  <si>
    <t>PI_t2_AMB_T0b</t>
  </si>
  <si>
    <t>PI_t3_AMB_T0a</t>
  </si>
  <si>
    <t>PI_t3_AMB_T0b</t>
  </si>
  <si>
    <t>PI_t3_AMB_T0c</t>
  </si>
  <si>
    <t>PI_t4_AMB_T0a</t>
  </si>
  <si>
    <t>PI_t4_AMB_T0b</t>
  </si>
  <si>
    <t>PI_t6_AMB_T0a</t>
  </si>
  <si>
    <t>PI_t6_AMB_T0b</t>
  </si>
  <si>
    <t>PI_t7_AMB_T0a</t>
  </si>
  <si>
    <t>PI_t7_AMB_T0b</t>
  </si>
  <si>
    <t>PI_t7_AMB_T0c</t>
  </si>
  <si>
    <t>PI_t3_AMB_T0d</t>
  </si>
  <si>
    <t>PI_t1_ELOW_Tile_1a</t>
  </si>
  <si>
    <t>PI_t1_ELOW_Tile_1b</t>
  </si>
  <si>
    <t>PI_t1_ELOW_Tile_2a</t>
  </si>
  <si>
    <t>PI_t1_ELOW_Tile_2b</t>
  </si>
  <si>
    <t>PI_t1_ELOW_Tile_2c</t>
  </si>
  <si>
    <t>PI_t1_ELOW_Tile_3a</t>
  </si>
  <si>
    <t>PI_t1_ELOW_Tile_3b</t>
  </si>
  <si>
    <t>PI_t1_ELOW_Tile_3c</t>
  </si>
  <si>
    <t>PI_t1_ELOW_blank_a</t>
  </si>
  <si>
    <t>PI_t1_ELOW_blank_b</t>
  </si>
  <si>
    <t>PI_t1_ELOW_blank_c</t>
  </si>
  <si>
    <t>PI_t5_AMB_T0a</t>
  </si>
  <si>
    <t>PI_t5_AMB_T0b</t>
  </si>
  <si>
    <t>PI_t5_AMB_T0c</t>
  </si>
  <si>
    <t>Broken bottle</t>
  </si>
  <si>
    <t>PI_t1_LOW_T0c</t>
  </si>
  <si>
    <t>PI_t1_LOW_T0b</t>
  </si>
  <si>
    <t>PI_t1_LOW_T0a</t>
  </si>
  <si>
    <t>PI_t2_ELOW_Tile_1a</t>
  </si>
  <si>
    <t>PI_t2_ELOW_Tile_1b</t>
  </si>
  <si>
    <t>PI_t2_ELOW_Tile_2a</t>
  </si>
  <si>
    <t>PI_t2_ELOW_Tile_2b</t>
  </si>
  <si>
    <t>PI_t2_ELOW_Tile_3a</t>
  </si>
  <si>
    <t>PI_t2_ELOW_Tile_3c</t>
  </si>
  <si>
    <t>PI_t3_ELOW_Tile_1a</t>
  </si>
  <si>
    <t>PI_t3_ELOW_Tile_1b</t>
  </si>
  <si>
    <t>PI_t3_ELOW_Tile_2a</t>
  </si>
  <si>
    <t>PI_t3_ELOW_Tile_2b</t>
  </si>
  <si>
    <t>PI_t3_ELOW_Tile_3a</t>
  </si>
  <si>
    <t>PI_t3_ELOW_Tile_3b</t>
  </si>
  <si>
    <t>PI_t3_ELOW_Tile_3c</t>
  </si>
  <si>
    <t>PI_t4_ELOW_Tile_1a</t>
  </si>
  <si>
    <t>PI_t4_ELOW_Tile_1b</t>
  </si>
  <si>
    <t>PI_t4_ELOW_Tile_2a</t>
  </si>
  <si>
    <t>PI_t4_ELOW_Tile_2b</t>
  </si>
  <si>
    <t>PI_t4_ELOW_Tile_2c</t>
  </si>
  <si>
    <t>PI_t4_ELOW_Tile_3b</t>
  </si>
  <si>
    <t>PI_t4_ELOW_Tile_3c</t>
  </si>
  <si>
    <t>PI_t5_ELOW_Tile_1a</t>
  </si>
  <si>
    <t>PI_t5_ELOW_Tile_1b</t>
  </si>
  <si>
    <t>PI_t5_ELOW_Tile_2a</t>
  </si>
  <si>
    <t>PI_t5_ELOW_Tile_2b</t>
  </si>
  <si>
    <t>PI_t5_ELOW_Tile_2c</t>
  </si>
  <si>
    <t>PI_t5_ELOW_Tile_3a</t>
  </si>
  <si>
    <t>PI_t5_ELOW_Tile_3b</t>
  </si>
  <si>
    <t>PI_t5_ELOW_Tile_3c</t>
  </si>
  <si>
    <t>PI_t2_ELOW_Tile_1c</t>
  </si>
  <si>
    <t>PI_t4_ELOW_Tile_1c</t>
  </si>
  <si>
    <t>PI_t5_ELOW_Tile_1c</t>
  </si>
  <si>
    <t>PI_t6_ELOW_Tile_1a</t>
  </si>
  <si>
    <t>PI_t6_ELOW_Tile_1b</t>
  </si>
  <si>
    <t>PI_t6_ELOW_Tile_1c</t>
  </si>
  <si>
    <t>PI_t6_ELOW_Tile_2a</t>
  </si>
  <si>
    <t>PI_t6_ELOW_Tile_2b</t>
  </si>
  <si>
    <t>PI_t6_ELOW_Tile_2c</t>
  </si>
  <si>
    <t>PI_t6_ELOW_Tile_3a</t>
  </si>
  <si>
    <t>PI_t6_ELOW_Tile_3b</t>
  </si>
  <si>
    <t>PI_t6_ELOW_Tile_3c</t>
  </si>
  <si>
    <t>PI_t7_ELOW_Tile_1a</t>
  </si>
  <si>
    <t>PI_t7_ELOW_Tile_1b</t>
  </si>
  <si>
    <t>PI_t7_ELOW_Tile_1c</t>
  </si>
  <si>
    <t>PI_t7_ELOW_Tile_2a</t>
  </si>
  <si>
    <t>PI_t7_ELOW_Tile_2b</t>
  </si>
  <si>
    <t>PI_t7_ELOW_Tile_2c</t>
  </si>
  <si>
    <t>PI_t7_ELOW_Tile_3a</t>
  </si>
  <si>
    <t>PI_t7_ELOW_Tile_3b</t>
  </si>
  <si>
    <t>PI_t8_ELOW_Tile_1a</t>
  </si>
  <si>
    <t>PI_t8_ELOW_Tile_1b</t>
  </si>
  <si>
    <t>PI_t8_ELOW_Tile_2a</t>
  </si>
  <si>
    <t>PI_t8_ELOW_Tile_2b</t>
  </si>
  <si>
    <t>PI_t8_ELOW_Tile_3a</t>
  </si>
  <si>
    <t>PI_t8_ELOW_Tile_3b</t>
  </si>
  <si>
    <t>PI_t8_ELOW_Tile_3c</t>
  </si>
  <si>
    <t>PI_t1_LOW_Tile_1a</t>
  </si>
  <si>
    <t>PI_t1_LOW_Tile_1b</t>
  </si>
  <si>
    <t>PI_t1_LOW_Tile_2a</t>
  </si>
  <si>
    <t>PI_t1_LOW_Tile_2b</t>
  </si>
  <si>
    <t>PI_t1_LOW_Tile_2c</t>
  </si>
  <si>
    <t>PI_t1_LOW_Tile_3a</t>
  </si>
  <si>
    <t>PI_t1_LOW_Tile_3b</t>
  </si>
  <si>
    <t>PI_t1_LOW_Tile_3c</t>
  </si>
  <si>
    <t>PI_t1_LOW_blank_a</t>
  </si>
  <si>
    <t>PI_t1_LOW_blank_b</t>
  </si>
  <si>
    <t>PI_t1_LOW_blank_c</t>
  </si>
  <si>
    <t>PI_t2_LOW_Tile_1a</t>
  </si>
  <si>
    <t>PI_t2_LOW_Tile_1b</t>
  </si>
  <si>
    <t>PI_t2_LOW_Tile_1c</t>
  </si>
  <si>
    <t>PI_t2_LOW_Tile_2a</t>
  </si>
  <si>
    <t>PI_t2_LOW_Tile_2b</t>
  </si>
  <si>
    <t>PI_t2_LOW_Tile_2c</t>
  </si>
  <si>
    <t>PI_t2_LOW_Tile_3a</t>
  </si>
  <si>
    <t>PI_t2_LOW_Tile_3b</t>
  </si>
  <si>
    <t>PI_t2_LOW_Tile_3c</t>
  </si>
  <si>
    <t>PI_t3_LOW_Tile_1a</t>
  </si>
  <si>
    <t>PI_t3_LOW_Tile_1b</t>
  </si>
  <si>
    <t>PI_t3_LOW_Tile_1c</t>
  </si>
  <si>
    <t>PI_t3_LOW_Tile_2a</t>
  </si>
  <si>
    <t>PI_t3_LOW_Tile_2b</t>
  </si>
  <si>
    <t>PI_t3_LOW_Tile_2c</t>
  </si>
  <si>
    <t>PI_t3_LOW_Tile_3a</t>
  </si>
  <si>
    <t>PI_t3_LOW_Tile_3b</t>
  </si>
  <si>
    <t>PI_t3_LOW_Tile_3c</t>
  </si>
  <si>
    <t>PI_t4_LOW_Tile_1a</t>
  </si>
  <si>
    <t>PI_t4_LOW_Tile_1b</t>
  </si>
  <si>
    <t>PI_t4_LOW_Tile_1c</t>
  </si>
  <si>
    <t>PI_t4_LOW_Tile_2a</t>
  </si>
  <si>
    <t>PI_t4_LOW_Tile_2b</t>
  </si>
  <si>
    <t>PI_t4_LOW_Tile_2c</t>
  </si>
  <si>
    <t>PI_t4_LOW_Tile_3a</t>
  </si>
  <si>
    <t>PI_t4_LOW_Tile_3b</t>
  </si>
  <si>
    <t>PI_t4_LOW_Tile_3c</t>
  </si>
  <si>
    <t>PI_t5_LOW_Tile_1a</t>
  </si>
  <si>
    <t>PI_t5_LOW_Tile_1b</t>
  </si>
  <si>
    <t>PI_t5_LOW_Tile_1c</t>
  </si>
  <si>
    <t>PI_t5_LOW_Tile_2a</t>
  </si>
  <si>
    <t>PI_t5_LOW_Tile_2b</t>
  </si>
  <si>
    <t>PI_t5_LOW_Tile_2c</t>
  </si>
  <si>
    <t>PI_t5_LOW_Tile_3a</t>
  </si>
  <si>
    <t>PI_t5_LOW_Tile_3b</t>
  </si>
  <si>
    <t>PI_t5_LOW_Tile_3c</t>
  </si>
  <si>
    <t>PI_t6_LOW_Tile_1a</t>
  </si>
  <si>
    <t>PI_t6_LOW_Tile_1b</t>
  </si>
  <si>
    <t>PI_t6_LOW_Tile_1c</t>
  </si>
  <si>
    <t>PI_t6_LOW_Tile_2a</t>
  </si>
  <si>
    <t>PI_t6_LOW_Tile_2b</t>
  </si>
  <si>
    <t>PI_t6_LOW_Tile_2c</t>
  </si>
  <si>
    <t>PI_t6_LOW_Tile_3a</t>
  </si>
  <si>
    <t>PI_t6_LOW_Tile_3b</t>
  </si>
  <si>
    <t>PI_t6_LOW_Tile_3c</t>
  </si>
  <si>
    <t>PI_t7_LOW_Tile_1a</t>
  </si>
  <si>
    <t>PI_t7_LOW_Tile_1b</t>
  </si>
  <si>
    <t>PI_t7_LOW_Tile_1c</t>
  </si>
  <si>
    <t>PI_t7_LOW_Tile_2a</t>
  </si>
  <si>
    <t>PI_t7_LOW_Tile_2b</t>
  </si>
  <si>
    <t>PI_t7_LOW_Tile_2c</t>
  </si>
  <si>
    <t>PI_t7_LOW_Tile_3a</t>
  </si>
  <si>
    <t>PI_t7_LOW_Tile_3b</t>
  </si>
  <si>
    <t>PI_t7_LOW_Tile_3c</t>
  </si>
  <si>
    <t>PI_t1_AMB_Tile_1a</t>
  </si>
  <si>
    <t>PI_t1_AMB_Tile_1b</t>
  </si>
  <si>
    <t>PI_t1_AMB_Tile_2a</t>
  </si>
  <si>
    <t>PI_t1_AMB_Tile_2b</t>
  </si>
  <si>
    <t>PI_t1_AMB_Tile_2c</t>
  </si>
  <si>
    <t>PI_t1_AMB_Tile_3a</t>
  </si>
  <si>
    <t>PI_t1_AMB_Tile_3b</t>
  </si>
  <si>
    <t>PI_t1_AMB_Tile_3c</t>
  </si>
  <si>
    <t>PI_t1_AMB_blank_a</t>
  </si>
  <si>
    <t>PI_t1_AMB_blank_b</t>
  </si>
  <si>
    <t>PI_t1_AMB_blank_c</t>
  </si>
  <si>
    <t>PI_t2_AMB_Tile_1a</t>
  </si>
  <si>
    <t>PI_t2_AMB_Tile_1b</t>
  </si>
  <si>
    <t>PI_t2_AMB_Tile_1c</t>
  </si>
  <si>
    <t>PI_t2_AMB_Tile_2a</t>
  </si>
  <si>
    <t>PI_t2_AMB_Tile_2b</t>
  </si>
  <si>
    <t>PI_t2_AMB_Tile_2c</t>
  </si>
  <si>
    <t>PI_t2_AMB_Tile_3a</t>
  </si>
  <si>
    <t>PI_t2_AMB_Tile_3b</t>
  </si>
  <si>
    <t>PI_t2_AMB_Tile_3c</t>
  </si>
  <si>
    <t>PI_t3_AMB_Tile_1a</t>
  </si>
  <si>
    <t>PI_t3_AMB_Tile_1b</t>
  </si>
  <si>
    <t>PI_t3_AMB_Tile_1c</t>
  </si>
  <si>
    <t>PI_t3_AMB_Tile_2a</t>
  </si>
  <si>
    <t>PI_t3_AMB_Tile_2b</t>
  </si>
  <si>
    <t>PI_t3_AMB_Tile_2c</t>
  </si>
  <si>
    <t>PI_t3_AMB_Tile_3a</t>
  </si>
  <si>
    <t>PI_t3_AMB_Tile_3b</t>
  </si>
  <si>
    <t>PI_t3_AMB_Tile_3c</t>
  </si>
  <si>
    <t>PI_t4_AMB_Tile_1a</t>
  </si>
  <si>
    <t>PI_t4_AMB_Tile_1b</t>
  </si>
  <si>
    <t>PI_t4_AMB_Tile_1c</t>
  </si>
  <si>
    <t>PI_t4_AMB_Tile_2a</t>
  </si>
  <si>
    <t>PI_t4_AMB_Tile_2b</t>
  </si>
  <si>
    <t>PI_t4_AMB_Tile_2c</t>
  </si>
  <si>
    <t>PI_t4_AMB_Tile_3a</t>
  </si>
  <si>
    <t>PI_t4_AMB_Tile_3b</t>
  </si>
  <si>
    <t>PI_t4_AMB_Tile_3c</t>
  </si>
  <si>
    <t>PI_t5_AMB_Tile_1a</t>
  </si>
  <si>
    <t>PI_t5_AMB_Tile_1b</t>
  </si>
  <si>
    <t>PI_t5_AMB_Tile_1c</t>
  </si>
  <si>
    <t>PI_t5_AMB_Tile_2a</t>
  </si>
  <si>
    <t>PI_t5_AMB_Tile_2b</t>
  </si>
  <si>
    <t>PI_t5_AMB_Tile_2c</t>
  </si>
  <si>
    <t>PI_t5_AMB_Tile_3a</t>
  </si>
  <si>
    <t>PI_t5_AMB_Tile_3b</t>
  </si>
  <si>
    <t>PI_t5_AMB_Tile_3c</t>
  </si>
  <si>
    <t>PI_t6_AMB_Tile_1a</t>
  </si>
  <si>
    <t>PI_t6_AMB_Tile_1b</t>
  </si>
  <si>
    <t>PI_t6_AMB_Tile_1c</t>
  </si>
  <si>
    <t>PI_t6_AMB_Tile_2a</t>
  </si>
  <si>
    <t>PI_t6_AMB_Tile_2b</t>
  </si>
  <si>
    <t>PI_t6_AMB_Tile_2c</t>
  </si>
  <si>
    <t>PI_t6_AMB_Tile_3a</t>
  </si>
  <si>
    <t>PI_t6_AMB_Tile_3b</t>
  </si>
  <si>
    <t>PI_t6_AMB_Tile_3c</t>
  </si>
  <si>
    <t>PI_t7_AMB_Tile_1a</t>
  </si>
  <si>
    <t>PI_t7_AMB_Tile_1b</t>
  </si>
  <si>
    <t>PI_t7_AMB_Tile_1c</t>
  </si>
  <si>
    <t>PI_t7_AMB_Tile_2a</t>
  </si>
  <si>
    <t>PI_t7_AMB_Tile_2b</t>
  </si>
  <si>
    <t>PI_t7_AMB_Tile_2c</t>
  </si>
  <si>
    <t>PI_t7_AMB_Tile_3a</t>
  </si>
  <si>
    <t>PI_t7_AMB_Tile_3b</t>
  </si>
  <si>
    <t>PI_t7_AMB_Tile_3c</t>
  </si>
  <si>
    <t>PI_t2_ELOW_Tile_3e</t>
  </si>
  <si>
    <t>PI_t4_ELOW_Tile_3d</t>
  </si>
  <si>
    <t>PI_t6_ELOW_Tile_3d</t>
  </si>
  <si>
    <t>PI_t1_LOW_Tile_2d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</si>
</sst>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1"/>
      <color rgb="FFFF000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indexed="8"/>
      <name val="Calibri Light"/>
      <family val="2"/>
      <scheme val="major"/>
    </font>
    <font>
      <b/>
      <sz val="1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8"/>
      <name val="Calibri"/>
      <family val="2"/>
      <scheme val="minor"/>
    </font>
    <font>
      <sz val="11"/>
      <color rgb="FF000000"/>
      <name val="Calibri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34">
    <xf numFmtId="0" fontId="0" fillId="0" borderId="0" xfId="0"/>
    <xf numFmtId="0" fontId="2" fillId="0" borderId="0" xfId="0" applyFont="1"/>
    <xf numFmtId="0" fontId="3" fillId="0" borderId="0" xfId="0" applyNumberFormat="1" applyFont="1"/>
    <xf numFmtId="2" fontId="3" fillId="0" borderId="0" xfId="0" applyNumberFormat="1" applyFont="1" applyAlignment="1">
      <alignment horizontal="center"/>
    </xf>
    <xf numFmtId="2" fontId="3" fillId="0" borderId="0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6" fillId="0" borderId="0" xfId="0" applyNumberFormat="1" applyFont="1" applyBorder="1"/>
    <xf numFmtId="0" fontId="7" fillId="0" borderId="0" xfId="0" applyNumberFormat="1" applyFont="1" applyBorder="1" applyAlignment="1">
      <alignment horizontal="center"/>
    </xf>
    <xf numFmtId="0" fontId="6" fillId="0" borderId="0" xfId="1" applyNumberFormat="1" applyFont="1" applyFill="1" applyBorder="1" applyAlignment="1" applyProtection="1">
      <alignment wrapText="1"/>
    </xf>
    <xf numFmtId="0" fontId="3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2" fontId="3" fillId="0" borderId="0" xfId="0" applyNumberFormat="1" applyFont="1" applyFill="1" applyBorder="1" applyAlignment="1">
      <alignment horizontal="center"/>
    </xf>
    <xf numFmtId="2" fontId="2" fillId="0" borderId="0" xfId="0" applyNumberFormat="1" applyFont="1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2" fontId="8" fillId="0" borderId="0" xfId="0" applyNumberFormat="1" applyFont="1" applyFill="1" applyBorder="1" applyAlignment="1">
      <alignment horizontal="center"/>
    </xf>
    <xf numFmtId="0" fontId="9" fillId="0" borderId="0" xfId="0" applyNumberFormat="1" applyFont="1" applyBorder="1"/>
    <xf numFmtId="0" fontId="5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left"/>
    </xf>
    <xf numFmtId="2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left"/>
    </xf>
    <xf numFmtId="0" fontId="3" fillId="0" borderId="0" xfId="0" applyNumberFormat="1" applyFont="1" applyFill="1" applyAlignment="1">
      <alignment horizontal="center"/>
    </xf>
    <xf numFmtId="14" fontId="3" fillId="0" borderId="0" xfId="0" applyNumberFormat="1" applyFont="1" applyFill="1" applyAlignment="1">
      <alignment horizontal="center"/>
    </xf>
    <xf numFmtId="2" fontId="2" fillId="0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left"/>
    </xf>
    <xf numFmtId="0" fontId="2" fillId="0" borderId="0" xfId="0" applyFont="1" applyFill="1"/>
    <xf numFmtId="0" fontId="2" fillId="0" borderId="0" xfId="0" applyFont="1" applyFill="1" applyAlignment="1">
      <alignment horizontal="center"/>
    </xf>
    <xf numFmtId="2" fontId="4" fillId="0" borderId="0" xfId="0" applyNumberFormat="1" applyFont="1" applyFill="1" applyAlignment="1">
      <alignment horizontal="center"/>
    </xf>
    <xf numFmtId="1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left"/>
    </xf>
    <xf numFmtId="2" fontId="11" fillId="0" borderId="0" xfId="0" applyNumberFormat="1" applyFont="1" applyAlignment="1">
      <alignment horizontal="left"/>
    </xf>
  </cellXfs>
  <cellStyles count="2">
    <cellStyle name="Excel Built-in Normal" xfId="1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15"/>
  <sheetViews>
    <sheetView tabSelected="1" zoomScale="90" zoomScaleNormal="73" workbookViewId="0">
      <pane ySplit="1" topLeftCell="A343" activePane="bottomLeft" state="frozen"/>
      <selection pane="bottomLeft" activeCell="E353" sqref="E353"/>
    </sheetView>
  </sheetViews>
  <sheetFormatPr defaultColWidth="9.1796875" defaultRowHeight="14.5" x14ac:dyDescent="0.35"/>
  <cols>
    <col min="1" max="1" width="10.36328125" style="15" bestFit="1" customWidth="1"/>
    <col min="2" max="2" width="14.36328125" style="31" bestFit="1" customWidth="1"/>
    <col min="3" max="3" width="13.81640625" style="15" bestFit="1" customWidth="1"/>
    <col min="4" max="4" width="10.1796875" style="5" bestFit="1" customWidth="1"/>
    <col min="5" max="5" width="11" style="5" bestFit="1" customWidth="1"/>
    <col min="6" max="6" width="22.6328125" style="17" bestFit="1" customWidth="1"/>
    <col min="7" max="7" width="12.81640625" style="15" bestFit="1" customWidth="1"/>
    <col min="8" max="8" width="9.6328125" style="15" bestFit="1" customWidth="1"/>
    <col min="9" max="9" width="15" style="15" customWidth="1"/>
    <col min="10" max="10" width="12.453125" style="15" bestFit="1" customWidth="1"/>
    <col min="11" max="11" width="11.453125" style="15" bestFit="1" customWidth="1"/>
    <col min="12" max="12" width="5.81640625" style="1" bestFit="1" customWidth="1"/>
    <col min="13" max="16384" width="9.1796875" style="1"/>
  </cols>
  <sheetData>
    <row r="1" spans="1:12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40</v>
      </c>
      <c r="H1" s="6" t="s">
        <v>41</v>
      </c>
      <c r="I1" s="6" t="s">
        <v>95</v>
      </c>
      <c r="J1" s="7" t="s">
        <v>10</v>
      </c>
      <c r="K1" s="19" t="s">
        <v>6</v>
      </c>
      <c r="L1" s="8" t="s">
        <v>7</v>
      </c>
    </row>
    <row r="2" spans="1:12" x14ac:dyDescent="0.35">
      <c r="A2" s="9" t="s">
        <v>11</v>
      </c>
      <c r="B2" s="10">
        <v>45057</v>
      </c>
      <c r="C2" s="10" t="s">
        <v>12</v>
      </c>
      <c r="D2" s="3">
        <v>48.92</v>
      </c>
      <c r="E2" s="11">
        <v>2237.2600000000002</v>
      </c>
      <c r="F2" s="16" t="s">
        <v>8</v>
      </c>
      <c r="G2" s="12">
        <f>AVERAGE(E2:E3)</f>
        <v>2236.7800000000002</v>
      </c>
      <c r="H2" s="13">
        <f>STDEV(E2:E3)</f>
        <v>0.67882250993911131</v>
      </c>
      <c r="I2" s="3">
        <v>2226.44</v>
      </c>
      <c r="J2" s="4">
        <f>I2-G2</f>
        <v>-10.340000000000146</v>
      </c>
      <c r="K2" s="5">
        <f>G2+J2</f>
        <v>2226.44</v>
      </c>
      <c r="L2" s="2" t="s">
        <v>94</v>
      </c>
    </row>
    <row r="3" spans="1:12" x14ac:dyDescent="0.35">
      <c r="A3" s="9" t="s">
        <v>11</v>
      </c>
      <c r="B3" s="10">
        <v>45057</v>
      </c>
      <c r="C3" s="10" t="s">
        <v>12</v>
      </c>
      <c r="D3" s="3">
        <v>50.76</v>
      </c>
      <c r="E3" s="3">
        <v>2236.3000000000002</v>
      </c>
      <c r="F3" s="16" t="s">
        <v>9</v>
      </c>
      <c r="G3" s="12"/>
      <c r="H3" s="12"/>
      <c r="I3" s="3"/>
      <c r="J3" s="3"/>
      <c r="K3" s="5"/>
      <c r="L3" s="2"/>
    </row>
    <row r="4" spans="1:12" x14ac:dyDescent="0.35">
      <c r="A4" s="9" t="s">
        <v>11</v>
      </c>
      <c r="B4" s="10">
        <v>45057</v>
      </c>
      <c r="C4" s="10" t="s">
        <v>12</v>
      </c>
      <c r="D4" s="3">
        <v>48.82</v>
      </c>
      <c r="E4" s="11">
        <v>2630.85</v>
      </c>
      <c r="F4" s="16" t="s">
        <v>20</v>
      </c>
      <c r="G4" s="13">
        <f>AVERAGE(E4:E5)</f>
        <v>2628.29</v>
      </c>
      <c r="H4" s="18">
        <f>STDEV(E4:E5)</f>
        <v>3.6203867196750461</v>
      </c>
      <c r="I4" s="5"/>
      <c r="J4" s="5"/>
      <c r="K4" s="5">
        <f>G4+$J$2</f>
        <v>2617.9499999999998</v>
      </c>
      <c r="L4" s="2"/>
    </row>
    <row r="5" spans="1:12" x14ac:dyDescent="0.35">
      <c r="A5" s="9" t="s">
        <v>11</v>
      </c>
      <c r="B5" s="10">
        <v>45057</v>
      </c>
      <c r="C5" s="10" t="s">
        <v>12</v>
      </c>
      <c r="D5" s="3">
        <v>51.66</v>
      </c>
      <c r="E5" s="3">
        <v>2625.73</v>
      </c>
      <c r="F5" s="16" t="s">
        <v>21</v>
      </c>
      <c r="G5" s="5"/>
      <c r="H5" s="5"/>
      <c r="I5" s="5"/>
      <c r="J5" s="5"/>
      <c r="K5" s="5"/>
      <c r="L5" s="2"/>
    </row>
    <row r="6" spans="1:12" x14ac:dyDescent="0.35">
      <c r="A6" s="9" t="s">
        <v>11</v>
      </c>
      <c r="B6" s="10">
        <v>45057</v>
      </c>
      <c r="C6" s="10" t="s">
        <v>12</v>
      </c>
      <c r="D6" s="3">
        <v>48.57</v>
      </c>
      <c r="E6" s="14">
        <v>2596.4699999999998</v>
      </c>
      <c r="F6" s="16" t="s">
        <v>22</v>
      </c>
      <c r="G6" s="5"/>
      <c r="H6" s="5"/>
      <c r="I6" s="5"/>
      <c r="J6" s="5"/>
      <c r="K6" s="5"/>
      <c r="L6" s="2"/>
    </row>
    <row r="7" spans="1:12" x14ac:dyDescent="0.35">
      <c r="A7" s="9" t="s">
        <v>11</v>
      </c>
      <c r="B7" s="10">
        <v>45057</v>
      </c>
      <c r="C7" s="10" t="s">
        <v>12</v>
      </c>
      <c r="D7" s="3">
        <v>51.95</v>
      </c>
      <c r="E7" s="3">
        <v>2619.85</v>
      </c>
      <c r="F7" s="16" t="s">
        <v>23</v>
      </c>
      <c r="G7" s="13">
        <f>AVERAGE(E7:E8)</f>
        <v>2617.6999999999998</v>
      </c>
      <c r="H7" s="13">
        <f>STDEV(E7:E8)</f>
        <v>3.0405591591019614</v>
      </c>
      <c r="I7" s="5"/>
      <c r="J7" s="5"/>
      <c r="K7" s="5">
        <f>G7+$J$2</f>
        <v>2607.3599999999997</v>
      </c>
      <c r="L7" s="2"/>
    </row>
    <row r="8" spans="1:12" x14ac:dyDescent="0.35">
      <c r="A8" s="9" t="s">
        <v>11</v>
      </c>
      <c r="B8" s="10">
        <v>45057</v>
      </c>
      <c r="C8" s="10" t="s">
        <v>12</v>
      </c>
      <c r="D8" s="3">
        <v>50.8</v>
      </c>
      <c r="E8" s="3">
        <v>2615.5500000000002</v>
      </c>
      <c r="F8" s="16" t="s">
        <v>24</v>
      </c>
      <c r="G8" s="5"/>
      <c r="H8" s="5"/>
      <c r="I8" s="5"/>
      <c r="J8" s="5"/>
      <c r="K8" s="5"/>
      <c r="L8" s="2"/>
    </row>
    <row r="9" spans="1:12" x14ac:dyDescent="0.35">
      <c r="A9" s="9" t="s">
        <v>11</v>
      </c>
      <c r="B9" s="10">
        <v>45057</v>
      </c>
      <c r="C9" s="10" t="s">
        <v>12</v>
      </c>
      <c r="D9" s="3">
        <v>48.46</v>
      </c>
      <c r="E9" s="14">
        <v>2628.15</v>
      </c>
      <c r="F9" s="16" t="s">
        <v>25</v>
      </c>
      <c r="G9" s="5"/>
      <c r="H9" s="5"/>
      <c r="I9" s="5"/>
      <c r="J9" s="5"/>
      <c r="K9" s="5"/>
      <c r="L9" s="2"/>
    </row>
    <row r="10" spans="1:12" x14ac:dyDescent="0.35">
      <c r="A10" s="9" t="s">
        <v>11</v>
      </c>
      <c r="B10" s="10">
        <v>45057</v>
      </c>
      <c r="C10" s="10" t="s">
        <v>12</v>
      </c>
      <c r="D10" s="3">
        <v>51.83</v>
      </c>
      <c r="E10" s="14">
        <v>2585.67</v>
      </c>
      <c r="F10" s="16" t="s">
        <v>13</v>
      </c>
      <c r="G10" s="13">
        <f>AVERAGE(E11:E12)</f>
        <v>2574.085</v>
      </c>
      <c r="H10" s="13">
        <f>STDEV(E11:E12)</f>
        <v>2.4395183950934602</v>
      </c>
      <c r="I10" s="5"/>
      <c r="J10" s="5"/>
      <c r="K10" s="5">
        <f>G10+$J$2</f>
        <v>2563.7449999999999</v>
      </c>
      <c r="L10" s="2"/>
    </row>
    <row r="11" spans="1:12" x14ac:dyDescent="0.35">
      <c r="A11" s="9" t="s">
        <v>11</v>
      </c>
      <c r="B11" s="10">
        <v>45057</v>
      </c>
      <c r="C11" s="10" t="s">
        <v>12</v>
      </c>
      <c r="D11" s="5">
        <v>50.38</v>
      </c>
      <c r="E11" s="5">
        <v>2572.36</v>
      </c>
      <c r="F11" s="16" t="s">
        <v>14</v>
      </c>
      <c r="G11" s="5"/>
      <c r="H11" s="5"/>
      <c r="I11" s="5"/>
      <c r="J11" s="5"/>
      <c r="K11" s="5"/>
    </row>
    <row r="12" spans="1:12" x14ac:dyDescent="0.35">
      <c r="A12" s="9" t="s">
        <v>11</v>
      </c>
      <c r="B12" s="10">
        <v>45057</v>
      </c>
      <c r="C12" s="10" t="s">
        <v>12</v>
      </c>
      <c r="D12" s="5">
        <v>49.39</v>
      </c>
      <c r="E12" s="5">
        <v>2575.81</v>
      </c>
      <c r="F12" s="16" t="s">
        <v>15</v>
      </c>
      <c r="G12" s="5"/>
      <c r="H12" s="5"/>
      <c r="I12" s="5"/>
      <c r="J12" s="5"/>
      <c r="K12" s="5"/>
    </row>
    <row r="13" spans="1:12" x14ac:dyDescent="0.35">
      <c r="A13" s="9" t="s">
        <v>11</v>
      </c>
      <c r="B13" s="10">
        <v>45057</v>
      </c>
      <c r="C13" s="10" t="s">
        <v>12</v>
      </c>
      <c r="D13" s="5">
        <v>52.3</v>
      </c>
      <c r="E13" s="5">
        <v>2600.09</v>
      </c>
      <c r="F13" s="16" t="s">
        <v>17</v>
      </c>
      <c r="G13" s="13">
        <f>AVERAGE(E13:E14)</f>
        <v>2603.2200000000003</v>
      </c>
      <c r="H13" s="13">
        <f>STDEV(E13:E14)</f>
        <v>4.4264884502276205</v>
      </c>
      <c r="I13" s="5"/>
      <c r="J13" s="5"/>
      <c r="K13" s="5">
        <f>G13+$J$2</f>
        <v>2592.88</v>
      </c>
    </row>
    <row r="14" spans="1:12" x14ac:dyDescent="0.35">
      <c r="A14" s="9" t="s">
        <v>11</v>
      </c>
      <c r="B14" s="10">
        <v>45057</v>
      </c>
      <c r="C14" s="10" t="s">
        <v>12</v>
      </c>
      <c r="D14" s="3">
        <v>50.43</v>
      </c>
      <c r="E14" s="3">
        <v>2606.35</v>
      </c>
      <c r="F14" s="16" t="s">
        <v>16</v>
      </c>
      <c r="G14" s="5"/>
      <c r="H14" s="5"/>
      <c r="I14" s="5"/>
      <c r="J14" s="5"/>
      <c r="K14" s="5"/>
      <c r="L14" s="2"/>
    </row>
    <row r="15" spans="1:12" x14ac:dyDescent="0.35">
      <c r="A15" s="9" t="s">
        <v>11</v>
      </c>
      <c r="B15" s="10">
        <v>45057</v>
      </c>
      <c r="C15" s="10" t="s">
        <v>12</v>
      </c>
      <c r="D15" s="5">
        <v>49.96</v>
      </c>
      <c r="E15" s="5">
        <v>2599</v>
      </c>
      <c r="F15" s="16" t="s">
        <v>18</v>
      </c>
      <c r="G15" s="13">
        <f>AVERAGE(E15:E16)</f>
        <v>2597.08</v>
      </c>
      <c r="H15" s="13">
        <f>STDEV(E15:E16)</f>
        <v>2.7152900397564452</v>
      </c>
      <c r="I15" s="5"/>
      <c r="J15" s="5"/>
      <c r="K15" s="5">
        <f>G15+$J$2</f>
        <v>2586.7399999999998</v>
      </c>
      <c r="L15" s="2"/>
    </row>
    <row r="16" spans="1:12" x14ac:dyDescent="0.35">
      <c r="A16" s="9" t="s">
        <v>11</v>
      </c>
      <c r="B16" s="10">
        <v>45057</v>
      </c>
      <c r="C16" s="10" t="s">
        <v>12</v>
      </c>
      <c r="D16" s="5">
        <v>49.1</v>
      </c>
      <c r="E16" s="5">
        <v>2595.16</v>
      </c>
      <c r="F16" s="16" t="s">
        <v>19</v>
      </c>
      <c r="G16" s="5"/>
      <c r="H16" s="5"/>
      <c r="I16" s="5"/>
      <c r="J16" s="5"/>
      <c r="K16" s="5"/>
    </row>
    <row r="17" spans="1:12" x14ac:dyDescent="0.35">
      <c r="A17" s="9" t="s">
        <v>11</v>
      </c>
      <c r="B17" s="10">
        <v>45057</v>
      </c>
      <c r="C17" s="10" t="s">
        <v>12</v>
      </c>
      <c r="D17" s="5">
        <v>54.9</v>
      </c>
      <c r="E17" s="14">
        <v>2618.6999999999998</v>
      </c>
      <c r="F17" s="16" t="s">
        <v>26</v>
      </c>
      <c r="G17" s="13">
        <f>AVERAGE(E18:E19)</f>
        <v>2631.54</v>
      </c>
      <c r="H17" s="18">
        <f>STDEV(E18:E19)</f>
        <v>3.2668333290817722</v>
      </c>
      <c r="I17" s="5"/>
      <c r="J17" s="5"/>
      <c r="K17" s="5">
        <f>G17+$J$2</f>
        <v>2621.1999999999998</v>
      </c>
    </row>
    <row r="18" spans="1:12" x14ac:dyDescent="0.35">
      <c r="A18" s="9" t="s">
        <v>11</v>
      </c>
      <c r="B18" s="10">
        <v>45057</v>
      </c>
      <c r="C18" s="10" t="s">
        <v>12</v>
      </c>
      <c r="D18" s="5">
        <v>50.81</v>
      </c>
      <c r="E18" s="5">
        <v>2633.85</v>
      </c>
      <c r="F18" s="16" t="s">
        <v>28</v>
      </c>
      <c r="G18" s="5"/>
      <c r="H18" s="5"/>
      <c r="I18" s="5"/>
      <c r="J18" s="5"/>
      <c r="K18" s="5"/>
    </row>
    <row r="19" spans="1:12" x14ac:dyDescent="0.35">
      <c r="A19" s="9" t="s">
        <v>11</v>
      </c>
      <c r="B19" s="10">
        <v>45057</v>
      </c>
      <c r="C19" s="10" t="s">
        <v>12</v>
      </c>
      <c r="D19" s="5">
        <v>50.46</v>
      </c>
      <c r="E19" s="5">
        <v>2629.23</v>
      </c>
      <c r="F19" s="16" t="s">
        <v>27</v>
      </c>
      <c r="G19" s="5"/>
      <c r="H19" s="5"/>
      <c r="I19" s="5"/>
      <c r="J19" s="5"/>
      <c r="K19" s="5"/>
    </row>
    <row r="20" spans="1:12" x14ac:dyDescent="0.35">
      <c r="A20" s="9" t="s">
        <v>11</v>
      </c>
      <c r="B20" s="10">
        <v>45057</v>
      </c>
      <c r="C20" s="10" t="s">
        <v>12</v>
      </c>
      <c r="D20" s="5">
        <v>50.95</v>
      </c>
      <c r="E20" s="14">
        <v>2581.6</v>
      </c>
      <c r="F20" s="16" t="s">
        <v>29</v>
      </c>
      <c r="G20" s="13">
        <f>AVERAGE(E21:E22)</f>
        <v>2564.12</v>
      </c>
      <c r="H20" s="13">
        <f>STDEV(E21:E22)</f>
        <v>1.654629867976624</v>
      </c>
      <c r="I20" s="5"/>
      <c r="J20" s="5"/>
      <c r="K20" s="5">
        <f>G20+$J$2</f>
        <v>2553.7799999999997</v>
      </c>
    </row>
    <row r="21" spans="1:12" x14ac:dyDescent="0.35">
      <c r="A21" s="9" t="s">
        <v>11</v>
      </c>
      <c r="B21" s="10">
        <v>45057</v>
      </c>
      <c r="C21" s="10" t="s">
        <v>12</v>
      </c>
      <c r="D21" s="5">
        <v>52.38</v>
      </c>
      <c r="E21" s="5">
        <v>2565.29</v>
      </c>
      <c r="F21" s="16" t="s">
        <v>30</v>
      </c>
      <c r="G21" s="5"/>
      <c r="H21" s="5"/>
      <c r="I21" s="5"/>
      <c r="J21" s="5"/>
      <c r="K21" s="5"/>
    </row>
    <row r="22" spans="1:12" x14ac:dyDescent="0.35">
      <c r="A22" s="9" t="s">
        <v>11</v>
      </c>
      <c r="B22" s="10">
        <v>45057</v>
      </c>
      <c r="C22" s="10" t="s">
        <v>12</v>
      </c>
      <c r="D22" s="5">
        <v>52.22</v>
      </c>
      <c r="E22" s="5">
        <v>2562.9499999999998</v>
      </c>
      <c r="F22" s="16" t="s">
        <v>31</v>
      </c>
      <c r="G22" s="5"/>
      <c r="H22" s="5"/>
      <c r="I22" s="5"/>
      <c r="J22" s="5"/>
      <c r="K22" s="5"/>
    </row>
    <row r="23" spans="1:12" x14ac:dyDescent="0.35">
      <c r="A23" s="9" t="s">
        <v>11</v>
      </c>
      <c r="B23" s="10">
        <v>45057</v>
      </c>
      <c r="C23" s="10" t="s">
        <v>12</v>
      </c>
      <c r="D23" s="5">
        <v>52.27</v>
      </c>
      <c r="E23" s="5">
        <v>2543.0300000000002</v>
      </c>
      <c r="F23" s="16" t="s">
        <v>32</v>
      </c>
      <c r="G23" s="13">
        <f>AVERAGE(E23:E24)</f>
        <v>2541.38</v>
      </c>
      <c r="H23" s="13">
        <f>STDEV(E23:E24)</f>
        <v>2.3334523779157355</v>
      </c>
      <c r="I23" s="5"/>
      <c r="J23" s="5"/>
      <c r="K23" s="5">
        <f>G23+$J$2</f>
        <v>2531.04</v>
      </c>
    </row>
    <row r="24" spans="1:12" x14ac:dyDescent="0.35">
      <c r="A24" s="9" t="s">
        <v>11</v>
      </c>
      <c r="B24" s="10">
        <v>45057</v>
      </c>
      <c r="C24" s="10" t="s">
        <v>12</v>
      </c>
      <c r="D24" s="5">
        <v>52.82</v>
      </c>
      <c r="E24" s="5">
        <v>2539.73</v>
      </c>
      <c r="F24" s="16" t="s">
        <v>33</v>
      </c>
      <c r="G24" s="5"/>
      <c r="H24" s="5"/>
      <c r="I24" s="5"/>
      <c r="J24" s="5"/>
      <c r="K24" s="5"/>
    </row>
    <row r="25" spans="1:12" x14ac:dyDescent="0.35">
      <c r="A25" s="9" t="s">
        <v>11</v>
      </c>
      <c r="B25" s="10">
        <v>45057</v>
      </c>
      <c r="C25" s="10" t="s">
        <v>12</v>
      </c>
      <c r="D25" s="5">
        <v>51.55</v>
      </c>
      <c r="E25" s="14">
        <v>2481.0500000000002</v>
      </c>
      <c r="F25" s="16" t="s">
        <v>34</v>
      </c>
      <c r="G25" s="13">
        <f>AVERAGE(E26:E27)</f>
        <v>2497.915</v>
      </c>
      <c r="H25" s="13">
        <f>STDEV(E26:E27)</f>
        <v>0.81317279836427248</v>
      </c>
      <c r="I25" s="5"/>
      <c r="J25" s="5"/>
      <c r="K25" s="5">
        <f>G25+$J$2</f>
        <v>2487.5749999999998</v>
      </c>
    </row>
    <row r="26" spans="1:12" x14ac:dyDescent="0.35">
      <c r="A26" s="9" t="s">
        <v>11</v>
      </c>
      <c r="B26" s="10">
        <v>45057</v>
      </c>
      <c r="C26" s="10" t="s">
        <v>12</v>
      </c>
      <c r="D26" s="5">
        <v>48.93</v>
      </c>
      <c r="E26" s="5">
        <v>2497.34</v>
      </c>
      <c r="F26" s="16" t="s">
        <v>35</v>
      </c>
      <c r="G26" s="5"/>
      <c r="H26" s="5"/>
      <c r="I26" s="5"/>
      <c r="J26" s="5"/>
      <c r="K26" s="5"/>
    </row>
    <row r="27" spans="1:12" x14ac:dyDescent="0.35">
      <c r="A27" s="9" t="s">
        <v>11</v>
      </c>
      <c r="B27" s="10">
        <v>45057</v>
      </c>
      <c r="C27" s="10" t="s">
        <v>12</v>
      </c>
      <c r="D27" s="5">
        <v>50.14</v>
      </c>
      <c r="E27" s="5">
        <v>2498.4899999999998</v>
      </c>
      <c r="F27" s="16" t="s">
        <v>39</v>
      </c>
      <c r="G27" s="5"/>
      <c r="H27" s="5"/>
      <c r="I27" s="5"/>
      <c r="J27" s="5"/>
      <c r="K27" s="5"/>
    </row>
    <row r="28" spans="1:12" x14ac:dyDescent="0.35">
      <c r="A28" s="9" t="s">
        <v>11</v>
      </c>
      <c r="B28" s="10">
        <v>45057</v>
      </c>
      <c r="C28" s="10" t="s">
        <v>12</v>
      </c>
      <c r="D28" s="5">
        <v>49.87</v>
      </c>
      <c r="E28" s="5">
        <v>2617.66</v>
      </c>
      <c r="F28" s="16" t="s">
        <v>36</v>
      </c>
      <c r="G28" s="13">
        <f>AVERAGE(E28,E30)</f>
        <v>2617.3049999999998</v>
      </c>
      <c r="H28" s="13">
        <f>STDEV(E28,E30)</f>
        <v>0.50204581464247444</v>
      </c>
      <c r="I28" s="5"/>
      <c r="J28" s="5"/>
      <c r="K28" s="5">
        <f>G28+$J$2</f>
        <v>2606.9649999999997</v>
      </c>
    </row>
    <row r="29" spans="1:12" x14ac:dyDescent="0.35">
      <c r="A29" s="9" t="s">
        <v>11</v>
      </c>
      <c r="B29" s="10">
        <v>45057</v>
      </c>
      <c r="C29" s="10" t="s">
        <v>12</v>
      </c>
      <c r="D29" s="5">
        <v>51.76</v>
      </c>
      <c r="E29" s="14">
        <v>2608.98</v>
      </c>
      <c r="F29" s="16" t="s">
        <v>37</v>
      </c>
      <c r="G29" s="5"/>
      <c r="H29" s="5"/>
      <c r="I29" s="5"/>
      <c r="J29" s="5"/>
      <c r="K29" s="5"/>
    </row>
    <row r="30" spans="1:12" x14ac:dyDescent="0.35">
      <c r="A30" s="9" t="s">
        <v>11</v>
      </c>
      <c r="B30" s="10">
        <v>45057</v>
      </c>
      <c r="C30" s="10" t="s">
        <v>12</v>
      </c>
      <c r="D30" s="5">
        <v>51.57</v>
      </c>
      <c r="E30" s="5">
        <v>2616.9499999999998</v>
      </c>
      <c r="F30" s="16" t="s">
        <v>38</v>
      </c>
      <c r="G30" s="5"/>
      <c r="H30" s="5"/>
      <c r="I30" s="5"/>
      <c r="J30" s="5"/>
      <c r="K30" s="5"/>
    </row>
    <row r="31" spans="1:12" x14ac:dyDescent="0.35">
      <c r="A31" s="9"/>
      <c r="B31" s="10"/>
      <c r="C31" s="10"/>
      <c r="F31" s="16"/>
      <c r="G31" s="5"/>
      <c r="H31" s="5"/>
      <c r="I31" s="5"/>
      <c r="J31" s="5"/>
      <c r="K31" s="5"/>
    </row>
    <row r="32" spans="1:12" x14ac:dyDescent="0.35">
      <c r="A32" s="9" t="s">
        <v>11</v>
      </c>
      <c r="B32" s="10">
        <v>45058</v>
      </c>
      <c r="C32" s="10" t="s">
        <v>12</v>
      </c>
      <c r="D32" s="5">
        <v>50.25</v>
      </c>
      <c r="E32" s="5">
        <v>2235.6999999999998</v>
      </c>
      <c r="F32" s="16" t="s">
        <v>8</v>
      </c>
      <c r="G32" s="12">
        <f>AVERAGE(E32:E33)</f>
        <v>2237.1099999999997</v>
      </c>
      <c r="H32" s="13">
        <f>STDEV(E32:E33)</f>
        <v>1.9940411229461796</v>
      </c>
      <c r="I32" s="3">
        <v>2226.44</v>
      </c>
      <c r="J32" s="4">
        <f>I32-G32</f>
        <v>-10.669999999999618</v>
      </c>
      <c r="K32" s="5">
        <f>G32+J32</f>
        <v>2226.44</v>
      </c>
      <c r="L32" s="2" t="s">
        <v>94</v>
      </c>
    </row>
    <row r="33" spans="1:11" x14ac:dyDescent="0.35">
      <c r="A33" s="9" t="s">
        <v>11</v>
      </c>
      <c r="B33" s="10">
        <v>45058</v>
      </c>
      <c r="C33" s="10" t="s">
        <v>12</v>
      </c>
      <c r="D33" s="5">
        <v>49.39</v>
      </c>
      <c r="E33" s="5">
        <v>2238.52</v>
      </c>
      <c r="F33" s="16" t="s">
        <v>9</v>
      </c>
      <c r="G33" s="5"/>
      <c r="H33" s="5"/>
      <c r="I33" s="5"/>
      <c r="J33" s="5"/>
      <c r="K33" s="5"/>
    </row>
    <row r="34" spans="1:11" x14ac:dyDescent="0.35">
      <c r="A34" s="9" t="s">
        <v>11</v>
      </c>
      <c r="B34" s="10">
        <v>45057</v>
      </c>
      <c r="C34" s="10" t="s">
        <v>12</v>
      </c>
      <c r="D34" s="5">
        <v>49.81</v>
      </c>
      <c r="E34" s="5">
        <v>2669.25</v>
      </c>
      <c r="F34" s="16" t="s">
        <v>42</v>
      </c>
      <c r="G34" s="13">
        <f>AVERAGE(E34,E35)</f>
        <v>2668.4349999999999</v>
      </c>
      <c r="H34" s="13">
        <f>STDEV(E34,E35)</f>
        <v>1.1525840533341496</v>
      </c>
      <c r="K34" s="5">
        <f>G34+$J$2</f>
        <v>2658.0949999999998</v>
      </c>
    </row>
    <row r="35" spans="1:11" x14ac:dyDescent="0.35">
      <c r="A35" s="9" t="s">
        <v>11</v>
      </c>
      <c r="B35" s="10">
        <v>45057</v>
      </c>
      <c r="C35" s="10" t="s">
        <v>12</v>
      </c>
      <c r="D35" s="5">
        <v>51.97</v>
      </c>
      <c r="E35" s="5">
        <v>2667.62</v>
      </c>
      <c r="F35" s="16" t="s">
        <v>43</v>
      </c>
    </row>
    <row r="36" spans="1:11" x14ac:dyDescent="0.35">
      <c r="A36" s="9" t="s">
        <v>11</v>
      </c>
      <c r="B36" s="10">
        <v>45057</v>
      </c>
      <c r="C36" s="10" t="s">
        <v>12</v>
      </c>
      <c r="D36" s="5">
        <v>49.83</v>
      </c>
      <c r="E36" s="14">
        <v>2702.72</v>
      </c>
      <c r="F36" s="16" t="s">
        <v>44</v>
      </c>
      <c r="G36" s="13">
        <f>AVERAGE(E35,E38)</f>
        <v>2666.085</v>
      </c>
      <c r="H36" s="13">
        <f>STDEV(E35,E38)</f>
        <v>2.1708178182424951</v>
      </c>
      <c r="K36" s="5">
        <f>G36+$J$2</f>
        <v>2655.7449999999999</v>
      </c>
    </row>
    <row r="37" spans="1:11" x14ac:dyDescent="0.35">
      <c r="A37" s="9" t="s">
        <v>11</v>
      </c>
      <c r="B37" s="10">
        <v>45057</v>
      </c>
      <c r="C37" s="10" t="s">
        <v>12</v>
      </c>
      <c r="D37" s="5">
        <v>50.93</v>
      </c>
      <c r="E37" s="14">
        <v>2690.11</v>
      </c>
      <c r="F37" s="16" t="s">
        <v>45</v>
      </c>
    </row>
    <row r="38" spans="1:11" x14ac:dyDescent="0.35">
      <c r="A38" s="9" t="s">
        <v>11</v>
      </c>
      <c r="B38" s="10">
        <v>45057</v>
      </c>
      <c r="C38" s="10" t="s">
        <v>12</v>
      </c>
      <c r="D38" s="5">
        <v>49.75</v>
      </c>
      <c r="E38" s="5">
        <v>2664.55</v>
      </c>
      <c r="F38" s="16" t="s">
        <v>46</v>
      </c>
    </row>
    <row r="39" spans="1:11" x14ac:dyDescent="0.35">
      <c r="A39" s="9" t="s">
        <v>11</v>
      </c>
      <c r="B39" s="10">
        <v>45058</v>
      </c>
      <c r="C39" s="10" t="s">
        <v>12</v>
      </c>
      <c r="D39" s="5">
        <v>51.18</v>
      </c>
      <c r="E39" s="5">
        <v>2603.65</v>
      </c>
      <c r="F39" s="16" t="s">
        <v>47</v>
      </c>
      <c r="G39" s="13">
        <f>AVERAGE(E39,E42)</f>
        <v>2602.0100000000002</v>
      </c>
      <c r="H39" s="13">
        <f>STDEV(E39,E42)</f>
        <v>2.3193102422920173</v>
      </c>
      <c r="K39" s="5">
        <f>G39+$J$32</f>
        <v>2591.3400000000006</v>
      </c>
    </row>
    <row r="40" spans="1:11" x14ac:dyDescent="0.35">
      <c r="A40" s="9" t="s">
        <v>11</v>
      </c>
      <c r="B40" s="10">
        <v>45058</v>
      </c>
      <c r="C40" s="10" t="s">
        <v>12</v>
      </c>
      <c r="D40" s="5">
        <v>50.52</v>
      </c>
      <c r="E40" s="14">
        <v>2579.64</v>
      </c>
      <c r="F40" s="16" t="s">
        <v>48</v>
      </c>
    </row>
    <row r="41" spans="1:11" x14ac:dyDescent="0.35">
      <c r="A41" s="9" t="s">
        <v>11</v>
      </c>
      <c r="B41" s="10">
        <v>45058</v>
      </c>
      <c r="C41" s="10" t="s">
        <v>12</v>
      </c>
      <c r="D41" s="5">
        <v>49.86</v>
      </c>
      <c r="E41" s="14">
        <v>2565.9699999999998</v>
      </c>
      <c r="F41" s="16" t="s">
        <v>49</v>
      </c>
    </row>
    <row r="42" spans="1:11" x14ac:dyDescent="0.35">
      <c r="A42" s="9" t="s">
        <v>11</v>
      </c>
      <c r="B42" s="10">
        <v>45058</v>
      </c>
      <c r="C42" s="10" t="s">
        <v>12</v>
      </c>
      <c r="D42" s="5">
        <v>49.76</v>
      </c>
      <c r="E42" s="5">
        <v>2600.37</v>
      </c>
      <c r="F42" s="16" t="s">
        <v>66</v>
      </c>
    </row>
    <row r="43" spans="1:11" x14ac:dyDescent="0.35">
      <c r="A43" s="9" t="s">
        <v>11</v>
      </c>
      <c r="B43" s="10">
        <v>45058</v>
      </c>
      <c r="C43" s="10" t="s">
        <v>12</v>
      </c>
      <c r="D43" s="5">
        <v>48.93</v>
      </c>
      <c r="E43" s="14">
        <v>2610.11</v>
      </c>
      <c r="F43" s="16" t="s">
        <v>50</v>
      </c>
      <c r="G43" s="13">
        <f>AVERAGE(E45,E44)</f>
        <v>2587.2650000000003</v>
      </c>
      <c r="H43" s="13">
        <f>STDEV(E45,E44)</f>
        <v>2.4819448019646146</v>
      </c>
      <c r="K43" s="5">
        <f>G43+$J$32</f>
        <v>2576.5950000000007</v>
      </c>
    </row>
    <row r="44" spans="1:11" x14ac:dyDescent="0.35">
      <c r="A44" s="9" t="s">
        <v>11</v>
      </c>
      <c r="B44" s="10">
        <v>45058</v>
      </c>
      <c r="C44" s="10" t="s">
        <v>12</v>
      </c>
      <c r="D44" s="5">
        <v>50.66</v>
      </c>
      <c r="E44" s="5">
        <v>2589.02</v>
      </c>
      <c r="F44" s="16" t="s">
        <v>51</v>
      </c>
    </row>
    <row r="45" spans="1:11" x14ac:dyDescent="0.35">
      <c r="A45" s="9" t="s">
        <v>11</v>
      </c>
      <c r="B45" s="10">
        <v>45058</v>
      </c>
      <c r="C45" s="10" t="s">
        <v>12</v>
      </c>
      <c r="D45" s="5">
        <v>49.93</v>
      </c>
      <c r="E45" s="5">
        <v>2585.5100000000002</v>
      </c>
      <c r="F45" s="16" t="s">
        <v>67</v>
      </c>
    </row>
    <row r="46" spans="1:11" x14ac:dyDescent="0.35">
      <c r="A46" s="9" t="s">
        <v>11</v>
      </c>
      <c r="B46" s="10">
        <v>45058</v>
      </c>
      <c r="C46" s="10" t="s">
        <v>12</v>
      </c>
      <c r="D46" s="5">
        <v>49.17</v>
      </c>
      <c r="E46" s="5">
        <v>2593.4899999999998</v>
      </c>
      <c r="F46" s="16" t="s">
        <v>52</v>
      </c>
      <c r="G46" s="13">
        <f>AVERAGE(E48,E46)</f>
        <v>2590.2950000000001</v>
      </c>
      <c r="H46" s="13">
        <f>STDEV(E48,E46)</f>
        <v>4.5184123317819482</v>
      </c>
      <c r="K46" s="5">
        <f>G46+$J$32</f>
        <v>2579.6250000000005</v>
      </c>
    </row>
    <row r="47" spans="1:11" x14ac:dyDescent="0.35">
      <c r="A47" s="9" t="s">
        <v>11</v>
      </c>
      <c r="B47" s="10">
        <v>45058</v>
      </c>
      <c r="C47" s="10" t="s">
        <v>12</v>
      </c>
      <c r="D47" s="5">
        <v>51.35</v>
      </c>
      <c r="E47" s="14">
        <v>2560.08</v>
      </c>
      <c r="F47" s="16" t="s">
        <v>53</v>
      </c>
    </row>
    <row r="48" spans="1:11" x14ac:dyDescent="0.35">
      <c r="A48" s="9" t="s">
        <v>11</v>
      </c>
      <c r="B48" s="10">
        <v>45058</v>
      </c>
      <c r="C48" s="10" t="s">
        <v>12</v>
      </c>
      <c r="D48" s="5">
        <v>49.36</v>
      </c>
      <c r="E48" s="5">
        <v>2587.1</v>
      </c>
      <c r="F48" s="16" t="s">
        <v>65</v>
      </c>
    </row>
    <row r="49" spans="1:12" x14ac:dyDescent="0.35">
      <c r="A49" s="9" t="s">
        <v>11</v>
      </c>
      <c r="B49" s="10">
        <v>45058</v>
      </c>
      <c r="C49" s="10" t="s">
        <v>12</v>
      </c>
      <c r="D49" s="5">
        <v>50.86</v>
      </c>
      <c r="E49" s="5">
        <v>2660.25</v>
      </c>
      <c r="F49" s="16" t="s">
        <v>54</v>
      </c>
      <c r="G49" s="13">
        <f>AVERAGE(E50,E49)</f>
        <v>2660.75</v>
      </c>
      <c r="H49" s="13">
        <f>STDEV(E50,E49)</f>
        <v>0.70710678118654757</v>
      </c>
      <c r="K49" s="5">
        <f>G49+$J$32</f>
        <v>2650.0800000000004</v>
      </c>
    </row>
    <row r="50" spans="1:12" x14ac:dyDescent="0.35">
      <c r="A50" s="9" t="s">
        <v>11</v>
      </c>
      <c r="B50" s="10">
        <v>45058</v>
      </c>
      <c r="C50" s="10" t="s">
        <v>12</v>
      </c>
      <c r="D50" s="5">
        <v>48.98</v>
      </c>
      <c r="E50" s="5">
        <v>2661.25</v>
      </c>
      <c r="F50" s="16" t="s">
        <v>55</v>
      </c>
    </row>
    <row r="51" spans="1:12" x14ac:dyDescent="0.35">
      <c r="A51" s="9" t="s">
        <v>11</v>
      </c>
      <c r="B51" s="10">
        <v>45058</v>
      </c>
      <c r="C51" s="10" t="s">
        <v>12</v>
      </c>
      <c r="D51" s="5">
        <v>50.41</v>
      </c>
      <c r="E51" s="5">
        <v>2569.34</v>
      </c>
      <c r="F51" s="16" t="s">
        <v>56</v>
      </c>
      <c r="G51" s="13">
        <f>AVERAGE(E53,E51)</f>
        <v>2567.355</v>
      </c>
      <c r="H51" s="13">
        <f>STDEV(E53,E51)</f>
        <v>2.8072139213107739</v>
      </c>
      <c r="K51" s="5">
        <f>G51+$J$32</f>
        <v>2556.6850000000004</v>
      </c>
    </row>
    <row r="52" spans="1:12" x14ac:dyDescent="0.35">
      <c r="A52" s="9" t="s">
        <v>11</v>
      </c>
      <c r="B52" s="10">
        <v>45058</v>
      </c>
      <c r="C52" s="10" t="s">
        <v>12</v>
      </c>
      <c r="D52" s="5">
        <v>51.21</v>
      </c>
      <c r="E52" s="14">
        <v>2544.79</v>
      </c>
      <c r="F52" s="16" t="s">
        <v>57</v>
      </c>
    </row>
    <row r="53" spans="1:12" x14ac:dyDescent="0.35">
      <c r="A53" s="9" t="s">
        <v>11</v>
      </c>
      <c r="B53" s="10">
        <v>45058</v>
      </c>
      <c r="C53" s="10" t="s">
        <v>12</v>
      </c>
      <c r="D53" s="5">
        <v>48.63</v>
      </c>
      <c r="E53" s="5">
        <v>2565.37</v>
      </c>
      <c r="F53" s="16" t="s">
        <v>58</v>
      </c>
    </row>
    <row r="54" spans="1:12" x14ac:dyDescent="0.35">
      <c r="A54" s="9" t="s">
        <v>11</v>
      </c>
      <c r="B54" s="10">
        <v>45058</v>
      </c>
      <c r="C54" s="10" t="s">
        <v>12</v>
      </c>
      <c r="D54" s="5">
        <v>50.87</v>
      </c>
      <c r="E54" s="5">
        <v>2541.75</v>
      </c>
      <c r="F54" s="16" t="s">
        <v>59</v>
      </c>
      <c r="G54" s="13">
        <f>AVERAGE(E55,E54)</f>
        <v>2543.48</v>
      </c>
      <c r="H54" s="13">
        <f>STDEV(E55,E54)</f>
        <v>2.4465894629054801</v>
      </c>
      <c r="K54" s="5">
        <f>G54+$J$32</f>
        <v>2532.8100000000004</v>
      </c>
    </row>
    <row r="55" spans="1:12" x14ac:dyDescent="0.35">
      <c r="A55" s="9" t="s">
        <v>11</v>
      </c>
      <c r="B55" s="10">
        <v>45058</v>
      </c>
      <c r="C55" s="10" t="s">
        <v>12</v>
      </c>
      <c r="D55" s="5">
        <v>49.82</v>
      </c>
      <c r="E55" s="5">
        <v>2545.21</v>
      </c>
      <c r="F55" s="16" t="s">
        <v>60</v>
      </c>
    </row>
    <row r="56" spans="1:12" x14ac:dyDescent="0.35">
      <c r="A56" s="9" t="s">
        <v>11</v>
      </c>
      <c r="B56" s="10">
        <v>45058</v>
      </c>
      <c r="C56" s="10" t="s">
        <v>12</v>
      </c>
      <c r="D56" s="5">
        <v>49.91</v>
      </c>
      <c r="E56" s="5">
        <v>2549.7199999999998</v>
      </c>
      <c r="F56" s="16" t="s">
        <v>61</v>
      </c>
      <c r="G56" s="13">
        <f>AVERAGE(E57,E56)</f>
        <v>2551.4399999999996</v>
      </c>
      <c r="H56" s="13">
        <f>STDEV(E57,E56)</f>
        <v>2.4324473272817619</v>
      </c>
      <c r="K56" s="5">
        <f>G56+$J$32</f>
        <v>2540.77</v>
      </c>
    </row>
    <row r="57" spans="1:12" x14ac:dyDescent="0.35">
      <c r="A57" s="9" t="s">
        <v>11</v>
      </c>
      <c r="B57" s="10">
        <v>45058</v>
      </c>
      <c r="C57" s="10" t="s">
        <v>12</v>
      </c>
      <c r="D57" s="5">
        <v>49.93</v>
      </c>
      <c r="E57" s="5">
        <v>2553.16</v>
      </c>
      <c r="F57" s="16" t="s">
        <v>62</v>
      </c>
    </row>
    <row r="58" spans="1:12" x14ac:dyDescent="0.35">
      <c r="A58" s="9" t="s">
        <v>11</v>
      </c>
      <c r="B58" s="10">
        <v>45058</v>
      </c>
      <c r="C58" s="10" t="s">
        <v>12</v>
      </c>
      <c r="D58" s="5">
        <v>50.98</v>
      </c>
      <c r="E58" s="5">
        <v>2644.74</v>
      </c>
      <c r="F58" s="16" t="s">
        <v>63</v>
      </c>
      <c r="G58" s="13">
        <f>AVERAGE(E59,E58)</f>
        <v>2644.4449999999997</v>
      </c>
      <c r="H58" s="13">
        <f>STDEV(E59,E58)</f>
        <v>0.4171930008998444</v>
      </c>
      <c r="K58" s="5">
        <f>G58+$J$32</f>
        <v>2633.7750000000001</v>
      </c>
    </row>
    <row r="59" spans="1:12" x14ac:dyDescent="0.35">
      <c r="A59" s="9" t="s">
        <v>11</v>
      </c>
      <c r="B59" s="10">
        <v>45058</v>
      </c>
      <c r="C59" s="10" t="s">
        <v>12</v>
      </c>
      <c r="D59" s="5">
        <v>48.92</v>
      </c>
      <c r="E59" s="5">
        <v>2644.15</v>
      </c>
      <c r="F59" s="16" t="s">
        <v>64</v>
      </c>
    </row>
    <row r="60" spans="1:12" x14ac:dyDescent="0.35">
      <c r="B60" s="15"/>
    </row>
    <row r="61" spans="1:12" x14ac:dyDescent="0.35">
      <c r="A61" s="9" t="s">
        <v>11</v>
      </c>
      <c r="B61" s="10">
        <v>45059</v>
      </c>
      <c r="C61" s="10" t="s">
        <v>12</v>
      </c>
      <c r="D61" s="5">
        <v>50.51</v>
      </c>
      <c r="E61" s="5">
        <v>2232.81</v>
      </c>
      <c r="F61" s="16" t="s">
        <v>8</v>
      </c>
      <c r="G61" s="12">
        <f>AVERAGE(E61:E62)</f>
        <v>2234.8249999999998</v>
      </c>
      <c r="H61" s="13">
        <f>STDEV(E61:E62)</f>
        <v>2.8496403281819278</v>
      </c>
      <c r="I61" s="3">
        <v>2226.44</v>
      </c>
      <c r="J61" s="4">
        <f>I61-G61</f>
        <v>-8.3849999999997635</v>
      </c>
      <c r="K61" s="5">
        <f>G61+J61</f>
        <v>2226.44</v>
      </c>
      <c r="L61" s="2" t="s">
        <v>94</v>
      </c>
    </row>
    <row r="62" spans="1:12" x14ac:dyDescent="0.35">
      <c r="A62" s="9" t="s">
        <v>11</v>
      </c>
      <c r="B62" s="10">
        <v>45059</v>
      </c>
      <c r="C62" s="10" t="s">
        <v>12</v>
      </c>
      <c r="D62" s="5">
        <v>49.4</v>
      </c>
      <c r="E62" s="5">
        <v>2236.84</v>
      </c>
      <c r="F62" s="16" t="s">
        <v>9</v>
      </c>
      <c r="G62" s="5"/>
      <c r="H62" s="5"/>
      <c r="I62" s="5"/>
      <c r="J62" s="5"/>
      <c r="K62" s="5"/>
    </row>
    <row r="63" spans="1:12" x14ac:dyDescent="0.35">
      <c r="A63" s="9" t="s">
        <v>11</v>
      </c>
      <c r="B63" s="10">
        <v>45058</v>
      </c>
      <c r="C63" s="10" t="s">
        <v>12</v>
      </c>
      <c r="D63" s="5">
        <v>51.23</v>
      </c>
      <c r="E63" s="14">
        <v>2724.44</v>
      </c>
      <c r="F63" s="16" t="s">
        <v>68</v>
      </c>
      <c r="G63" s="13">
        <f>AVERAGE(E64,E65)</f>
        <v>2685.37</v>
      </c>
      <c r="H63" s="13">
        <f>STDEV(E64,E65)</f>
        <v>2.4183051916580438</v>
      </c>
      <c r="K63" s="5">
        <f>G63+$J$32</f>
        <v>2674.7000000000003</v>
      </c>
    </row>
    <row r="64" spans="1:12" x14ac:dyDescent="0.35">
      <c r="A64" s="9" t="s">
        <v>11</v>
      </c>
      <c r="B64" s="10">
        <v>45058</v>
      </c>
      <c r="C64" s="10" t="s">
        <v>12</v>
      </c>
      <c r="D64" s="5">
        <v>50.02</v>
      </c>
      <c r="E64" s="5">
        <v>2687.08</v>
      </c>
      <c r="F64" s="16" t="s">
        <v>69</v>
      </c>
    </row>
    <row r="65" spans="1:11" x14ac:dyDescent="0.35">
      <c r="A65" s="9" t="s">
        <v>11</v>
      </c>
      <c r="B65" s="10">
        <v>45058</v>
      </c>
      <c r="C65" s="10" t="s">
        <v>12</v>
      </c>
      <c r="D65" s="5">
        <v>49.44</v>
      </c>
      <c r="E65" s="5">
        <v>2683.66</v>
      </c>
      <c r="F65" s="16" t="s">
        <v>83</v>
      </c>
    </row>
    <row r="66" spans="1:11" x14ac:dyDescent="0.35">
      <c r="A66" s="9" t="s">
        <v>11</v>
      </c>
      <c r="B66" s="10">
        <v>45058</v>
      </c>
      <c r="C66" s="10" t="s">
        <v>12</v>
      </c>
      <c r="D66" s="5">
        <v>52.2</v>
      </c>
      <c r="E66" s="5">
        <v>2662.94</v>
      </c>
      <c r="F66" s="16" t="s">
        <v>70</v>
      </c>
      <c r="G66" s="13">
        <f>AVERAGE(E66,E68)</f>
        <v>2660.77</v>
      </c>
      <c r="H66" s="13">
        <f>STDEV(E66,E68)</f>
        <v>3.0688434303497192</v>
      </c>
      <c r="K66" s="5">
        <f>G66+$J$32</f>
        <v>2650.1000000000004</v>
      </c>
    </row>
    <row r="67" spans="1:11" x14ac:dyDescent="0.35">
      <c r="A67" s="9" t="s">
        <v>11</v>
      </c>
      <c r="B67" s="10">
        <v>45058</v>
      </c>
      <c r="C67" s="10" t="s">
        <v>12</v>
      </c>
      <c r="D67" s="5">
        <v>51.08</v>
      </c>
      <c r="E67" s="14">
        <v>2635.37</v>
      </c>
      <c r="F67" s="16" t="s">
        <v>71</v>
      </c>
    </row>
    <row r="68" spans="1:11" x14ac:dyDescent="0.35">
      <c r="A68" s="9" t="s">
        <v>11</v>
      </c>
      <c r="B68" s="10">
        <v>45058</v>
      </c>
      <c r="C68" s="10" t="s">
        <v>12</v>
      </c>
      <c r="D68" s="5">
        <v>49.26</v>
      </c>
      <c r="E68" s="5">
        <v>2658.6</v>
      </c>
      <c r="F68" s="16" t="s">
        <v>72</v>
      </c>
    </row>
    <row r="69" spans="1:11" x14ac:dyDescent="0.35">
      <c r="A69" s="9" t="s">
        <v>11</v>
      </c>
      <c r="B69" s="10">
        <v>45058</v>
      </c>
      <c r="C69" s="10" t="s">
        <v>12</v>
      </c>
      <c r="D69" s="15">
        <v>48.42</v>
      </c>
      <c r="E69" s="5">
        <v>2351.7199999999998</v>
      </c>
      <c r="F69" s="16" t="s">
        <v>73</v>
      </c>
      <c r="G69" s="13">
        <f>AVERAGE(E70,E69)</f>
        <v>2353.9499999999998</v>
      </c>
      <c r="H69" s="13">
        <f>STDEV(E69,E70)</f>
        <v>3.1536962440920275</v>
      </c>
      <c r="K69" s="5">
        <f>G69+$J$32</f>
        <v>2343.2800000000002</v>
      </c>
    </row>
    <row r="70" spans="1:11" x14ac:dyDescent="0.35">
      <c r="A70" s="9" t="s">
        <v>11</v>
      </c>
      <c r="B70" s="10">
        <v>45059</v>
      </c>
      <c r="C70" s="10" t="s">
        <v>12</v>
      </c>
      <c r="D70" s="5">
        <v>52.08</v>
      </c>
      <c r="E70" s="5">
        <v>2356.1799999999998</v>
      </c>
      <c r="F70" s="16" t="s">
        <v>93</v>
      </c>
    </row>
    <row r="71" spans="1:11" x14ac:dyDescent="0.35">
      <c r="A71" s="9" t="s">
        <v>11</v>
      </c>
      <c r="B71" s="10">
        <v>45058</v>
      </c>
      <c r="C71" s="10" t="s">
        <v>12</v>
      </c>
      <c r="D71" s="5">
        <v>51.64</v>
      </c>
      <c r="E71" s="5">
        <v>2650.42</v>
      </c>
      <c r="F71" s="16" t="s">
        <v>74</v>
      </c>
      <c r="G71" s="13">
        <f>AVERAGE(E72,E71)</f>
        <v>2652.67</v>
      </c>
      <c r="H71" s="13">
        <f>STDEV(E72,E71)</f>
        <v>3.1819805153394638</v>
      </c>
      <c r="K71" s="5">
        <f>G71+$J$32</f>
        <v>2642.0000000000005</v>
      </c>
    </row>
    <row r="72" spans="1:11" x14ac:dyDescent="0.35">
      <c r="A72" s="9" t="s">
        <v>11</v>
      </c>
      <c r="B72" s="10">
        <v>45058</v>
      </c>
      <c r="C72" s="10" t="s">
        <v>12</v>
      </c>
      <c r="D72" s="5">
        <v>50.46</v>
      </c>
      <c r="E72" s="5">
        <v>2654.92</v>
      </c>
      <c r="F72" s="16" t="s">
        <v>75</v>
      </c>
    </row>
    <row r="73" spans="1:11" x14ac:dyDescent="0.35">
      <c r="A73" s="9" t="s">
        <v>11</v>
      </c>
      <c r="B73" s="10">
        <v>45058</v>
      </c>
      <c r="C73" s="10" t="s">
        <v>12</v>
      </c>
      <c r="D73" s="5">
        <v>50.63</v>
      </c>
      <c r="E73" s="5">
        <v>2629.73</v>
      </c>
      <c r="F73" s="16" t="s">
        <v>76</v>
      </c>
      <c r="G73" s="13">
        <f>AVERAGE(E74,E73)</f>
        <v>2631.4349999999999</v>
      </c>
      <c r="H73" s="13">
        <f>STDEV(E74,E73)</f>
        <v>2.411234123846024</v>
      </c>
      <c r="K73" s="5">
        <f>G73+$J$32</f>
        <v>2620.7650000000003</v>
      </c>
    </row>
    <row r="74" spans="1:11" x14ac:dyDescent="0.35">
      <c r="A74" s="9" t="s">
        <v>11</v>
      </c>
      <c r="B74" s="10">
        <v>45058</v>
      </c>
      <c r="C74" s="10" t="s">
        <v>12</v>
      </c>
      <c r="D74" s="5">
        <v>50.92</v>
      </c>
      <c r="E74" s="5">
        <v>2633.14</v>
      </c>
      <c r="F74" s="16" t="s">
        <v>77</v>
      </c>
    </row>
    <row r="75" spans="1:11" x14ac:dyDescent="0.35">
      <c r="A75" s="9" t="s">
        <v>11</v>
      </c>
      <c r="B75" s="10">
        <v>45058</v>
      </c>
      <c r="C75" s="10" t="s">
        <v>12</v>
      </c>
      <c r="D75" s="5">
        <v>50.69</v>
      </c>
      <c r="E75" s="5">
        <v>2671.36</v>
      </c>
      <c r="F75" s="16" t="s">
        <v>78</v>
      </c>
      <c r="G75" s="13">
        <f>AVERAGE(E75,E77)</f>
        <v>2673.7550000000001</v>
      </c>
      <c r="H75" s="13">
        <f>STDEV(E75,E77)</f>
        <v>3.387041481883537</v>
      </c>
      <c r="K75" s="5">
        <f>G75+$J$32</f>
        <v>2663.0850000000005</v>
      </c>
    </row>
    <row r="76" spans="1:11" x14ac:dyDescent="0.35">
      <c r="A76" s="9" t="s">
        <v>11</v>
      </c>
      <c r="B76" s="10">
        <v>45058</v>
      </c>
      <c r="C76" s="10" t="s">
        <v>12</v>
      </c>
      <c r="D76" s="5">
        <v>50.94</v>
      </c>
      <c r="E76" s="14">
        <v>2664.62</v>
      </c>
      <c r="F76" s="16" t="s">
        <v>79</v>
      </c>
    </row>
    <row r="77" spans="1:11" x14ac:dyDescent="0.35">
      <c r="A77" s="9" t="s">
        <v>11</v>
      </c>
      <c r="B77" s="10">
        <v>45058</v>
      </c>
      <c r="C77" s="10" t="s">
        <v>12</v>
      </c>
      <c r="D77" s="5">
        <v>49.78</v>
      </c>
      <c r="E77" s="5">
        <v>2676.15</v>
      </c>
      <c r="F77" s="16" t="s">
        <v>84</v>
      </c>
    </row>
    <row r="78" spans="1:11" x14ac:dyDescent="0.35">
      <c r="A78" s="9" t="s">
        <v>11</v>
      </c>
      <c r="B78" s="10">
        <v>45058</v>
      </c>
      <c r="C78" s="10" t="s">
        <v>12</v>
      </c>
      <c r="D78" s="5">
        <v>50.3</v>
      </c>
      <c r="E78" s="5">
        <v>2584.54</v>
      </c>
      <c r="F78" s="16" t="s">
        <v>80</v>
      </c>
      <c r="G78" s="13">
        <f>AVERAGE(E78,E80)</f>
        <v>2587.63</v>
      </c>
      <c r="H78" s="13">
        <f>STDEV(E78,E80)</f>
        <v>4.369919907732748</v>
      </c>
      <c r="K78" s="5">
        <f>G78+$J$32</f>
        <v>2576.9600000000005</v>
      </c>
    </row>
    <row r="79" spans="1:11" x14ac:dyDescent="0.35">
      <c r="A79" s="9" t="s">
        <v>11</v>
      </c>
      <c r="B79" s="10">
        <v>45058</v>
      </c>
      <c r="C79" s="10" t="s">
        <v>12</v>
      </c>
      <c r="D79" s="5">
        <v>50</v>
      </c>
      <c r="E79" s="14">
        <v>2598.9499999999998</v>
      </c>
      <c r="F79" s="16" t="s">
        <v>81</v>
      </c>
    </row>
    <row r="80" spans="1:11" x14ac:dyDescent="0.35">
      <c r="A80" s="9" t="s">
        <v>11</v>
      </c>
      <c r="B80" s="10">
        <v>45058</v>
      </c>
      <c r="C80" s="10" t="s">
        <v>12</v>
      </c>
      <c r="D80" s="5">
        <v>49.66</v>
      </c>
      <c r="E80" s="5">
        <v>2590.7199999999998</v>
      </c>
      <c r="F80" s="16" t="s">
        <v>82</v>
      </c>
    </row>
    <row r="81" spans="1:12" x14ac:dyDescent="0.35">
      <c r="A81" s="9" t="s">
        <v>11</v>
      </c>
      <c r="B81" s="10">
        <v>45059</v>
      </c>
      <c r="C81" s="10" t="s">
        <v>12</v>
      </c>
      <c r="D81" s="5">
        <v>51.6</v>
      </c>
      <c r="E81" s="14">
        <v>2600.5100000000002</v>
      </c>
      <c r="F81" s="16" t="s">
        <v>85</v>
      </c>
      <c r="G81" s="13">
        <f>AVERAGE(E82,E83)</f>
        <v>2592.8200000000002</v>
      </c>
      <c r="H81" s="13">
        <f>STDEV(E82,E83)</f>
        <v>1.7960512242138049</v>
      </c>
      <c r="K81" s="5">
        <f>G81+$J$61</f>
        <v>2584.4350000000004</v>
      </c>
    </row>
    <row r="82" spans="1:12" x14ac:dyDescent="0.35">
      <c r="A82" s="9" t="s">
        <v>11</v>
      </c>
      <c r="B82" s="10">
        <v>45059</v>
      </c>
      <c r="C82" s="10" t="s">
        <v>12</v>
      </c>
      <c r="D82" s="5">
        <v>51.16</v>
      </c>
      <c r="E82" s="5">
        <v>2591.5500000000002</v>
      </c>
      <c r="F82" s="16" t="s">
        <v>88</v>
      </c>
    </row>
    <row r="83" spans="1:12" x14ac:dyDescent="0.35">
      <c r="A83" s="9" t="s">
        <v>11</v>
      </c>
      <c r="B83" s="10">
        <v>45059</v>
      </c>
      <c r="C83" s="10" t="s">
        <v>12</v>
      </c>
      <c r="D83" s="5">
        <v>50.56</v>
      </c>
      <c r="E83" s="5">
        <v>2594.09</v>
      </c>
      <c r="F83" s="16" t="s">
        <v>89</v>
      </c>
    </row>
    <row r="84" spans="1:12" x14ac:dyDescent="0.35">
      <c r="A84" s="9" t="s">
        <v>11</v>
      </c>
      <c r="B84" s="10">
        <v>45059</v>
      </c>
      <c r="C84" s="10" t="s">
        <v>12</v>
      </c>
      <c r="D84" s="5">
        <v>50.01</v>
      </c>
      <c r="E84" s="5">
        <v>2563.02</v>
      </c>
      <c r="F84" s="16" t="s">
        <v>90</v>
      </c>
      <c r="G84" s="13">
        <f>AVERAGE(E84,E86)</f>
        <v>2565.895</v>
      </c>
      <c r="H84" s="13">
        <f>STDEV(E84,E86)</f>
        <v>4.0658639918226482</v>
      </c>
      <c r="K84" s="5">
        <f>G84+$J$61</f>
        <v>2557.5100000000002</v>
      </c>
    </row>
    <row r="85" spans="1:12" x14ac:dyDescent="0.35">
      <c r="A85" s="9" t="s">
        <v>11</v>
      </c>
      <c r="B85" s="10">
        <v>45059</v>
      </c>
      <c r="C85" s="10" t="s">
        <v>12</v>
      </c>
      <c r="D85" s="5">
        <v>49.18</v>
      </c>
      <c r="E85" s="14">
        <v>2584.94</v>
      </c>
      <c r="F85" s="16" t="s">
        <v>91</v>
      </c>
    </row>
    <row r="86" spans="1:12" x14ac:dyDescent="0.35">
      <c r="A86" s="9" t="s">
        <v>11</v>
      </c>
      <c r="B86" s="10">
        <v>45059</v>
      </c>
      <c r="C86" s="10" t="s">
        <v>12</v>
      </c>
      <c r="D86" s="5">
        <v>51.78</v>
      </c>
      <c r="E86" s="5">
        <v>2568.77</v>
      </c>
      <c r="F86" s="16" t="s">
        <v>92</v>
      </c>
    </row>
    <row r="87" spans="1:12" x14ac:dyDescent="0.35">
      <c r="A87" s="9" t="s">
        <v>11</v>
      </c>
      <c r="B87" s="10">
        <v>45059</v>
      </c>
      <c r="C87" s="10" t="s">
        <v>12</v>
      </c>
      <c r="D87" s="5">
        <v>51.4</v>
      </c>
      <c r="E87" s="5">
        <v>2661.01</v>
      </c>
      <c r="F87" s="16" t="s">
        <v>86</v>
      </c>
      <c r="G87" s="12">
        <f>AVERAGE(E87:E88)</f>
        <v>2662.76</v>
      </c>
      <c r="H87" s="13">
        <f>STDEV(E87:E88)</f>
        <v>2.4748737341529163</v>
      </c>
      <c r="K87" s="5">
        <f>G87+$J$61</f>
        <v>2654.3750000000005</v>
      </c>
    </row>
    <row r="88" spans="1:12" x14ac:dyDescent="0.35">
      <c r="A88" s="9" t="s">
        <v>11</v>
      </c>
      <c r="B88" s="10">
        <v>45059</v>
      </c>
      <c r="C88" s="10" t="s">
        <v>12</v>
      </c>
      <c r="D88" s="5">
        <v>51.8</v>
      </c>
      <c r="E88" s="5">
        <v>2664.51</v>
      </c>
      <c r="F88" s="16" t="s">
        <v>87</v>
      </c>
    </row>
    <row r="89" spans="1:12" x14ac:dyDescent="0.35">
      <c r="B89" s="15"/>
    </row>
    <row r="90" spans="1:12" x14ac:dyDescent="0.35">
      <c r="A90" s="9" t="s">
        <v>11</v>
      </c>
      <c r="B90" s="10">
        <v>45070</v>
      </c>
      <c r="C90" s="10" t="s">
        <v>12</v>
      </c>
      <c r="D90" s="5">
        <v>48.55</v>
      </c>
      <c r="E90" s="5">
        <v>2252.11</v>
      </c>
      <c r="F90" s="16" t="s">
        <v>8</v>
      </c>
      <c r="G90" s="12">
        <f>AVERAGE(E90,E92)</f>
        <v>2251.09</v>
      </c>
      <c r="H90" s="13">
        <f>STDEV(E90,E92)</f>
        <v>1.4424978336205312</v>
      </c>
      <c r="I90" s="3">
        <v>2226.44</v>
      </c>
      <c r="J90" s="4">
        <f>I90-G90</f>
        <v>-24.650000000000091</v>
      </c>
      <c r="K90" s="5">
        <f>G90+J90</f>
        <v>2226.44</v>
      </c>
      <c r="L90" s="2" t="s">
        <v>94</v>
      </c>
    </row>
    <row r="91" spans="1:12" x14ac:dyDescent="0.35">
      <c r="A91" s="9" t="s">
        <v>11</v>
      </c>
      <c r="B91" s="10">
        <v>45070</v>
      </c>
      <c r="C91" s="10" t="s">
        <v>12</v>
      </c>
      <c r="D91" s="5">
        <v>47.52</v>
      </c>
      <c r="E91" s="14">
        <v>2245.7600000000002</v>
      </c>
      <c r="F91" s="16" t="s">
        <v>9</v>
      </c>
    </row>
    <row r="92" spans="1:12" x14ac:dyDescent="0.35">
      <c r="A92" s="9" t="s">
        <v>11</v>
      </c>
      <c r="B92" s="10">
        <v>45070</v>
      </c>
      <c r="C92" s="10" t="s">
        <v>12</v>
      </c>
      <c r="D92" s="5">
        <v>48.34</v>
      </c>
      <c r="E92" s="5">
        <v>2250.0700000000002</v>
      </c>
      <c r="F92" s="16" t="s">
        <v>96</v>
      </c>
    </row>
    <row r="93" spans="1:12" x14ac:dyDescent="0.35">
      <c r="A93" s="9" t="s">
        <v>11</v>
      </c>
      <c r="B93" s="10">
        <v>45070</v>
      </c>
      <c r="C93" s="10" t="s">
        <v>12</v>
      </c>
      <c r="D93" s="5">
        <v>51.96</v>
      </c>
      <c r="E93" s="5">
        <v>2603.67</v>
      </c>
      <c r="F93" s="16" t="s">
        <v>97</v>
      </c>
      <c r="G93" s="13">
        <f>AVERAGE(E93,E95)</f>
        <v>2602.0950000000003</v>
      </c>
      <c r="H93" s="18">
        <f>STDEV(E93,E95)</f>
        <v>2.2273863607376891</v>
      </c>
      <c r="I93" s="5"/>
      <c r="J93" s="5"/>
      <c r="K93" s="5">
        <f>G93+$J$90</f>
        <v>2577.4450000000002</v>
      </c>
    </row>
    <row r="94" spans="1:12" x14ac:dyDescent="0.35">
      <c r="A94" s="9" t="s">
        <v>11</v>
      </c>
      <c r="B94" s="10">
        <v>45070</v>
      </c>
      <c r="C94" s="10" t="s">
        <v>12</v>
      </c>
      <c r="D94" s="5">
        <v>49.08</v>
      </c>
      <c r="E94" s="14">
        <v>2586.33</v>
      </c>
      <c r="F94" s="16" t="s">
        <v>98</v>
      </c>
    </row>
    <row r="95" spans="1:12" x14ac:dyDescent="0.35">
      <c r="A95" s="9" t="s">
        <v>11</v>
      </c>
      <c r="B95" s="10">
        <v>45070</v>
      </c>
      <c r="C95" s="10" t="s">
        <v>12</v>
      </c>
      <c r="D95" s="5">
        <v>50.05</v>
      </c>
      <c r="E95" s="5">
        <v>2600.52</v>
      </c>
      <c r="F95" s="16" t="s">
        <v>99</v>
      </c>
    </row>
    <row r="96" spans="1:12" x14ac:dyDescent="0.35">
      <c r="A96" s="9" t="s">
        <v>11</v>
      </c>
      <c r="B96" s="10">
        <v>45070</v>
      </c>
      <c r="C96" s="10" t="s">
        <v>12</v>
      </c>
      <c r="D96" s="5">
        <v>51.59</v>
      </c>
      <c r="E96" s="5">
        <v>2578.59</v>
      </c>
      <c r="F96" s="16" t="s">
        <v>100</v>
      </c>
      <c r="G96" s="13">
        <f>AVERAGE(E96:E97)</f>
        <v>2579.4549999999999</v>
      </c>
      <c r="H96" s="18">
        <f>STDEV(E96:E97)</f>
        <v>1.22329473145274</v>
      </c>
      <c r="I96" s="5"/>
      <c r="J96" s="5"/>
      <c r="K96" s="5">
        <f>G96+$J$90</f>
        <v>2554.8049999999998</v>
      </c>
    </row>
    <row r="97" spans="1:11" x14ac:dyDescent="0.35">
      <c r="A97" s="9" t="s">
        <v>11</v>
      </c>
      <c r="B97" s="10">
        <v>45070</v>
      </c>
      <c r="C97" s="10" t="s">
        <v>12</v>
      </c>
      <c r="D97" s="5">
        <v>50.52</v>
      </c>
      <c r="E97" s="5">
        <v>2580.3200000000002</v>
      </c>
      <c r="F97" s="16" t="s">
        <v>101</v>
      </c>
    </row>
    <row r="98" spans="1:11" x14ac:dyDescent="0.35">
      <c r="A98" s="9" t="s">
        <v>11</v>
      </c>
      <c r="B98" s="10">
        <v>45070</v>
      </c>
      <c r="C98" s="10" t="s">
        <v>12</v>
      </c>
      <c r="D98" s="5">
        <v>51.8</v>
      </c>
      <c r="E98" s="14">
        <v>3004.58</v>
      </c>
      <c r="F98" s="16" t="s">
        <v>102</v>
      </c>
      <c r="G98" s="13">
        <f>AVERAGE(E99:E100)</f>
        <v>3027.23</v>
      </c>
      <c r="H98" s="18">
        <f>STDEV(E99:E100)</f>
        <v>2.390020920410608</v>
      </c>
      <c r="I98" s="5"/>
      <c r="J98" s="5"/>
      <c r="K98" s="5">
        <f>G98+$J$90</f>
        <v>3002.58</v>
      </c>
    </row>
    <row r="99" spans="1:11" x14ac:dyDescent="0.35">
      <c r="A99" s="9" t="s">
        <v>11</v>
      </c>
      <c r="B99" s="10">
        <v>45070</v>
      </c>
      <c r="C99" s="10" t="s">
        <v>12</v>
      </c>
      <c r="D99" s="5">
        <v>51.36</v>
      </c>
      <c r="E99" s="5">
        <v>3025.54</v>
      </c>
      <c r="F99" s="16" t="s">
        <v>103</v>
      </c>
    </row>
    <row r="100" spans="1:11" x14ac:dyDescent="0.35">
      <c r="A100" s="9" t="s">
        <v>11</v>
      </c>
      <c r="B100" s="10">
        <v>45070</v>
      </c>
      <c r="C100" s="10" t="s">
        <v>12</v>
      </c>
      <c r="D100" s="5">
        <v>52.44</v>
      </c>
      <c r="E100" s="5">
        <v>3028.92</v>
      </c>
      <c r="F100" s="16" t="s">
        <v>104</v>
      </c>
    </row>
    <row r="101" spans="1:11" x14ac:dyDescent="0.35">
      <c r="A101" s="9" t="s">
        <v>11</v>
      </c>
      <c r="B101" s="10">
        <v>45070</v>
      </c>
      <c r="C101" s="10" t="s">
        <v>12</v>
      </c>
      <c r="D101" s="5">
        <v>49.3</v>
      </c>
      <c r="E101" s="5">
        <v>3016.39</v>
      </c>
      <c r="F101" s="16" t="s">
        <v>105</v>
      </c>
      <c r="G101" s="13">
        <f>AVERAGE(E101,E103)</f>
        <v>3014.8599999999997</v>
      </c>
      <c r="H101" s="18">
        <f>STDEV(E101,E103)</f>
        <v>2.1637467504307968</v>
      </c>
      <c r="I101" s="5"/>
      <c r="J101" s="5"/>
      <c r="K101" s="5">
        <f>G101+$J$90</f>
        <v>2990.2099999999996</v>
      </c>
    </row>
    <row r="102" spans="1:11" x14ac:dyDescent="0.35">
      <c r="A102" s="9" t="s">
        <v>11</v>
      </c>
      <c r="B102" s="10">
        <v>45070</v>
      </c>
      <c r="C102" s="10" t="s">
        <v>12</v>
      </c>
      <c r="D102" s="5">
        <v>51.02</v>
      </c>
      <c r="E102" s="14">
        <v>2995.09</v>
      </c>
      <c r="F102" s="16" t="s">
        <v>106</v>
      </c>
    </row>
    <row r="103" spans="1:11" x14ac:dyDescent="0.35">
      <c r="A103" s="9" t="s">
        <v>11</v>
      </c>
      <c r="B103" s="10">
        <v>45070</v>
      </c>
      <c r="C103" s="10" t="s">
        <v>12</v>
      </c>
      <c r="D103" s="5">
        <v>49.61</v>
      </c>
      <c r="E103" s="5">
        <v>3013.33</v>
      </c>
      <c r="F103" s="16" t="s">
        <v>107</v>
      </c>
    </row>
    <row r="104" spans="1:11" x14ac:dyDescent="0.35">
      <c r="A104" s="9" t="s">
        <v>11</v>
      </c>
      <c r="B104" s="10">
        <v>45070</v>
      </c>
      <c r="C104" s="10" t="s">
        <v>12</v>
      </c>
      <c r="D104" s="5">
        <v>52.32</v>
      </c>
      <c r="E104" s="14">
        <v>3010.86</v>
      </c>
      <c r="F104" s="16" t="s">
        <v>108</v>
      </c>
      <c r="G104" s="13">
        <f>AVERAGE(E105:E106)</f>
        <v>3001.3</v>
      </c>
      <c r="H104" s="18">
        <f>STDEV(E105:E106)</f>
        <v>4.879036790187242</v>
      </c>
      <c r="I104" s="5"/>
      <c r="J104" s="5"/>
      <c r="K104" s="5">
        <f>G104+$J$90</f>
        <v>2976.65</v>
      </c>
    </row>
    <row r="105" spans="1:11" x14ac:dyDescent="0.35">
      <c r="A105" s="9" t="s">
        <v>11</v>
      </c>
      <c r="B105" s="10">
        <v>45070</v>
      </c>
      <c r="C105" s="10" t="s">
        <v>12</v>
      </c>
      <c r="D105" s="5">
        <v>49.03</v>
      </c>
      <c r="E105" s="5">
        <v>2997.85</v>
      </c>
      <c r="F105" s="16" t="s">
        <v>109</v>
      </c>
    </row>
    <row r="106" spans="1:11" x14ac:dyDescent="0.35">
      <c r="A106" s="9" t="s">
        <v>11</v>
      </c>
      <c r="B106" s="10">
        <v>45070</v>
      </c>
      <c r="C106" s="10" t="s">
        <v>12</v>
      </c>
      <c r="D106" s="5">
        <v>49.61</v>
      </c>
      <c r="E106" s="5">
        <v>3004.75</v>
      </c>
      <c r="F106" s="16" t="s">
        <v>110</v>
      </c>
    </row>
    <row r="107" spans="1:11" x14ac:dyDescent="0.35">
      <c r="A107" s="9" t="s">
        <v>11</v>
      </c>
      <c r="B107" s="10">
        <v>45070</v>
      </c>
      <c r="C107" s="10" t="s">
        <v>12</v>
      </c>
      <c r="D107" s="5">
        <v>47.83</v>
      </c>
      <c r="E107" s="14">
        <v>2696.29</v>
      </c>
      <c r="F107" s="16" t="s">
        <v>111</v>
      </c>
      <c r="G107" s="13">
        <f>AVERAGE(E108:E109)</f>
        <v>2682.9300000000003</v>
      </c>
      <c r="H107" s="18">
        <f>STDEV(E108:E109)</f>
        <v>0.42426406871186417</v>
      </c>
      <c r="I107" s="5"/>
      <c r="J107" s="5"/>
      <c r="K107" s="5">
        <f>G107+$J$90</f>
        <v>2658.28</v>
      </c>
    </row>
    <row r="108" spans="1:11" x14ac:dyDescent="0.35">
      <c r="A108" s="9" t="s">
        <v>11</v>
      </c>
      <c r="B108" s="10">
        <v>45070</v>
      </c>
      <c r="C108" s="10" t="s">
        <v>12</v>
      </c>
      <c r="D108" s="5">
        <v>49.41</v>
      </c>
      <c r="E108" s="5">
        <v>2683.23</v>
      </c>
      <c r="F108" s="16" t="s">
        <v>112</v>
      </c>
    </row>
    <row r="109" spans="1:11" x14ac:dyDescent="0.35">
      <c r="A109" s="9" t="s">
        <v>11</v>
      </c>
      <c r="B109" s="10">
        <v>45070</v>
      </c>
      <c r="C109" s="10" t="s">
        <v>12</v>
      </c>
      <c r="D109" s="5">
        <v>50.51</v>
      </c>
      <c r="E109" s="5">
        <v>2682.63</v>
      </c>
      <c r="F109" s="16" t="s">
        <v>113</v>
      </c>
    </row>
    <row r="110" spans="1:11" x14ac:dyDescent="0.35">
      <c r="A110" s="9" t="s">
        <v>11</v>
      </c>
      <c r="B110" s="10">
        <v>45070</v>
      </c>
      <c r="C110" s="10" t="s">
        <v>12</v>
      </c>
      <c r="D110" s="5">
        <v>49.35</v>
      </c>
      <c r="E110" s="14">
        <v>2673.54</v>
      </c>
      <c r="F110" s="16" t="s">
        <v>114</v>
      </c>
      <c r="G110" s="13">
        <f>AVERAGE(E111:E112)</f>
        <v>2666.21</v>
      </c>
      <c r="H110" s="18">
        <f>STDEV(E111:E112)</f>
        <v>3.3658282784481206</v>
      </c>
      <c r="I110" s="5"/>
      <c r="J110" s="5"/>
      <c r="K110" s="5">
        <f>G110+$J$90</f>
        <v>2641.56</v>
      </c>
    </row>
    <row r="111" spans="1:11" x14ac:dyDescent="0.35">
      <c r="A111" s="9" t="s">
        <v>11</v>
      </c>
      <c r="B111" s="10">
        <v>45070</v>
      </c>
      <c r="C111" s="10" t="s">
        <v>12</v>
      </c>
      <c r="D111" s="5">
        <v>51.51</v>
      </c>
      <c r="E111" s="5">
        <v>2663.83</v>
      </c>
      <c r="F111" s="16" t="s">
        <v>115</v>
      </c>
    </row>
    <row r="112" spans="1:11" x14ac:dyDescent="0.35">
      <c r="A112" s="9" t="s">
        <v>11</v>
      </c>
      <c r="B112" s="10">
        <v>45070</v>
      </c>
      <c r="C112" s="10" t="s">
        <v>12</v>
      </c>
      <c r="D112" s="5">
        <v>51.15</v>
      </c>
      <c r="E112" s="5">
        <v>2668.59</v>
      </c>
      <c r="F112" s="16" t="s">
        <v>116</v>
      </c>
    </row>
    <row r="113" spans="1:12" x14ac:dyDescent="0.35">
      <c r="A113" s="9" t="s">
        <v>11</v>
      </c>
      <c r="B113" s="10">
        <v>45070</v>
      </c>
      <c r="C113" s="10" t="s">
        <v>12</v>
      </c>
      <c r="D113" s="5">
        <v>52.36</v>
      </c>
      <c r="E113" s="5">
        <v>2674.22</v>
      </c>
      <c r="F113" s="16" t="s">
        <v>117</v>
      </c>
      <c r="G113" s="13">
        <f>AVERAGE(E113:E114)</f>
        <v>2676.22</v>
      </c>
      <c r="H113" s="18">
        <f>STDEV(E113:E114)</f>
        <v>2.8284271247461903</v>
      </c>
      <c r="I113" s="5"/>
      <c r="J113" s="5"/>
      <c r="K113" s="5">
        <f>G113+$J$90</f>
        <v>2651.5699999999997</v>
      </c>
    </row>
    <row r="114" spans="1:12" x14ac:dyDescent="0.35">
      <c r="A114" s="9" t="s">
        <v>11</v>
      </c>
      <c r="B114" s="10">
        <v>45070</v>
      </c>
      <c r="C114" s="10" t="s">
        <v>12</v>
      </c>
      <c r="D114" s="5">
        <v>50.56</v>
      </c>
      <c r="E114" s="5">
        <v>2678.22</v>
      </c>
      <c r="F114" s="16" t="s">
        <v>118</v>
      </c>
    </row>
    <row r="115" spans="1:12" x14ac:dyDescent="0.35">
      <c r="A115" s="9" t="s">
        <v>11</v>
      </c>
      <c r="B115" s="10">
        <v>45070</v>
      </c>
      <c r="C115" s="10" t="s">
        <v>12</v>
      </c>
      <c r="D115" s="5">
        <v>49.76</v>
      </c>
      <c r="E115" s="5">
        <v>2672.81</v>
      </c>
      <c r="F115" s="16" t="s">
        <v>119</v>
      </c>
      <c r="G115" s="13">
        <f>AVERAGE(E115,E117)</f>
        <v>2671.2349999999997</v>
      </c>
      <c r="H115" s="18">
        <f>STDEV(E115,E117)</f>
        <v>2.2273863607376891</v>
      </c>
      <c r="I115" s="5"/>
      <c r="J115" s="5"/>
      <c r="K115" s="5">
        <f>G115+$J$90</f>
        <v>2646.5849999999996</v>
      </c>
    </row>
    <row r="116" spans="1:12" x14ac:dyDescent="0.35">
      <c r="A116" s="9" t="s">
        <v>11</v>
      </c>
      <c r="B116" s="10">
        <v>45070</v>
      </c>
      <c r="C116" s="10" t="s">
        <v>12</v>
      </c>
      <c r="D116" s="5">
        <v>49.93</v>
      </c>
      <c r="E116" s="14">
        <v>2644.37</v>
      </c>
      <c r="F116" s="16" t="s">
        <v>120</v>
      </c>
    </row>
    <row r="117" spans="1:12" x14ac:dyDescent="0.35">
      <c r="A117" s="9" t="s">
        <v>11</v>
      </c>
      <c r="B117" s="10">
        <v>45070</v>
      </c>
      <c r="C117" s="10" t="s">
        <v>12</v>
      </c>
      <c r="D117" s="15">
        <v>50.21</v>
      </c>
      <c r="E117" s="5">
        <v>2669.66</v>
      </c>
      <c r="F117" s="16" t="s">
        <v>121</v>
      </c>
    </row>
    <row r="118" spans="1:12" x14ac:dyDescent="0.35">
      <c r="A118" s="9" t="s">
        <v>11</v>
      </c>
      <c r="B118" s="10">
        <v>45070</v>
      </c>
      <c r="C118" s="10" t="s">
        <v>12</v>
      </c>
      <c r="D118" s="5">
        <v>51.39</v>
      </c>
      <c r="E118" s="5">
        <v>2602.8000000000002</v>
      </c>
      <c r="F118" s="16" t="s">
        <v>122</v>
      </c>
      <c r="G118" s="13">
        <f>AVERAGE(E118,E120)</f>
        <v>2602.42</v>
      </c>
      <c r="H118" s="18">
        <f>STDEV(E118,E120)</f>
        <v>0.53740115370193042</v>
      </c>
      <c r="I118" s="5"/>
      <c r="J118" s="5"/>
      <c r="K118" s="5">
        <f>G118+$J$90</f>
        <v>2577.77</v>
      </c>
    </row>
    <row r="119" spans="1:12" x14ac:dyDescent="0.35">
      <c r="A119" s="9" t="s">
        <v>11</v>
      </c>
      <c r="B119" s="10">
        <v>45070</v>
      </c>
      <c r="C119" s="10" t="s">
        <v>12</v>
      </c>
      <c r="D119" s="5">
        <v>49.24</v>
      </c>
      <c r="E119" s="14">
        <v>2621.53</v>
      </c>
      <c r="F119" s="16" t="s">
        <v>123</v>
      </c>
    </row>
    <row r="120" spans="1:12" x14ac:dyDescent="0.35">
      <c r="A120" s="9" t="s">
        <v>11</v>
      </c>
      <c r="B120" s="10">
        <v>45070</v>
      </c>
      <c r="C120" s="10" t="s">
        <v>12</v>
      </c>
      <c r="D120" s="5">
        <v>48.74</v>
      </c>
      <c r="E120" s="5">
        <v>2602.04</v>
      </c>
      <c r="F120" s="16" t="s">
        <v>124</v>
      </c>
    </row>
    <row r="121" spans="1:12" x14ac:dyDescent="0.35">
      <c r="B121" s="15"/>
    </row>
    <row r="122" spans="1:12" x14ac:dyDescent="0.35">
      <c r="A122" s="9" t="s">
        <v>152</v>
      </c>
      <c r="B122" s="10">
        <v>45071</v>
      </c>
      <c r="C122" s="10" t="s">
        <v>12</v>
      </c>
      <c r="D122" s="5">
        <v>48.65</v>
      </c>
      <c r="E122" s="5">
        <v>2243.71</v>
      </c>
      <c r="F122" s="16" t="s">
        <v>8</v>
      </c>
      <c r="G122" s="12">
        <f>AVERAGE(E122,E124)</f>
        <v>2243.3900000000003</v>
      </c>
      <c r="H122" s="13">
        <f>STDEV(E122,E124)</f>
        <v>0.45254833995930038</v>
      </c>
      <c r="I122" s="3">
        <v>2226.44</v>
      </c>
      <c r="J122" s="4">
        <f>I122-G122</f>
        <v>-16.950000000000273</v>
      </c>
      <c r="K122" s="5">
        <f>G122+J122</f>
        <v>2226.44</v>
      </c>
      <c r="L122" s="2" t="s">
        <v>94</v>
      </c>
    </row>
    <row r="123" spans="1:12" x14ac:dyDescent="0.35">
      <c r="A123" s="9" t="s">
        <v>152</v>
      </c>
      <c r="B123" s="10">
        <v>45071</v>
      </c>
      <c r="C123" s="10" t="s">
        <v>12</v>
      </c>
      <c r="D123" s="5">
        <v>52.32</v>
      </c>
      <c r="E123" s="14">
        <v>2236.0300000000002</v>
      </c>
      <c r="F123" s="16" t="s">
        <v>9</v>
      </c>
    </row>
    <row r="124" spans="1:12" x14ac:dyDescent="0.35">
      <c r="A124" s="9" t="s">
        <v>152</v>
      </c>
      <c r="B124" s="10">
        <v>45071</v>
      </c>
      <c r="C124" s="10" t="s">
        <v>12</v>
      </c>
      <c r="D124" s="5">
        <v>49.16</v>
      </c>
      <c r="E124" s="20">
        <v>2243.0700000000002</v>
      </c>
      <c r="F124" s="16" t="s">
        <v>96</v>
      </c>
    </row>
    <row r="125" spans="1:12" x14ac:dyDescent="0.35">
      <c r="A125" s="9" t="s">
        <v>11</v>
      </c>
      <c r="B125" s="10">
        <v>45070</v>
      </c>
      <c r="C125" s="10" t="s">
        <v>12</v>
      </c>
      <c r="D125" s="5">
        <v>50.06</v>
      </c>
      <c r="E125" s="14">
        <v>2581.9299999999998</v>
      </c>
      <c r="F125" s="16" t="s">
        <v>125</v>
      </c>
      <c r="G125" s="13">
        <f>AVERAGE(E126,E127)</f>
        <v>2560.4349999999999</v>
      </c>
      <c r="H125" s="18">
        <f>STDEV(E126,E127)</f>
        <v>1.3788582233136391</v>
      </c>
      <c r="I125" s="5"/>
      <c r="J125" s="5"/>
      <c r="K125" s="5">
        <f>G125+$J$90</f>
        <v>2535.7849999999999</v>
      </c>
    </row>
    <row r="126" spans="1:12" x14ac:dyDescent="0.35">
      <c r="A126" s="9" t="s">
        <v>11</v>
      </c>
      <c r="B126" s="10">
        <v>45070</v>
      </c>
      <c r="C126" s="10" t="s">
        <v>12</v>
      </c>
      <c r="D126" s="5">
        <v>53.5</v>
      </c>
      <c r="E126" s="5">
        <v>2559.46</v>
      </c>
      <c r="F126" s="16" t="s">
        <v>126</v>
      </c>
    </row>
    <row r="127" spans="1:12" x14ac:dyDescent="0.35">
      <c r="A127" s="9" t="s">
        <v>11</v>
      </c>
      <c r="B127" s="10">
        <v>45070</v>
      </c>
      <c r="C127" s="10" t="s">
        <v>12</v>
      </c>
      <c r="D127" s="5">
        <v>49.18</v>
      </c>
      <c r="E127" s="5">
        <v>2561.41</v>
      </c>
      <c r="F127" s="16" t="s">
        <v>127</v>
      </c>
    </row>
    <row r="128" spans="1:12" x14ac:dyDescent="0.35">
      <c r="A128" s="9" t="s">
        <v>11</v>
      </c>
      <c r="B128" s="10">
        <v>45070</v>
      </c>
      <c r="C128" s="10" t="s">
        <v>12</v>
      </c>
      <c r="D128" s="5">
        <v>48.74</v>
      </c>
      <c r="E128" s="14">
        <v>2581.9</v>
      </c>
      <c r="F128" s="16" t="s">
        <v>128</v>
      </c>
      <c r="G128" s="13">
        <f>AVERAGE(E129,E130)</f>
        <v>2565.64</v>
      </c>
      <c r="H128" s="18">
        <f>STDEV(E129,E130)</f>
        <v>3.2102647865869001</v>
      </c>
      <c r="I128" s="5"/>
      <c r="J128" s="5"/>
      <c r="K128" s="5">
        <f>G128+$J$90</f>
        <v>2540.9899999999998</v>
      </c>
    </row>
    <row r="129" spans="1:12" x14ac:dyDescent="0.35">
      <c r="A129" s="9" t="s">
        <v>11</v>
      </c>
      <c r="B129" s="10">
        <v>45070</v>
      </c>
      <c r="C129" s="10" t="s">
        <v>12</v>
      </c>
      <c r="D129" s="5">
        <v>48.46</v>
      </c>
      <c r="E129" s="5">
        <v>2563.37</v>
      </c>
      <c r="F129" s="16" t="s">
        <v>129</v>
      </c>
    </row>
    <row r="130" spans="1:12" x14ac:dyDescent="0.35">
      <c r="A130" s="9" t="s">
        <v>11</v>
      </c>
      <c r="B130" s="10">
        <v>45070</v>
      </c>
      <c r="C130" s="10" t="s">
        <v>12</v>
      </c>
      <c r="D130" s="5">
        <v>51.63</v>
      </c>
      <c r="E130" s="5">
        <v>2567.91</v>
      </c>
      <c r="F130" s="16" t="s">
        <v>150</v>
      </c>
    </row>
    <row r="131" spans="1:12" x14ac:dyDescent="0.35">
      <c r="A131" s="9" t="s">
        <v>11</v>
      </c>
      <c r="B131" s="10">
        <v>45070</v>
      </c>
      <c r="C131" s="10" t="s">
        <v>12</v>
      </c>
      <c r="D131" s="5">
        <v>49.69</v>
      </c>
      <c r="E131" s="5">
        <v>2507.44</v>
      </c>
      <c r="F131" s="16" t="s">
        <v>130</v>
      </c>
      <c r="G131" s="13">
        <f>AVERAGE(E131,E132)</f>
        <v>2509.4250000000002</v>
      </c>
      <c r="H131" s="18">
        <f>STDEV(E131,E132)</f>
        <v>2.8072139213104523</v>
      </c>
      <c r="I131" s="5"/>
      <c r="J131" s="5"/>
      <c r="K131" s="5">
        <f>G131+$J$90</f>
        <v>2484.7750000000001</v>
      </c>
    </row>
    <row r="132" spans="1:12" x14ac:dyDescent="0.35">
      <c r="A132" s="9" t="s">
        <v>11</v>
      </c>
      <c r="B132" s="10">
        <v>45070</v>
      </c>
      <c r="C132" s="10" t="s">
        <v>12</v>
      </c>
      <c r="D132" s="5">
        <v>49.44</v>
      </c>
      <c r="E132" s="5">
        <v>2511.41</v>
      </c>
      <c r="F132" s="16" t="s">
        <v>131</v>
      </c>
    </row>
    <row r="133" spans="1:12" x14ac:dyDescent="0.35">
      <c r="A133" s="9" t="s">
        <v>11</v>
      </c>
      <c r="B133" s="10">
        <v>45070</v>
      </c>
      <c r="C133" s="10" t="s">
        <v>12</v>
      </c>
      <c r="D133" s="5">
        <v>50.55</v>
      </c>
      <c r="E133" s="14">
        <v>2483.41</v>
      </c>
      <c r="F133" s="16" t="s">
        <v>132</v>
      </c>
      <c r="G133" s="13">
        <f>AVERAGE(E134,E135)</f>
        <v>2508.37</v>
      </c>
      <c r="H133" s="18">
        <f>STDEV(E134,E135)</f>
        <v>2.036467529817334</v>
      </c>
      <c r="I133" s="5"/>
      <c r="J133" s="5"/>
      <c r="K133" s="5">
        <f>G133+$J$90</f>
        <v>2483.7199999999998</v>
      </c>
    </row>
    <row r="134" spans="1:12" x14ac:dyDescent="0.35">
      <c r="A134" s="9" t="s">
        <v>11</v>
      </c>
      <c r="B134" s="10">
        <v>45070</v>
      </c>
      <c r="C134" s="10" t="s">
        <v>12</v>
      </c>
      <c r="D134" s="5">
        <v>47.44</v>
      </c>
      <c r="E134" s="5">
        <v>2506.9299999999998</v>
      </c>
      <c r="F134" s="16" t="s">
        <v>133</v>
      </c>
    </row>
    <row r="135" spans="1:12" x14ac:dyDescent="0.35">
      <c r="A135" s="9" t="s">
        <v>11</v>
      </c>
      <c r="B135" s="10">
        <v>45070</v>
      </c>
      <c r="C135" s="10" t="s">
        <v>12</v>
      </c>
      <c r="D135" s="5">
        <v>52.79</v>
      </c>
      <c r="E135" s="5">
        <v>2509.81</v>
      </c>
      <c r="F135" s="16" t="s">
        <v>134</v>
      </c>
    </row>
    <row r="136" spans="1:12" x14ac:dyDescent="0.35">
      <c r="A136" s="9" t="s">
        <v>11</v>
      </c>
      <c r="B136" s="10">
        <v>45070</v>
      </c>
      <c r="C136" s="10" t="s">
        <v>12</v>
      </c>
      <c r="D136" s="5">
        <v>48.3</v>
      </c>
      <c r="E136" s="5">
        <v>2510.2199999999998</v>
      </c>
      <c r="F136" s="16" t="s">
        <v>135</v>
      </c>
      <c r="G136" s="13">
        <f>AVERAGE(E136,E137)</f>
        <v>2513.62</v>
      </c>
      <c r="H136" s="18">
        <f>STDEV(E136,E137)</f>
        <v>4.8083261120686522</v>
      </c>
      <c r="I136" s="5"/>
      <c r="J136" s="5"/>
      <c r="K136" s="5">
        <f>G136+$J$90</f>
        <v>2488.9699999999998</v>
      </c>
    </row>
    <row r="137" spans="1:12" x14ac:dyDescent="0.35">
      <c r="A137" s="9" t="s">
        <v>11</v>
      </c>
      <c r="B137" s="10">
        <v>45070</v>
      </c>
      <c r="C137" s="10" t="s">
        <v>12</v>
      </c>
      <c r="D137" s="5">
        <v>48.44</v>
      </c>
      <c r="E137" s="5">
        <v>2517.02</v>
      </c>
      <c r="F137" s="16" t="s">
        <v>136</v>
      </c>
    </row>
    <row r="138" spans="1:12" x14ac:dyDescent="0.35">
      <c r="A138" s="9" t="s">
        <v>11</v>
      </c>
      <c r="B138" s="10">
        <v>45070</v>
      </c>
      <c r="C138" s="10" t="s">
        <v>12</v>
      </c>
      <c r="D138" s="5">
        <v>49.14</v>
      </c>
      <c r="E138" s="14">
        <v>2572.29</v>
      </c>
      <c r="F138" s="16" t="s">
        <v>137</v>
      </c>
      <c r="G138" s="13">
        <f>AVERAGE(E140,E139)</f>
        <v>2555.61</v>
      </c>
      <c r="H138" s="18">
        <f>STDEV(E140,E139)</f>
        <v>3.5072496346853015</v>
      </c>
      <c r="I138" s="5"/>
      <c r="J138" s="5"/>
      <c r="K138" s="5">
        <f>G138+$J$90</f>
        <v>2530.96</v>
      </c>
    </row>
    <row r="139" spans="1:12" x14ac:dyDescent="0.35">
      <c r="A139" s="9" t="s">
        <v>11</v>
      </c>
      <c r="B139" s="10">
        <v>45070</v>
      </c>
      <c r="C139" s="10" t="s">
        <v>12</v>
      </c>
      <c r="D139" s="5">
        <v>53.79</v>
      </c>
      <c r="E139" s="5">
        <v>2558.09</v>
      </c>
      <c r="F139" s="16" t="s">
        <v>138</v>
      </c>
    </row>
    <row r="140" spans="1:12" x14ac:dyDescent="0.35">
      <c r="A140" s="9" t="s">
        <v>11</v>
      </c>
      <c r="B140" s="10">
        <v>45070</v>
      </c>
      <c r="C140" s="10" t="s">
        <v>12</v>
      </c>
      <c r="D140" s="5">
        <v>48.08</v>
      </c>
      <c r="E140" s="5">
        <v>2553.13</v>
      </c>
      <c r="F140" s="16" t="s">
        <v>139</v>
      </c>
    </row>
    <row r="141" spans="1:12" x14ac:dyDescent="0.35">
      <c r="A141" s="9" t="s">
        <v>11</v>
      </c>
      <c r="B141" s="10">
        <v>45070</v>
      </c>
      <c r="C141" s="10" t="s">
        <v>12</v>
      </c>
      <c r="D141" s="5">
        <v>51.07</v>
      </c>
      <c r="E141" s="5">
        <v>2490.64</v>
      </c>
      <c r="F141" s="16" t="s">
        <v>140</v>
      </c>
      <c r="G141" s="13">
        <f>AVERAGE(E141,E142)</f>
        <v>2490.2249999999999</v>
      </c>
      <c r="H141" s="18">
        <f>STDEV(E141,E142)</f>
        <v>0.58689862838478302</v>
      </c>
      <c r="I141" s="5"/>
      <c r="J141" s="5"/>
      <c r="K141" s="5">
        <f>G141+$J$90</f>
        <v>2465.5749999999998</v>
      </c>
    </row>
    <row r="142" spans="1:12" x14ac:dyDescent="0.35">
      <c r="A142" s="9" t="s">
        <v>11</v>
      </c>
      <c r="B142" s="10">
        <v>45070</v>
      </c>
      <c r="C142" s="10" t="s">
        <v>12</v>
      </c>
      <c r="D142" s="5">
        <v>48.78</v>
      </c>
      <c r="E142" s="5">
        <v>2489.81</v>
      </c>
      <c r="F142" s="16" t="s">
        <v>141</v>
      </c>
    </row>
    <row r="143" spans="1:12" x14ac:dyDescent="0.35">
      <c r="A143" s="9" t="s">
        <v>11</v>
      </c>
      <c r="B143" s="10">
        <v>45070</v>
      </c>
      <c r="C143" s="10" t="s">
        <v>12</v>
      </c>
      <c r="D143" s="5" t="s">
        <v>153</v>
      </c>
      <c r="E143" s="5" t="s">
        <v>153</v>
      </c>
      <c r="F143" s="16" t="s">
        <v>142</v>
      </c>
      <c r="G143" s="13" t="s">
        <v>153</v>
      </c>
      <c r="H143" s="18" t="s">
        <v>153</v>
      </c>
      <c r="I143" s="5"/>
      <c r="J143" s="5"/>
      <c r="K143" s="5" t="s">
        <v>153</v>
      </c>
      <c r="L143" s="1" t="s">
        <v>182</v>
      </c>
    </row>
    <row r="144" spans="1:12" x14ac:dyDescent="0.35">
      <c r="A144" s="9" t="s">
        <v>11</v>
      </c>
      <c r="B144" s="10">
        <v>45070</v>
      </c>
      <c r="C144" s="10" t="s">
        <v>12</v>
      </c>
      <c r="D144" s="5" t="s">
        <v>153</v>
      </c>
      <c r="E144" s="5" t="s">
        <v>153</v>
      </c>
      <c r="F144" s="16" t="s">
        <v>143</v>
      </c>
    </row>
    <row r="145" spans="1:12" x14ac:dyDescent="0.35">
      <c r="A145" s="9" t="s">
        <v>11</v>
      </c>
      <c r="B145" s="10">
        <v>45070</v>
      </c>
      <c r="C145" s="10" t="s">
        <v>12</v>
      </c>
      <c r="D145" s="5" t="s">
        <v>153</v>
      </c>
      <c r="E145" s="5" t="s">
        <v>153</v>
      </c>
      <c r="F145" s="16" t="s">
        <v>151</v>
      </c>
    </row>
    <row r="146" spans="1:12" x14ac:dyDescent="0.35">
      <c r="A146" s="9" t="s">
        <v>152</v>
      </c>
      <c r="B146" s="10">
        <v>45071</v>
      </c>
      <c r="C146" s="10" t="s">
        <v>12</v>
      </c>
      <c r="D146" s="5">
        <v>51.28</v>
      </c>
      <c r="E146" s="5">
        <v>2508.1</v>
      </c>
      <c r="F146" s="16" t="s">
        <v>144</v>
      </c>
      <c r="G146" s="13">
        <f>AVERAGE(E146,E147)</f>
        <v>2504.9749999999999</v>
      </c>
      <c r="H146" s="18">
        <f>STDEV(E146,E147)</f>
        <v>4.4194173824159222</v>
      </c>
      <c r="I146" s="5"/>
      <c r="J146" s="5"/>
      <c r="K146" s="5">
        <f>G146+$J$122</f>
        <v>2488.0249999999996</v>
      </c>
    </row>
    <row r="147" spans="1:12" x14ac:dyDescent="0.35">
      <c r="A147" s="9" t="s">
        <v>152</v>
      </c>
      <c r="B147" s="10">
        <v>45071</v>
      </c>
      <c r="C147" s="10" t="s">
        <v>12</v>
      </c>
      <c r="D147" s="5">
        <v>48.87</v>
      </c>
      <c r="E147" s="5">
        <v>2501.85</v>
      </c>
      <c r="F147" s="16" t="s">
        <v>145</v>
      </c>
    </row>
    <row r="148" spans="1:12" x14ac:dyDescent="0.35">
      <c r="A148" s="9" t="s">
        <v>152</v>
      </c>
      <c r="B148" s="10">
        <v>45071</v>
      </c>
      <c r="C148" s="10" t="s">
        <v>12</v>
      </c>
      <c r="D148" s="5">
        <v>50.15</v>
      </c>
      <c r="E148" s="14">
        <v>2516.9699999999998</v>
      </c>
      <c r="F148" s="16" t="s">
        <v>146</v>
      </c>
    </row>
    <row r="149" spans="1:12" x14ac:dyDescent="0.35">
      <c r="A149" s="9" t="s">
        <v>152</v>
      </c>
      <c r="B149" s="10">
        <v>45071</v>
      </c>
      <c r="C149" s="10" t="s">
        <v>12</v>
      </c>
      <c r="D149" s="5">
        <v>48.48</v>
      </c>
      <c r="E149" s="5">
        <v>2563.36</v>
      </c>
      <c r="F149" s="16" t="s">
        <v>147</v>
      </c>
      <c r="G149" s="13">
        <f>AVERAGE(E149,E150)</f>
        <v>2562.0500000000002</v>
      </c>
      <c r="H149" s="18">
        <f>STDEV(E149,E150)</f>
        <v>1.852619766708999</v>
      </c>
      <c r="I149" s="5"/>
      <c r="J149" s="5"/>
      <c r="K149" s="5">
        <f>G149+$J$122</f>
        <v>2545.1</v>
      </c>
    </row>
    <row r="150" spans="1:12" x14ac:dyDescent="0.35">
      <c r="A150" s="9" t="s">
        <v>152</v>
      </c>
      <c r="B150" s="10">
        <v>45071</v>
      </c>
      <c r="C150" s="10" t="s">
        <v>12</v>
      </c>
      <c r="D150" s="5">
        <v>48.03</v>
      </c>
      <c r="E150" s="5">
        <v>2560.7399999999998</v>
      </c>
      <c r="F150" s="16" t="s">
        <v>148</v>
      </c>
    </row>
    <row r="151" spans="1:12" x14ac:dyDescent="0.35">
      <c r="A151" s="9" t="s">
        <v>152</v>
      </c>
      <c r="B151" s="10">
        <v>45071</v>
      </c>
      <c r="C151" s="10" t="s">
        <v>12</v>
      </c>
      <c r="D151" s="5">
        <v>48.88</v>
      </c>
      <c r="E151" s="14">
        <v>2577.4</v>
      </c>
      <c r="F151" s="16" t="s">
        <v>149</v>
      </c>
    </row>
    <row r="152" spans="1:12" x14ac:dyDescent="0.35">
      <c r="A152" s="9"/>
      <c r="B152" s="10"/>
      <c r="C152" s="10"/>
      <c r="E152" s="14"/>
      <c r="F152" s="16"/>
    </row>
    <row r="153" spans="1:12" x14ac:dyDescent="0.35">
      <c r="A153" s="9" t="s">
        <v>11</v>
      </c>
      <c r="B153" s="10">
        <v>45072</v>
      </c>
      <c r="C153" s="10" t="s">
        <v>12</v>
      </c>
      <c r="D153" s="5">
        <v>50.92</v>
      </c>
      <c r="E153" s="5">
        <v>2235.3200000000002</v>
      </c>
      <c r="F153" s="16" t="s">
        <v>8</v>
      </c>
      <c r="G153" s="12">
        <f>AVERAGE(E153,E154)</f>
        <v>2233.5550000000003</v>
      </c>
      <c r="H153" s="13">
        <f>STDEV(E153:E154)</f>
        <v>2.4960869375886543</v>
      </c>
      <c r="I153" s="3">
        <v>2226.44</v>
      </c>
      <c r="J153" s="4">
        <f>I153-G153</f>
        <v>-7.1150000000002365</v>
      </c>
      <c r="K153" s="5">
        <f>G153+J153</f>
        <v>2226.44</v>
      </c>
      <c r="L153" s="2" t="s">
        <v>94</v>
      </c>
    </row>
    <row r="154" spans="1:12" x14ac:dyDescent="0.35">
      <c r="A154" s="9" t="s">
        <v>11</v>
      </c>
      <c r="B154" s="10">
        <v>45072</v>
      </c>
      <c r="C154" s="10" t="s">
        <v>12</v>
      </c>
      <c r="D154" s="5">
        <v>48.85</v>
      </c>
      <c r="E154" s="5">
        <v>2231.79</v>
      </c>
      <c r="F154" s="16" t="s">
        <v>9</v>
      </c>
    </row>
    <row r="155" spans="1:12" x14ac:dyDescent="0.35">
      <c r="A155" s="9" t="s">
        <v>11</v>
      </c>
      <c r="B155" s="10">
        <v>45071</v>
      </c>
      <c r="C155" s="10" t="s">
        <v>12</v>
      </c>
      <c r="D155" s="5">
        <v>49.29</v>
      </c>
      <c r="E155" s="14">
        <v>2573.58</v>
      </c>
      <c r="F155" s="16" t="s">
        <v>125</v>
      </c>
      <c r="G155" s="13">
        <f>AVERAGE(E156:E157)</f>
        <v>2559.56</v>
      </c>
      <c r="H155" s="18">
        <f>STDEV(E156:E157)</f>
        <v>3.2668333290817722</v>
      </c>
      <c r="I155" s="5"/>
      <c r="J155" s="5"/>
      <c r="K155" s="5">
        <f>G155+$J$122</f>
        <v>2542.6099999999997</v>
      </c>
    </row>
    <row r="156" spans="1:12" x14ac:dyDescent="0.35">
      <c r="A156" s="9" t="s">
        <v>11</v>
      </c>
      <c r="B156" s="10">
        <v>45071</v>
      </c>
      <c r="C156" s="10" t="s">
        <v>12</v>
      </c>
      <c r="D156" s="5">
        <v>50.59</v>
      </c>
      <c r="E156" s="5">
        <v>2557.25</v>
      </c>
      <c r="F156" s="16" t="s">
        <v>126</v>
      </c>
    </row>
    <row r="157" spans="1:12" x14ac:dyDescent="0.35">
      <c r="A157" s="9" t="s">
        <v>11</v>
      </c>
      <c r="B157" s="10">
        <v>45071</v>
      </c>
      <c r="C157" s="10" t="s">
        <v>12</v>
      </c>
      <c r="D157" s="5">
        <v>48.84</v>
      </c>
      <c r="E157" s="5">
        <v>2561.87</v>
      </c>
      <c r="F157" s="16" t="s">
        <v>127</v>
      </c>
    </row>
    <row r="158" spans="1:12" x14ac:dyDescent="0.35">
      <c r="A158" s="9" t="s">
        <v>11</v>
      </c>
      <c r="B158" s="10">
        <v>45071</v>
      </c>
      <c r="C158" s="10" t="s">
        <v>12</v>
      </c>
      <c r="D158" s="5">
        <v>51.03</v>
      </c>
      <c r="E158" s="5">
        <v>2571.7600000000002</v>
      </c>
      <c r="F158" s="16" t="s">
        <v>128</v>
      </c>
      <c r="G158" s="13">
        <f>AVERAGE(E158,E160)</f>
        <v>2571.4499999999998</v>
      </c>
      <c r="H158" s="18">
        <f>STDEV(E158,E160)</f>
        <v>0.43840620433590383</v>
      </c>
      <c r="I158" s="5"/>
      <c r="J158" s="5"/>
      <c r="K158" s="5">
        <f>G158+$J$122</f>
        <v>2554.4999999999995</v>
      </c>
    </row>
    <row r="159" spans="1:12" x14ac:dyDescent="0.35">
      <c r="A159" s="9" t="s">
        <v>11</v>
      </c>
      <c r="B159" s="10">
        <v>45071</v>
      </c>
      <c r="C159" s="10" t="s">
        <v>12</v>
      </c>
      <c r="D159" s="5">
        <v>48.02</v>
      </c>
      <c r="E159" s="14">
        <v>2641.36</v>
      </c>
      <c r="F159" s="16" t="s">
        <v>129</v>
      </c>
    </row>
    <row r="160" spans="1:12" x14ac:dyDescent="0.35">
      <c r="A160" s="9" t="s">
        <v>11</v>
      </c>
      <c r="B160" s="10">
        <v>45071</v>
      </c>
      <c r="C160" s="10" t="s">
        <v>12</v>
      </c>
      <c r="D160" s="5">
        <v>51.38</v>
      </c>
      <c r="E160" s="5">
        <v>2571.14</v>
      </c>
      <c r="F160" s="16" t="s">
        <v>150</v>
      </c>
    </row>
    <row r="161" spans="1:11" x14ac:dyDescent="0.35">
      <c r="A161" s="9" t="s">
        <v>11</v>
      </c>
      <c r="B161" s="10">
        <v>45071</v>
      </c>
      <c r="C161" s="10" t="s">
        <v>12</v>
      </c>
      <c r="D161" s="5">
        <v>51.09</v>
      </c>
      <c r="E161" s="14">
        <v>2509.6999999999998</v>
      </c>
      <c r="F161" s="16" t="s">
        <v>130</v>
      </c>
      <c r="G161" s="13">
        <f>AVERAGE(E162:E163)</f>
        <v>2489.66</v>
      </c>
      <c r="H161" s="18">
        <f>STDEV(E162:E163)</f>
        <v>2.9698484809836927</v>
      </c>
      <c r="I161" s="5"/>
      <c r="J161" s="5"/>
      <c r="K161" s="5">
        <f>G161+$J$122</f>
        <v>2472.7099999999996</v>
      </c>
    </row>
    <row r="162" spans="1:11" x14ac:dyDescent="0.35">
      <c r="A162" s="9" t="s">
        <v>11</v>
      </c>
      <c r="B162" s="10">
        <v>45071</v>
      </c>
      <c r="C162" s="10" t="s">
        <v>12</v>
      </c>
      <c r="D162" s="5">
        <v>51.1</v>
      </c>
      <c r="E162" s="5">
        <v>2491.7600000000002</v>
      </c>
      <c r="F162" s="16" t="s">
        <v>131</v>
      </c>
    </row>
    <row r="163" spans="1:11" x14ac:dyDescent="0.35">
      <c r="A163" s="9" t="s">
        <v>11</v>
      </c>
      <c r="B163" s="10">
        <v>45071</v>
      </c>
      <c r="C163" s="10" t="s">
        <v>12</v>
      </c>
      <c r="D163" s="5">
        <v>52.26</v>
      </c>
      <c r="E163" s="5">
        <v>2487.56</v>
      </c>
      <c r="F163" s="16" t="s">
        <v>154</v>
      </c>
    </row>
    <row r="164" spans="1:11" x14ac:dyDescent="0.35">
      <c r="A164" s="9" t="s">
        <v>11</v>
      </c>
      <c r="B164" s="10">
        <v>45071</v>
      </c>
      <c r="C164" s="10" t="s">
        <v>12</v>
      </c>
      <c r="D164" s="5">
        <v>50.99</v>
      </c>
      <c r="E164" s="5">
        <v>2526.11</v>
      </c>
      <c r="F164" s="16" t="s">
        <v>132</v>
      </c>
      <c r="G164" s="13">
        <f>AVERAGE(E164,E166)</f>
        <v>2526.5600000000004</v>
      </c>
      <c r="H164" s="18">
        <f>STDEV(E164,E166)</f>
        <v>0.63639610306795713</v>
      </c>
      <c r="I164" s="5"/>
      <c r="J164" s="5"/>
      <c r="K164" s="5">
        <f>G164+$J$122</f>
        <v>2509.61</v>
      </c>
    </row>
    <row r="165" spans="1:11" x14ac:dyDescent="0.35">
      <c r="A165" s="9" t="s">
        <v>11</v>
      </c>
      <c r="B165" s="10">
        <v>45071</v>
      </c>
      <c r="C165" s="10" t="s">
        <v>12</v>
      </c>
      <c r="D165" s="5">
        <v>52.82</v>
      </c>
      <c r="E165" s="14">
        <v>2520.5100000000002</v>
      </c>
      <c r="F165" s="16" t="s">
        <v>133</v>
      </c>
    </row>
    <row r="166" spans="1:11" x14ac:dyDescent="0.35">
      <c r="A166" s="9" t="s">
        <v>11</v>
      </c>
      <c r="B166" s="10">
        <v>45071</v>
      </c>
      <c r="C166" s="10" t="s">
        <v>12</v>
      </c>
      <c r="D166" s="5">
        <v>50.85</v>
      </c>
      <c r="E166" s="5">
        <v>2527.0100000000002</v>
      </c>
      <c r="F166" s="16" t="s">
        <v>134</v>
      </c>
    </row>
    <row r="167" spans="1:11" x14ac:dyDescent="0.35">
      <c r="A167" s="9" t="s">
        <v>11</v>
      </c>
      <c r="B167" s="10">
        <v>45072</v>
      </c>
      <c r="C167" s="10" t="s">
        <v>12</v>
      </c>
      <c r="D167" s="5">
        <v>50.49</v>
      </c>
      <c r="E167" s="5">
        <v>2523.5</v>
      </c>
      <c r="F167" s="16" t="s">
        <v>135</v>
      </c>
      <c r="G167" s="13">
        <f>AVERAGE(E167:E168)</f>
        <v>2521.355</v>
      </c>
      <c r="H167" s="18">
        <f>STDEV(E167:E168)</f>
        <v>3.0334880912902631</v>
      </c>
      <c r="I167" s="5"/>
      <c r="J167" s="5"/>
      <c r="K167" s="5">
        <f>G167+$J$153</f>
        <v>2514.2399999999998</v>
      </c>
    </row>
    <row r="168" spans="1:11" x14ac:dyDescent="0.35">
      <c r="A168" s="9" t="s">
        <v>11</v>
      </c>
      <c r="B168" s="10">
        <v>45072</v>
      </c>
      <c r="C168" s="10" t="s">
        <v>12</v>
      </c>
      <c r="D168" s="5">
        <v>49.11</v>
      </c>
      <c r="E168" s="5">
        <v>2519.21</v>
      </c>
      <c r="F168" s="16" t="s">
        <v>136</v>
      </c>
    </row>
    <row r="169" spans="1:11" x14ac:dyDescent="0.35">
      <c r="A169" s="9" t="s">
        <v>11</v>
      </c>
      <c r="B169" s="10">
        <v>45072</v>
      </c>
      <c r="C169" s="10" t="s">
        <v>12</v>
      </c>
      <c r="D169" s="5">
        <v>52.28</v>
      </c>
      <c r="E169" s="5">
        <v>2573.4699999999998</v>
      </c>
      <c r="F169" s="16" t="s">
        <v>137</v>
      </c>
      <c r="G169" s="13">
        <f>AVERAGE(E169,E171)</f>
        <v>2574.1499999999996</v>
      </c>
      <c r="H169" s="18">
        <f>STDEV(E169,E171)</f>
        <v>0.96166522241379471</v>
      </c>
      <c r="I169" s="5"/>
      <c r="J169" s="5"/>
      <c r="K169" s="5">
        <f>G169+$J$90</f>
        <v>2549.4999999999995</v>
      </c>
    </row>
    <row r="170" spans="1:11" x14ac:dyDescent="0.35">
      <c r="A170" s="9" t="s">
        <v>11</v>
      </c>
      <c r="B170" s="10">
        <v>45072</v>
      </c>
      <c r="C170" s="10" t="s">
        <v>12</v>
      </c>
      <c r="D170" s="5">
        <v>50.12</v>
      </c>
      <c r="E170" s="14">
        <v>2568.59</v>
      </c>
      <c r="F170" s="16" t="s">
        <v>138</v>
      </c>
    </row>
    <row r="171" spans="1:11" x14ac:dyDescent="0.35">
      <c r="A171" s="9" t="s">
        <v>11</v>
      </c>
      <c r="B171" s="10">
        <v>45072</v>
      </c>
      <c r="C171" s="10" t="s">
        <v>12</v>
      </c>
      <c r="D171" s="5">
        <v>51.85</v>
      </c>
      <c r="E171" s="5">
        <v>2574.83</v>
      </c>
      <c r="F171" s="16" t="s">
        <v>139</v>
      </c>
    </row>
    <row r="172" spans="1:11" x14ac:dyDescent="0.35">
      <c r="A172" s="9" t="s">
        <v>11</v>
      </c>
      <c r="B172" s="10">
        <v>45072</v>
      </c>
      <c r="C172" s="10" t="s">
        <v>12</v>
      </c>
      <c r="D172" s="5">
        <v>50.5</v>
      </c>
      <c r="E172" s="5">
        <v>2499.33</v>
      </c>
      <c r="F172" s="16" t="s">
        <v>140</v>
      </c>
      <c r="G172" s="13">
        <f>AVERAGE(E173:E174)</f>
        <v>2508.4300000000003</v>
      </c>
      <c r="H172" s="18">
        <f>STDEV(E173:E174)</f>
        <v>3.2526911934580545</v>
      </c>
      <c r="I172" s="5"/>
      <c r="J172" s="5"/>
      <c r="K172" s="5">
        <f>G172+$J$90</f>
        <v>2483.7800000000002</v>
      </c>
    </row>
    <row r="173" spans="1:11" x14ac:dyDescent="0.35">
      <c r="A173" s="9" t="s">
        <v>11</v>
      </c>
      <c r="B173" s="10">
        <v>45072</v>
      </c>
      <c r="C173" s="10" t="s">
        <v>12</v>
      </c>
      <c r="D173" s="5">
        <v>51.34</v>
      </c>
      <c r="E173" s="5">
        <v>2510.73</v>
      </c>
      <c r="F173" s="16" t="s">
        <v>141</v>
      </c>
    </row>
    <row r="174" spans="1:11" x14ac:dyDescent="0.35">
      <c r="A174" s="9" t="s">
        <v>11</v>
      </c>
      <c r="B174" s="10">
        <v>45072</v>
      </c>
      <c r="C174" s="10" t="s">
        <v>12</v>
      </c>
      <c r="D174" s="5">
        <v>49.8</v>
      </c>
      <c r="E174" s="5">
        <v>2506.13</v>
      </c>
      <c r="F174" s="16" t="s">
        <v>155</v>
      </c>
    </row>
    <row r="175" spans="1:11" s="28" customFormat="1" x14ac:dyDescent="0.35">
      <c r="A175" s="24" t="s">
        <v>11</v>
      </c>
      <c r="B175" s="25">
        <v>45072</v>
      </c>
      <c r="C175" s="25" t="s">
        <v>12</v>
      </c>
      <c r="D175" s="26">
        <v>50.04</v>
      </c>
      <c r="E175" s="26">
        <v>2464.9499999999998</v>
      </c>
      <c r="F175" s="27" t="s">
        <v>142</v>
      </c>
      <c r="G175" s="13">
        <f>AVERAGE(E175:E176)</f>
        <v>2466.8249999999998</v>
      </c>
      <c r="H175" s="18">
        <f>STDEV(E175:E176)</f>
        <v>2.6516504294495533</v>
      </c>
      <c r="I175" s="26"/>
      <c r="J175" s="26"/>
      <c r="K175" s="26">
        <f>G175+$J$90</f>
        <v>2442.1749999999997</v>
      </c>
    </row>
    <row r="176" spans="1:11" s="28" customFormat="1" x14ac:dyDescent="0.35">
      <c r="A176" s="24" t="s">
        <v>11</v>
      </c>
      <c r="B176" s="25">
        <v>45072</v>
      </c>
      <c r="C176" s="25" t="s">
        <v>12</v>
      </c>
      <c r="D176" s="26">
        <v>48.8</v>
      </c>
      <c r="E176" s="26">
        <v>2468.6999999999998</v>
      </c>
      <c r="F176" s="27" t="s">
        <v>143</v>
      </c>
      <c r="G176" s="29"/>
      <c r="H176" s="29"/>
      <c r="I176" s="29"/>
      <c r="J176" s="29"/>
      <c r="K176" s="29"/>
    </row>
    <row r="177" spans="1:12" s="28" customFormat="1" x14ac:dyDescent="0.35">
      <c r="A177" s="24" t="s">
        <v>11</v>
      </c>
      <c r="B177" s="25">
        <v>45072</v>
      </c>
      <c r="C177" s="25" t="s">
        <v>12</v>
      </c>
      <c r="D177" s="26">
        <v>49.87</v>
      </c>
      <c r="E177" s="30">
        <v>2431.39</v>
      </c>
      <c r="F177" s="27" t="s">
        <v>151</v>
      </c>
      <c r="G177" s="29"/>
      <c r="H177" s="29"/>
      <c r="I177" s="29"/>
      <c r="J177" s="29"/>
      <c r="K177" s="29"/>
    </row>
    <row r="178" spans="1:12" s="28" customFormat="1" x14ac:dyDescent="0.35">
      <c r="A178" s="24" t="s">
        <v>11</v>
      </c>
      <c r="B178" s="25">
        <v>45072</v>
      </c>
      <c r="C178" s="25" t="s">
        <v>12</v>
      </c>
      <c r="D178" s="26">
        <v>50.49</v>
      </c>
      <c r="E178" s="30">
        <v>2513.27</v>
      </c>
      <c r="F178" s="27" t="s">
        <v>144</v>
      </c>
      <c r="G178" s="13">
        <f>AVERAGE(E179,E180)</f>
        <v>2479.6350000000002</v>
      </c>
      <c r="H178" s="18">
        <f>STDEV(E179,E180)</f>
        <v>0.68589357775080961</v>
      </c>
      <c r="I178" s="5"/>
      <c r="J178" s="5"/>
      <c r="K178" s="5">
        <f>G178+$J$90</f>
        <v>2454.9850000000001</v>
      </c>
    </row>
    <row r="179" spans="1:12" x14ac:dyDescent="0.35">
      <c r="A179" s="9" t="s">
        <v>11</v>
      </c>
      <c r="B179" s="10">
        <v>45072</v>
      </c>
      <c r="C179" s="10" t="s">
        <v>12</v>
      </c>
      <c r="D179" s="5">
        <v>49</v>
      </c>
      <c r="E179" s="5">
        <v>2480.12</v>
      </c>
      <c r="F179" s="23" t="s">
        <v>145</v>
      </c>
      <c r="G179" s="1"/>
      <c r="H179" s="1"/>
      <c r="I179" s="1"/>
      <c r="J179" s="1"/>
      <c r="K179" s="1"/>
    </row>
    <row r="180" spans="1:12" x14ac:dyDescent="0.35">
      <c r="A180" s="9" t="s">
        <v>11</v>
      </c>
      <c r="B180" s="10">
        <v>45072</v>
      </c>
      <c r="C180" s="10" t="s">
        <v>12</v>
      </c>
      <c r="D180" s="22">
        <v>51.03</v>
      </c>
      <c r="E180" s="5">
        <v>2479.15</v>
      </c>
      <c r="F180" s="23" t="s">
        <v>157</v>
      </c>
    </row>
    <row r="181" spans="1:12" x14ac:dyDescent="0.35">
      <c r="A181" s="9" t="s">
        <v>11</v>
      </c>
      <c r="B181" s="10">
        <v>45072</v>
      </c>
      <c r="C181" s="10" t="s">
        <v>12</v>
      </c>
      <c r="D181" s="22">
        <v>52.74</v>
      </c>
      <c r="E181" s="14">
        <v>2554.25</v>
      </c>
      <c r="F181" s="21" t="s">
        <v>147</v>
      </c>
      <c r="G181" s="13">
        <f>AVERAGE(E182:E183)</f>
        <v>2569.605</v>
      </c>
      <c r="H181" s="18">
        <f>STDEV(E182:E183)</f>
        <v>4.0092954493277757</v>
      </c>
      <c r="I181" s="5"/>
      <c r="J181" s="5"/>
      <c r="K181" s="5">
        <f>G181+$J$90</f>
        <v>2544.9549999999999</v>
      </c>
      <c r="L181" s="28"/>
    </row>
    <row r="182" spans="1:12" x14ac:dyDescent="0.35">
      <c r="A182" s="9" t="s">
        <v>11</v>
      </c>
      <c r="B182" s="10">
        <v>45072</v>
      </c>
      <c r="C182" s="10" t="s">
        <v>12</v>
      </c>
      <c r="D182" s="5">
        <v>48.88</v>
      </c>
      <c r="E182" s="5">
        <v>2572.44</v>
      </c>
      <c r="F182" s="21" t="s">
        <v>149</v>
      </c>
    </row>
    <row r="183" spans="1:12" x14ac:dyDescent="0.35">
      <c r="A183" s="9" t="s">
        <v>11</v>
      </c>
      <c r="B183" s="10">
        <v>45072</v>
      </c>
      <c r="C183" s="10" t="s">
        <v>12</v>
      </c>
      <c r="D183" s="5">
        <v>48.88</v>
      </c>
      <c r="E183" s="5">
        <v>2566.77</v>
      </c>
      <c r="F183" s="21" t="s">
        <v>156</v>
      </c>
    </row>
    <row r="184" spans="1:12" x14ac:dyDescent="0.35">
      <c r="B184" s="15"/>
    </row>
    <row r="185" spans="1:12" x14ac:dyDescent="0.35">
      <c r="A185" s="15" t="s">
        <v>152</v>
      </c>
      <c r="B185" s="31">
        <v>45076</v>
      </c>
      <c r="C185" s="25" t="s">
        <v>12</v>
      </c>
      <c r="D185" s="5">
        <v>52.53</v>
      </c>
      <c r="E185" s="14">
        <v>2209.06</v>
      </c>
      <c r="F185" s="16" t="s">
        <v>8</v>
      </c>
      <c r="G185" s="13">
        <f>AVERAGE(E186:E187)</f>
        <v>2235.2600000000002</v>
      </c>
      <c r="H185" s="18">
        <f>STDEV(E186:E187)</f>
        <v>4.3274935008619151</v>
      </c>
      <c r="I185" s="3">
        <v>2226.44</v>
      </c>
      <c r="J185" s="4">
        <f>I185-G185</f>
        <v>-8.8200000000001637</v>
      </c>
      <c r="K185" s="5">
        <f>G185+J185</f>
        <v>2226.44</v>
      </c>
      <c r="L185" s="2" t="s">
        <v>94</v>
      </c>
    </row>
    <row r="186" spans="1:12" x14ac:dyDescent="0.35">
      <c r="A186" s="15" t="s">
        <v>152</v>
      </c>
      <c r="B186" s="31">
        <v>45076</v>
      </c>
      <c r="C186" s="10" t="s">
        <v>12</v>
      </c>
      <c r="D186" s="5">
        <v>51.3</v>
      </c>
      <c r="E186" s="5">
        <v>2232.1999999999998</v>
      </c>
      <c r="F186" s="16" t="s">
        <v>9</v>
      </c>
    </row>
    <row r="187" spans="1:12" x14ac:dyDescent="0.35">
      <c r="A187" s="15" t="s">
        <v>152</v>
      </c>
      <c r="B187" s="31">
        <v>45076</v>
      </c>
      <c r="C187" s="10" t="s">
        <v>12</v>
      </c>
      <c r="D187" s="5">
        <v>51.63</v>
      </c>
      <c r="E187" s="5">
        <v>2238.3200000000002</v>
      </c>
      <c r="F187" s="17" t="s">
        <v>96</v>
      </c>
    </row>
    <row r="188" spans="1:12" x14ac:dyDescent="0.35">
      <c r="A188" s="15" t="s">
        <v>152</v>
      </c>
      <c r="B188" s="31">
        <v>45076</v>
      </c>
      <c r="C188" s="10" t="s">
        <v>12</v>
      </c>
      <c r="D188" s="5" t="s">
        <v>153</v>
      </c>
      <c r="E188" s="5" t="s">
        <v>153</v>
      </c>
      <c r="F188" s="32" t="s">
        <v>158</v>
      </c>
      <c r="G188" s="5" t="s">
        <v>153</v>
      </c>
      <c r="H188" s="5" t="s">
        <v>153</v>
      </c>
      <c r="K188" s="5" t="s">
        <v>153</v>
      </c>
      <c r="L188" s="1" t="s">
        <v>182</v>
      </c>
    </row>
    <row r="189" spans="1:12" x14ac:dyDescent="0.35">
      <c r="A189" s="15" t="s">
        <v>152</v>
      </c>
      <c r="B189" s="31">
        <v>45076</v>
      </c>
      <c r="C189" s="10" t="s">
        <v>12</v>
      </c>
      <c r="D189" s="5" t="s">
        <v>153</v>
      </c>
      <c r="E189" s="5" t="s">
        <v>153</v>
      </c>
      <c r="F189" s="32" t="s">
        <v>159</v>
      </c>
    </row>
    <row r="190" spans="1:12" x14ac:dyDescent="0.35">
      <c r="A190" s="15" t="s">
        <v>152</v>
      </c>
      <c r="B190" s="31">
        <v>45076</v>
      </c>
      <c r="C190" s="10" t="s">
        <v>12</v>
      </c>
      <c r="D190" s="5" t="s">
        <v>153</v>
      </c>
      <c r="E190" s="5" t="s">
        <v>153</v>
      </c>
      <c r="F190" s="32" t="s">
        <v>160</v>
      </c>
    </row>
    <row r="191" spans="1:12" x14ac:dyDescent="0.35">
      <c r="A191" s="15" t="s">
        <v>152</v>
      </c>
      <c r="B191" s="31">
        <v>45076</v>
      </c>
      <c r="C191" s="10" t="s">
        <v>12</v>
      </c>
      <c r="D191" s="5">
        <v>49.99</v>
      </c>
      <c r="E191" s="14">
        <v>2615.17</v>
      </c>
      <c r="F191" s="17" t="s">
        <v>161</v>
      </c>
      <c r="G191" s="13">
        <f>AVERAGE(E193:E194)</f>
        <v>2584.4350000000004</v>
      </c>
      <c r="H191" s="18">
        <f>STDEV(E193:E194)</f>
        <v>3.3446150750123826</v>
      </c>
      <c r="K191" s="5">
        <f>G191+$J$185</f>
        <v>2575.6150000000002</v>
      </c>
    </row>
    <row r="192" spans="1:12" x14ac:dyDescent="0.35">
      <c r="A192" s="15" t="s">
        <v>152</v>
      </c>
      <c r="B192" s="31">
        <v>45076</v>
      </c>
      <c r="C192" s="10" t="s">
        <v>12</v>
      </c>
      <c r="D192" s="5">
        <v>52.91</v>
      </c>
      <c r="E192" s="14">
        <v>2627.78</v>
      </c>
      <c r="F192" s="17" t="s">
        <v>162</v>
      </c>
    </row>
    <row r="193" spans="1:12" x14ac:dyDescent="0.35">
      <c r="A193" s="15" t="s">
        <v>152</v>
      </c>
      <c r="B193" s="31">
        <v>45076</v>
      </c>
      <c r="C193" s="25" t="s">
        <v>12</v>
      </c>
      <c r="D193" s="5">
        <v>52.49</v>
      </c>
      <c r="E193" s="5">
        <v>2582.0700000000002</v>
      </c>
      <c r="F193" s="17" t="s">
        <v>163</v>
      </c>
    </row>
    <row r="194" spans="1:12" x14ac:dyDescent="0.35">
      <c r="A194" s="15" t="s">
        <v>152</v>
      </c>
      <c r="B194" s="31">
        <v>45076</v>
      </c>
      <c r="C194" s="25" t="s">
        <v>12</v>
      </c>
      <c r="D194" s="5">
        <v>49.24</v>
      </c>
      <c r="E194" s="5">
        <v>2586.8000000000002</v>
      </c>
      <c r="F194" s="17" t="s">
        <v>181</v>
      </c>
    </row>
    <row r="195" spans="1:12" x14ac:dyDescent="0.35">
      <c r="A195" s="15" t="s">
        <v>152</v>
      </c>
      <c r="B195" s="31">
        <v>45076</v>
      </c>
      <c r="C195" s="10" t="s">
        <v>12</v>
      </c>
      <c r="D195" s="5">
        <v>49.64</v>
      </c>
      <c r="E195" s="14">
        <v>2619.5100000000002</v>
      </c>
      <c r="F195" s="17" t="s">
        <v>164</v>
      </c>
      <c r="G195" s="13">
        <f>AVERAGE(E196:E197)</f>
        <v>2567.4549999999999</v>
      </c>
      <c r="H195" s="18">
        <f>STDEV(E196:E197)</f>
        <v>2.4960869375883328</v>
      </c>
      <c r="K195" s="5">
        <f>G195+$J$185</f>
        <v>2558.6349999999998</v>
      </c>
    </row>
    <row r="196" spans="1:12" x14ac:dyDescent="0.35">
      <c r="A196" s="15" t="s">
        <v>152</v>
      </c>
      <c r="B196" s="31">
        <v>45076</v>
      </c>
      <c r="C196" s="10" t="s">
        <v>12</v>
      </c>
      <c r="D196" s="15">
        <v>51.56</v>
      </c>
      <c r="E196" s="5">
        <v>2569.2199999999998</v>
      </c>
      <c r="F196" s="17" t="s">
        <v>165</v>
      </c>
    </row>
    <row r="197" spans="1:12" x14ac:dyDescent="0.35">
      <c r="A197" s="15" t="s">
        <v>152</v>
      </c>
      <c r="B197" s="31">
        <v>45076</v>
      </c>
      <c r="C197" s="10" t="s">
        <v>12</v>
      </c>
      <c r="D197" s="15">
        <v>51.69</v>
      </c>
      <c r="E197" s="5">
        <v>2565.69</v>
      </c>
      <c r="F197" s="17" t="s">
        <v>166</v>
      </c>
    </row>
    <row r="198" spans="1:12" x14ac:dyDescent="0.35">
      <c r="A198" s="9" t="s">
        <v>11</v>
      </c>
      <c r="B198" s="31">
        <v>45078</v>
      </c>
      <c r="C198" s="10" t="s">
        <v>12</v>
      </c>
      <c r="D198" s="15">
        <v>49.93</v>
      </c>
      <c r="E198" s="5">
        <v>2591.6</v>
      </c>
      <c r="F198" s="17" t="s">
        <v>167</v>
      </c>
      <c r="G198" s="13">
        <f>AVERAGE(E198,E200)</f>
        <v>2592.14</v>
      </c>
      <c r="H198" s="18">
        <f>STDEV(E198,E200)</f>
        <v>0.76367532368141988</v>
      </c>
      <c r="K198" s="5">
        <f>G198+$J$185</f>
        <v>2583.3199999999997</v>
      </c>
    </row>
    <row r="199" spans="1:12" x14ac:dyDescent="0.35">
      <c r="A199" s="9" t="s">
        <v>11</v>
      </c>
      <c r="B199" s="31">
        <v>45078</v>
      </c>
      <c r="C199" s="10" t="s">
        <v>12</v>
      </c>
      <c r="D199" s="5">
        <v>51.28</v>
      </c>
      <c r="E199" s="14">
        <v>2584.85</v>
      </c>
      <c r="F199" s="17" t="s">
        <v>168</v>
      </c>
    </row>
    <row r="200" spans="1:12" x14ac:dyDescent="0.35">
      <c r="A200" s="9" t="s">
        <v>11</v>
      </c>
      <c r="B200" s="31">
        <v>45078</v>
      </c>
      <c r="C200" s="10" t="s">
        <v>12</v>
      </c>
      <c r="D200" s="5">
        <v>49.04</v>
      </c>
      <c r="E200" s="5">
        <v>2592.6799999999998</v>
      </c>
      <c r="F200" s="17" t="s">
        <v>169</v>
      </c>
    </row>
    <row r="201" spans="1:12" x14ac:dyDescent="0.35">
      <c r="A201" s="9" t="s">
        <v>11</v>
      </c>
      <c r="B201" s="31">
        <v>45078</v>
      </c>
      <c r="C201" s="10" t="s">
        <v>12</v>
      </c>
      <c r="D201" s="5">
        <v>51.95</v>
      </c>
      <c r="E201" s="5">
        <v>2607.3000000000002</v>
      </c>
      <c r="F201" s="17" t="s">
        <v>170</v>
      </c>
      <c r="G201" s="13">
        <f>AVERAGE(E201,E203)</f>
        <v>2603.8000000000002</v>
      </c>
      <c r="H201" s="18">
        <f>STDEV(E201,E203)</f>
        <v>4.9497474683058327</v>
      </c>
      <c r="K201" s="5">
        <f>G201+$J$185</f>
        <v>2594.98</v>
      </c>
    </row>
    <row r="202" spans="1:12" x14ac:dyDescent="0.35">
      <c r="A202" s="9" t="s">
        <v>11</v>
      </c>
      <c r="B202" s="31">
        <v>45078</v>
      </c>
      <c r="C202" s="25" t="s">
        <v>12</v>
      </c>
      <c r="D202" s="5">
        <v>49.09</v>
      </c>
      <c r="E202" s="14">
        <v>2591.3200000000002</v>
      </c>
      <c r="F202" s="17" t="s">
        <v>171</v>
      </c>
    </row>
    <row r="203" spans="1:12" x14ac:dyDescent="0.35">
      <c r="A203" s="9" t="s">
        <v>11</v>
      </c>
      <c r="B203" s="31">
        <v>45078</v>
      </c>
      <c r="C203" s="10" t="s">
        <v>12</v>
      </c>
      <c r="D203" s="5">
        <v>50.44</v>
      </c>
      <c r="E203" s="5">
        <v>2600.3000000000002</v>
      </c>
      <c r="F203" s="17" t="s">
        <v>172</v>
      </c>
    </row>
    <row r="204" spans="1:12" x14ac:dyDescent="0.35">
      <c r="A204" s="9" t="s">
        <v>11</v>
      </c>
      <c r="B204" s="31">
        <v>45078</v>
      </c>
      <c r="C204" s="10" t="s">
        <v>12</v>
      </c>
      <c r="D204" s="5" t="s">
        <v>153</v>
      </c>
      <c r="E204" s="5" t="s">
        <v>153</v>
      </c>
      <c r="F204" s="32" t="s">
        <v>173</v>
      </c>
      <c r="G204" s="5" t="s">
        <v>153</v>
      </c>
      <c r="H204" s="5" t="s">
        <v>153</v>
      </c>
      <c r="K204" s="5" t="s">
        <v>153</v>
      </c>
      <c r="L204" s="1" t="s">
        <v>182</v>
      </c>
    </row>
    <row r="205" spans="1:12" x14ac:dyDescent="0.35">
      <c r="A205" s="9" t="s">
        <v>11</v>
      </c>
      <c r="B205" s="31">
        <v>45078</v>
      </c>
      <c r="C205" s="10" t="s">
        <v>12</v>
      </c>
      <c r="D205" s="5" t="s">
        <v>153</v>
      </c>
      <c r="E205" s="5" t="s">
        <v>153</v>
      </c>
      <c r="F205" s="32" t="s">
        <v>174</v>
      </c>
    </row>
    <row r="206" spans="1:12" x14ac:dyDescent="0.35">
      <c r="A206" s="24" t="s">
        <v>11</v>
      </c>
      <c r="B206" s="31">
        <v>45078</v>
      </c>
      <c r="C206" s="10" t="s">
        <v>12</v>
      </c>
      <c r="D206" s="5" t="s">
        <v>153</v>
      </c>
      <c r="E206" s="5" t="s">
        <v>153</v>
      </c>
      <c r="F206" s="32" t="s">
        <v>175</v>
      </c>
    </row>
    <row r="207" spans="1:12" x14ac:dyDescent="0.35">
      <c r="A207" s="24" t="s">
        <v>11</v>
      </c>
      <c r="B207" s="31">
        <v>45078</v>
      </c>
      <c r="C207" s="10" t="s">
        <v>12</v>
      </c>
      <c r="D207" s="5">
        <v>50.3</v>
      </c>
      <c r="E207" s="5">
        <v>2570.9</v>
      </c>
      <c r="F207" s="17" t="s">
        <v>176</v>
      </c>
      <c r="G207" s="13">
        <f>AVERAGE(E207:E208)</f>
        <v>2573.395</v>
      </c>
      <c r="H207" s="18">
        <f>STDEV(E207:E208)</f>
        <v>3.5284628381207179</v>
      </c>
      <c r="K207" s="5">
        <f>G207+$J$185</f>
        <v>2564.5749999999998</v>
      </c>
    </row>
    <row r="208" spans="1:12" x14ac:dyDescent="0.35">
      <c r="A208" s="24" t="s">
        <v>11</v>
      </c>
      <c r="B208" s="31">
        <v>45078</v>
      </c>
      <c r="C208" s="10" t="s">
        <v>12</v>
      </c>
      <c r="D208" s="5">
        <v>51.38</v>
      </c>
      <c r="E208" s="5">
        <v>2575.89</v>
      </c>
      <c r="F208" s="17" t="s">
        <v>177</v>
      </c>
    </row>
    <row r="209" spans="1:12" x14ac:dyDescent="0.35">
      <c r="A209" s="9" t="s">
        <v>11</v>
      </c>
      <c r="B209" s="31">
        <v>45078</v>
      </c>
      <c r="C209" s="25" t="s">
        <v>12</v>
      </c>
      <c r="D209" s="5">
        <v>50.34</v>
      </c>
      <c r="E209" s="14">
        <v>2586.64</v>
      </c>
      <c r="F209" s="17" t="s">
        <v>178</v>
      </c>
      <c r="G209" s="13">
        <f>AVERAGE(E211:E212)</f>
        <v>2561.395</v>
      </c>
      <c r="H209" s="18">
        <f>STDEV(E211:E212)</f>
        <v>0.26162950903894538</v>
      </c>
      <c r="K209" s="5">
        <f>G209+$J$185</f>
        <v>2552.5749999999998</v>
      </c>
    </row>
    <row r="210" spans="1:12" x14ac:dyDescent="0.35">
      <c r="A210" s="9" t="s">
        <v>11</v>
      </c>
      <c r="B210" s="31">
        <v>45078</v>
      </c>
      <c r="C210" s="10" t="s">
        <v>12</v>
      </c>
      <c r="D210" s="5">
        <v>50.32</v>
      </c>
      <c r="E210" s="14">
        <v>2576.13</v>
      </c>
      <c r="F210" s="17" t="s">
        <v>179</v>
      </c>
    </row>
    <row r="211" spans="1:12" x14ac:dyDescent="0.35">
      <c r="A211" s="9" t="s">
        <v>11</v>
      </c>
      <c r="B211" s="31">
        <v>45078</v>
      </c>
      <c r="C211" s="10" t="s">
        <v>12</v>
      </c>
      <c r="D211" s="5">
        <v>49.38</v>
      </c>
      <c r="E211" s="5">
        <v>2561.21</v>
      </c>
      <c r="F211" s="17" t="s">
        <v>180</v>
      </c>
    </row>
    <row r="212" spans="1:12" x14ac:dyDescent="0.35">
      <c r="A212" s="9" t="s">
        <v>11</v>
      </c>
      <c r="B212" s="31">
        <v>45078</v>
      </c>
      <c r="C212" s="10" t="s">
        <v>12</v>
      </c>
      <c r="D212" s="5">
        <v>49.46</v>
      </c>
      <c r="E212" s="5">
        <v>2561.58</v>
      </c>
      <c r="F212" s="17" t="s">
        <v>183</v>
      </c>
      <c r="J212" s="5"/>
    </row>
    <row r="213" spans="1:12" x14ac:dyDescent="0.35">
      <c r="A213" s="9"/>
      <c r="B213" s="15"/>
    </row>
    <row r="214" spans="1:12" x14ac:dyDescent="0.35">
      <c r="A214" s="9" t="s">
        <v>11</v>
      </c>
      <c r="B214" s="31">
        <v>45079</v>
      </c>
      <c r="C214" s="10" t="s">
        <v>12</v>
      </c>
      <c r="D214" s="5">
        <v>50.53</v>
      </c>
      <c r="E214" s="14">
        <v>2247.13</v>
      </c>
      <c r="F214" s="16" t="s">
        <v>8</v>
      </c>
      <c r="G214" s="13">
        <f>AVERAGE(E215:E216)</f>
        <v>2237.33</v>
      </c>
      <c r="H214" s="18">
        <f>STDEV(E215:E216)</f>
        <v>1.7677669529663689</v>
      </c>
      <c r="I214" s="3">
        <v>2226.44</v>
      </c>
      <c r="J214" s="4">
        <f>I214-G214</f>
        <v>-10.889999999999873</v>
      </c>
      <c r="K214" s="5">
        <f>G214+J214</f>
        <v>2226.44</v>
      </c>
      <c r="L214" s="2" t="s">
        <v>94</v>
      </c>
    </row>
    <row r="215" spans="1:12" x14ac:dyDescent="0.35">
      <c r="A215" s="9" t="s">
        <v>11</v>
      </c>
      <c r="B215" s="31">
        <v>45079</v>
      </c>
      <c r="C215" s="10" t="s">
        <v>12</v>
      </c>
      <c r="D215" s="5">
        <v>49.82</v>
      </c>
      <c r="E215" s="5">
        <v>2236.08</v>
      </c>
      <c r="F215" s="16" t="s">
        <v>9</v>
      </c>
    </row>
    <row r="216" spans="1:12" x14ac:dyDescent="0.35">
      <c r="A216" s="9" t="s">
        <v>11</v>
      </c>
      <c r="B216" s="31">
        <v>45079</v>
      </c>
      <c r="C216" s="10" t="s">
        <v>12</v>
      </c>
      <c r="D216" s="5">
        <v>50.01</v>
      </c>
      <c r="E216" s="5">
        <v>2238.58</v>
      </c>
      <c r="F216" s="17" t="s">
        <v>96</v>
      </c>
    </row>
    <row r="217" spans="1:12" x14ac:dyDescent="0.35">
      <c r="A217" s="9" t="s">
        <v>11</v>
      </c>
      <c r="B217" s="31">
        <v>45079</v>
      </c>
      <c r="C217" s="10" t="s">
        <v>12</v>
      </c>
      <c r="D217" s="5" t="s">
        <v>153</v>
      </c>
      <c r="E217" s="5" t="s">
        <v>153</v>
      </c>
      <c r="F217" s="17" t="s">
        <v>232</v>
      </c>
      <c r="G217" s="5" t="s">
        <v>153</v>
      </c>
      <c r="H217" s="5" t="s">
        <v>153</v>
      </c>
      <c r="K217" s="5" t="s">
        <v>153</v>
      </c>
      <c r="L217" s="1" t="s">
        <v>229</v>
      </c>
    </row>
    <row r="218" spans="1:12" x14ac:dyDescent="0.35">
      <c r="A218" s="9" t="s">
        <v>11</v>
      </c>
      <c r="B218" s="31">
        <v>45079</v>
      </c>
      <c r="C218" s="10" t="s">
        <v>12</v>
      </c>
      <c r="D218" s="5" t="s">
        <v>153</v>
      </c>
      <c r="E218" s="5" t="s">
        <v>153</v>
      </c>
      <c r="F218" s="17" t="s">
        <v>231</v>
      </c>
      <c r="G218" s="1"/>
      <c r="H218" s="1"/>
      <c r="I218" s="1"/>
      <c r="J218" s="1"/>
      <c r="K218" s="1"/>
    </row>
    <row r="219" spans="1:12" x14ac:dyDescent="0.35">
      <c r="A219" s="9" t="s">
        <v>11</v>
      </c>
      <c r="B219" s="31">
        <v>45079</v>
      </c>
      <c r="C219" s="10" t="s">
        <v>12</v>
      </c>
      <c r="D219" s="5" t="s">
        <v>153</v>
      </c>
      <c r="E219" s="5" t="s">
        <v>153</v>
      </c>
      <c r="F219" s="17" t="s">
        <v>230</v>
      </c>
      <c r="G219" s="1"/>
      <c r="H219" s="1"/>
      <c r="I219" s="1"/>
      <c r="J219" s="1"/>
      <c r="K219" s="1"/>
    </row>
    <row r="220" spans="1:12" x14ac:dyDescent="0.35">
      <c r="A220" s="9" t="s">
        <v>11</v>
      </c>
      <c r="B220" s="31">
        <v>45079</v>
      </c>
      <c r="C220" s="10" t="s">
        <v>12</v>
      </c>
      <c r="D220" s="5">
        <v>50.4</v>
      </c>
      <c r="E220" s="5">
        <v>2568.9899999999998</v>
      </c>
      <c r="F220" s="17" t="s">
        <v>184</v>
      </c>
      <c r="G220" s="13">
        <f>AVERAGE(E220:E221)</f>
        <v>2569.0649999999996</v>
      </c>
      <c r="H220" s="18">
        <f>STDEV(E220:E221)</f>
        <v>0.10606601717804644</v>
      </c>
      <c r="K220" s="5">
        <f>G220+$J$214</f>
        <v>2558.1749999999997</v>
      </c>
    </row>
    <row r="221" spans="1:12" x14ac:dyDescent="0.35">
      <c r="A221" s="9" t="s">
        <v>11</v>
      </c>
      <c r="B221" s="31">
        <v>45079</v>
      </c>
      <c r="C221" s="10" t="s">
        <v>12</v>
      </c>
      <c r="D221" s="5">
        <v>50.8</v>
      </c>
      <c r="E221" s="5">
        <v>2569.14</v>
      </c>
      <c r="F221" s="17" t="s">
        <v>185</v>
      </c>
    </row>
    <row r="222" spans="1:12" x14ac:dyDescent="0.35">
      <c r="A222" s="9" t="s">
        <v>11</v>
      </c>
      <c r="B222" s="31">
        <v>45079</v>
      </c>
      <c r="C222" s="10" t="s">
        <v>12</v>
      </c>
      <c r="D222" s="5">
        <v>48.18</v>
      </c>
      <c r="E222" s="5">
        <v>2573.29</v>
      </c>
      <c r="F222" s="17" t="s">
        <v>186</v>
      </c>
      <c r="G222" s="13">
        <f>AVERAGE(E223:E224)</f>
        <v>2568.3900000000003</v>
      </c>
      <c r="H222" s="18">
        <f>STDEV(E222,E224)</f>
        <v>0.77781745930513801</v>
      </c>
      <c r="K222" s="5">
        <f>G222+$J$214</f>
        <v>2557.5000000000005</v>
      </c>
    </row>
    <row r="223" spans="1:12" x14ac:dyDescent="0.35">
      <c r="A223" s="9" t="s">
        <v>11</v>
      </c>
      <c r="B223" s="31">
        <v>45079</v>
      </c>
      <c r="C223" s="10" t="s">
        <v>12</v>
      </c>
      <c r="D223" s="5">
        <v>50.08</v>
      </c>
      <c r="E223" s="14">
        <v>2564.59</v>
      </c>
      <c r="F223" s="17" t="s">
        <v>187</v>
      </c>
    </row>
    <row r="224" spans="1:12" x14ac:dyDescent="0.35">
      <c r="A224" s="9" t="s">
        <v>11</v>
      </c>
      <c r="B224" s="31">
        <v>45079</v>
      </c>
      <c r="C224" s="10" t="s">
        <v>12</v>
      </c>
      <c r="D224" s="5">
        <v>50.64</v>
      </c>
      <c r="E224" s="5">
        <v>2572.19</v>
      </c>
      <c r="F224" s="17" t="s">
        <v>188</v>
      </c>
    </row>
    <row r="225" spans="1:11" x14ac:dyDescent="0.35">
      <c r="A225" s="9" t="s">
        <v>11</v>
      </c>
      <c r="B225" s="31">
        <v>45079</v>
      </c>
      <c r="C225" s="10" t="s">
        <v>12</v>
      </c>
      <c r="D225" s="5">
        <v>51.27</v>
      </c>
      <c r="E225" s="5">
        <v>2569.29</v>
      </c>
      <c r="F225" s="17" t="s">
        <v>189</v>
      </c>
      <c r="G225" s="13">
        <f>AVERAGE(E225:E226)</f>
        <v>2570.1350000000002</v>
      </c>
      <c r="H225" s="18">
        <f>STDEV(E225:E226)</f>
        <v>1.195010460205304</v>
      </c>
      <c r="K225" s="5">
        <f>G225+$J$214</f>
        <v>2559.2450000000003</v>
      </c>
    </row>
    <row r="226" spans="1:11" x14ac:dyDescent="0.35">
      <c r="A226" s="9" t="s">
        <v>11</v>
      </c>
      <c r="B226" s="31">
        <v>45079</v>
      </c>
      <c r="C226" s="10" t="s">
        <v>12</v>
      </c>
      <c r="D226" s="5">
        <v>49.89</v>
      </c>
      <c r="E226" s="5">
        <v>2570.98</v>
      </c>
      <c r="F226" s="17" t="s">
        <v>190</v>
      </c>
    </row>
    <row r="227" spans="1:11" x14ac:dyDescent="0.35">
      <c r="A227" s="9" t="s">
        <v>11</v>
      </c>
      <c r="B227" s="31">
        <v>45079</v>
      </c>
      <c r="C227" s="10" t="s">
        <v>12</v>
      </c>
      <c r="D227" s="5">
        <v>50.77</v>
      </c>
      <c r="E227" s="14">
        <v>2578.58</v>
      </c>
      <c r="F227" s="17" t="s">
        <v>191</v>
      </c>
      <c r="G227" s="13">
        <f>AVERAGE(E228:E229)</f>
        <v>2563.94</v>
      </c>
      <c r="H227" s="18">
        <f>STDEV(E228:E229)</f>
        <v>2.0081832585698978</v>
      </c>
      <c r="K227" s="5">
        <f>G227+$J$214</f>
        <v>2553.0500000000002</v>
      </c>
    </row>
    <row r="228" spans="1:11" x14ac:dyDescent="0.35">
      <c r="A228" s="9" t="s">
        <v>11</v>
      </c>
      <c r="B228" s="31">
        <v>45079</v>
      </c>
      <c r="C228" s="10" t="s">
        <v>12</v>
      </c>
      <c r="D228" s="5">
        <v>51.5</v>
      </c>
      <c r="E228" s="5">
        <v>2562.52</v>
      </c>
      <c r="F228" s="17" t="s">
        <v>192</v>
      </c>
    </row>
    <row r="229" spans="1:11" x14ac:dyDescent="0.35">
      <c r="A229" s="9" t="s">
        <v>11</v>
      </c>
      <c r="B229" s="31">
        <v>45079</v>
      </c>
      <c r="C229" s="10" t="s">
        <v>12</v>
      </c>
      <c r="D229" s="5">
        <v>50.94</v>
      </c>
      <c r="E229" s="5">
        <v>2565.36</v>
      </c>
      <c r="F229" s="17" t="s">
        <v>193</v>
      </c>
    </row>
    <row r="230" spans="1:11" x14ac:dyDescent="0.35">
      <c r="A230" s="9" t="s">
        <v>11</v>
      </c>
      <c r="B230" s="31">
        <v>45079</v>
      </c>
      <c r="C230" s="10" t="s">
        <v>12</v>
      </c>
      <c r="D230" s="5">
        <v>49.65</v>
      </c>
      <c r="E230" s="5">
        <v>2587.7399999999998</v>
      </c>
      <c r="F230" s="32" t="s">
        <v>194</v>
      </c>
      <c r="G230" s="13">
        <f>AVERAGE(E230,E232)</f>
        <v>2586.5</v>
      </c>
      <c r="H230" s="18">
        <f>STDEV(E230,E232)</f>
        <v>1.7536248173423292</v>
      </c>
      <c r="K230" s="5">
        <f>G230+$J$214</f>
        <v>2575.61</v>
      </c>
    </row>
    <row r="231" spans="1:11" x14ac:dyDescent="0.35">
      <c r="A231" s="9" t="s">
        <v>11</v>
      </c>
      <c r="B231" s="31">
        <v>45079</v>
      </c>
      <c r="C231" s="10" t="s">
        <v>12</v>
      </c>
      <c r="D231" s="5">
        <v>49.82</v>
      </c>
      <c r="E231" s="14">
        <v>2575.98</v>
      </c>
      <c r="F231" s="32" t="s">
        <v>195</v>
      </c>
    </row>
    <row r="232" spans="1:11" x14ac:dyDescent="0.35">
      <c r="A232" s="9" t="s">
        <v>11</v>
      </c>
      <c r="B232" s="31">
        <v>45079</v>
      </c>
      <c r="C232" s="10" t="s">
        <v>12</v>
      </c>
      <c r="D232" s="5">
        <v>49.37</v>
      </c>
      <c r="E232" s="5">
        <v>2585.2600000000002</v>
      </c>
      <c r="F232" s="32" t="s">
        <v>196</v>
      </c>
    </row>
    <row r="233" spans="1:11" x14ac:dyDescent="0.35">
      <c r="A233" s="9" t="s">
        <v>11</v>
      </c>
      <c r="B233" s="31">
        <v>45079</v>
      </c>
      <c r="C233" s="10" t="s">
        <v>12</v>
      </c>
      <c r="D233" s="5">
        <v>50.38</v>
      </c>
      <c r="E233" s="5">
        <v>2571.42</v>
      </c>
      <c r="F233" s="17" t="s">
        <v>197</v>
      </c>
      <c r="G233" s="13">
        <f>AVERAGE(E233:E234)</f>
        <v>2572.7600000000002</v>
      </c>
      <c r="H233" s="18">
        <f>STDEV(E233:E234)</f>
        <v>1.8950461735798316</v>
      </c>
      <c r="K233" s="5">
        <f>G233+$J$214</f>
        <v>2561.8700000000003</v>
      </c>
    </row>
    <row r="234" spans="1:11" x14ac:dyDescent="0.35">
      <c r="A234" s="9" t="s">
        <v>11</v>
      </c>
      <c r="B234" s="31">
        <v>45079</v>
      </c>
      <c r="C234" s="10" t="s">
        <v>12</v>
      </c>
      <c r="D234" s="5">
        <v>48.94</v>
      </c>
      <c r="E234" s="5">
        <v>2574.1</v>
      </c>
      <c r="F234" s="17" t="s">
        <v>198</v>
      </c>
    </row>
    <row r="236" spans="1:11" x14ac:dyDescent="0.35">
      <c r="A236" s="9" t="s">
        <v>11</v>
      </c>
      <c r="B236" s="31">
        <v>45079</v>
      </c>
      <c r="C236" s="10" t="s">
        <v>12</v>
      </c>
      <c r="D236" s="5">
        <v>51.96</v>
      </c>
      <c r="E236" s="14">
        <v>2589.33</v>
      </c>
      <c r="F236" s="17" t="s">
        <v>199</v>
      </c>
      <c r="G236" s="13">
        <f>AVERAGE(E237:E238)</f>
        <v>2607.5250000000001</v>
      </c>
      <c r="H236" s="18">
        <f>STDEV(E237:E238)</f>
        <v>4.9143921292463766</v>
      </c>
      <c r="K236" s="5">
        <f>G236+$J$214</f>
        <v>2596.6350000000002</v>
      </c>
    </row>
    <row r="237" spans="1:11" x14ac:dyDescent="0.35">
      <c r="A237" s="9" t="s">
        <v>11</v>
      </c>
      <c r="B237" s="31">
        <v>45079</v>
      </c>
      <c r="C237" s="10" t="s">
        <v>12</v>
      </c>
      <c r="D237" s="5">
        <v>51.12</v>
      </c>
      <c r="E237" s="5">
        <v>2604.0500000000002</v>
      </c>
      <c r="F237" s="17" t="s">
        <v>200</v>
      </c>
    </row>
    <row r="238" spans="1:11" x14ac:dyDescent="0.35">
      <c r="A238" s="9" t="s">
        <v>11</v>
      </c>
      <c r="B238" s="31">
        <v>45079</v>
      </c>
      <c r="C238" s="10" t="s">
        <v>12</v>
      </c>
      <c r="D238" s="5">
        <v>50.19</v>
      </c>
      <c r="E238" s="5">
        <v>2611</v>
      </c>
      <c r="F238" s="17" t="s">
        <v>201</v>
      </c>
    </row>
    <row r="239" spans="1:11" x14ac:dyDescent="0.35">
      <c r="A239" s="9" t="s">
        <v>11</v>
      </c>
      <c r="B239" s="31">
        <v>45079</v>
      </c>
      <c r="C239" s="10" t="s">
        <v>12</v>
      </c>
      <c r="D239" s="5">
        <v>50.01</v>
      </c>
      <c r="E239" s="22">
        <v>2587.63</v>
      </c>
      <c r="F239" s="17" t="s">
        <v>202</v>
      </c>
      <c r="G239" s="13">
        <f>AVERAGE(E239:E240)</f>
        <v>2585.4450000000002</v>
      </c>
      <c r="H239" s="18">
        <f>STDEV(E239:E240)</f>
        <v>3.0900566337851356</v>
      </c>
      <c r="K239" s="5">
        <f>G239+$J$214</f>
        <v>2574.5550000000003</v>
      </c>
    </row>
    <row r="240" spans="1:11" x14ac:dyDescent="0.35">
      <c r="A240" s="9" t="s">
        <v>11</v>
      </c>
      <c r="B240" s="31">
        <v>45079</v>
      </c>
      <c r="C240" s="10" t="s">
        <v>12</v>
      </c>
      <c r="D240" s="5">
        <v>50.78</v>
      </c>
      <c r="E240" s="5">
        <v>2583.2600000000002</v>
      </c>
      <c r="F240" s="17" t="s">
        <v>203</v>
      </c>
    </row>
    <row r="241" spans="1:12" x14ac:dyDescent="0.35">
      <c r="A241" s="9" t="s">
        <v>11</v>
      </c>
      <c r="B241" s="31">
        <v>45079</v>
      </c>
      <c r="C241" s="10" t="s">
        <v>12</v>
      </c>
      <c r="D241" s="5">
        <v>48.04</v>
      </c>
      <c r="E241" s="14">
        <v>3171.62</v>
      </c>
      <c r="F241" s="17" t="s">
        <v>204</v>
      </c>
      <c r="G241" s="13">
        <f>AVERAGE(E242,E244)</f>
        <v>2583.4250000000002</v>
      </c>
      <c r="H241" s="18">
        <f>STDEV(E240,E242)</f>
        <v>0.16263455967259724</v>
      </c>
      <c r="K241" s="5">
        <f>G241+$J$214</f>
        <v>2572.5350000000003</v>
      </c>
    </row>
    <row r="242" spans="1:12" x14ac:dyDescent="0.35">
      <c r="A242" s="9" t="s">
        <v>11</v>
      </c>
      <c r="B242" s="31">
        <v>45079</v>
      </c>
      <c r="C242" s="10" t="s">
        <v>12</v>
      </c>
      <c r="D242" s="5">
        <v>50.59</v>
      </c>
      <c r="E242" s="5">
        <v>2583.4899999999998</v>
      </c>
      <c r="F242" s="17" t="s">
        <v>205</v>
      </c>
    </row>
    <row r="243" spans="1:12" x14ac:dyDescent="0.35">
      <c r="A243" s="9" t="s">
        <v>11</v>
      </c>
      <c r="B243" s="31">
        <v>45079</v>
      </c>
      <c r="C243" s="10" t="s">
        <v>12</v>
      </c>
      <c r="D243" s="5">
        <v>50.55</v>
      </c>
      <c r="E243" s="14">
        <v>2598.48</v>
      </c>
      <c r="F243" s="17" t="s">
        <v>206</v>
      </c>
    </row>
    <row r="244" spans="1:12" x14ac:dyDescent="0.35">
      <c r="A244" s="9" t="s">
        <v>11</v>
      </c>
      <c r="B244" s="31">
        <v>45079</v>
      </c>
      <c r="C244" s="10" t="s">
        <v>12</v>
      </c>
      <c r="D244" s="5">
        <v>49.51</v>
      </c>
      <c r="E244" s="5">
        <v>2583.36</v>
      </c>
      <c r="F244" s="17" t="s">
        <v>214</v>
      </c>
    </row>
    <row r="245" spans="1:12" x14ac:dyDescent="0.35">
      <c r="A245" s="9" t="s">
        <v>11</v>
      </c>
      <c r="B245" s="31">
        <v>45079</v>
      </c>
      <c r="C245" s="10" t="s">
        <v>12</v>
      </c>
      <c r="D245" s="5">
        <v>50.07</v>
      </c>
      <c r="E245" s="5">
        <v>2576</v>
      </c>
      <c r="F245" s="17" t="s">
        <v>207</v>
      </c>
      <c r="G245" s="13">
        <f>AVERAGE(E245:E246)</f>
        <v>2578.415</v>
      </c>
      <c r="H245" s="18">
        <f>STDEV(E245:E246)</f>
        <v>3.4153257531309733</v>
      </c>
      <c r="K245" s="5">
        <f>G245+$J$214</f>
        <v>2567.5250000000001</v>
      </c>
    </row>
    <row r="246" spans="1:12" x14ac:dyDescent="0.35">
      <c r="A246" s="9" t="s">
        <v>11</v>
      </c>
      <c r="B246" s="31">
        <v>45079</v>
      </c>
      <c r="C246" s="10" t="s">
        <v>12</v>
      </c>
      <c r="D246" s="5">
        <v>48.8</v>
      </c>
      <c r="E246" s="5">
        <v>2580.83</v>
      </c>
      <c r="F246" s="17" t="s">
        <v>208</v>
      </c>
    </row>
    <row r="247" spans="1:12" x14ac:dyDescent="0.35">
      <c r="A247" s="9" t="s">
        <v>11</v>
      </c>
      <c r="B247" s="31">
        <v>45079</v>
      </c>
      <c r="C247" s="10" t="s">
        <v>12</v>
      </c>
      <c r="D247" s="5" t="s">
        <v>153</v>
      </c>
      <c r="E247" s="5" t="s">
        <v>153</v>
      </c>
      <c r="F247" s="17" t="s">
        <v>226</v>
      </c>
      <c r="G247" s="5" t="s">
        <v>153</v>
      </c>
      <c r="H247" s="5" t="s">
        <v>153</v>
      </c>
      <c r="K247" s="5" t="s">
        <v>153</v>
      </c>
      <c r="L247" s="1" t="s">
        <v>229</v>
      </c>
    </row>
    <row r="248" spans="1:12" x14ac:dyDescent="0.35">
      <c r="A248" s="9" t="s">
        <v>11</v>
      </c>
      <c r="B248" s="31">
        <v>45079</v>
      </c>
      <c r="C248" s="10" t="s">
        <v>12</v>
      </c>
      <c r="D248" s="5" t="s">
        <v>153</v>
      </c>
      <c r="E248" s="5" t="s">
        <v>153</v>
      </c>
      <c r="F248" s="17" t="s">
        <v>227</v>
      </c>
      <c r="G248" s="1"/>
      <c r="H248" s="1"/>
      <c r="I248" s="1"/>
      <c r="J248" s="1"/>
      <c r="K248" s="1"/>
    </row>
    <row r="249" spans="1:12" x14ac:dyDescent="0.35">
      <c r="A249" s="9" t="s">
        <v>11</v>
      </c>
      <c r="B249" s="31">
        <v>45079</v>
      </c>
      <c r="C249" s="10" t="s">
        <v>12</v>
      </c>
      <c r="D249" s="5" t="s">
        <v>153</v>
      </c>
      <c r="E249" s="5" t="s">
        <v>153</v>
      </c>
      <c r="F249" s="17" t="s">
        <v>228</v>
      </c>
      <c r="G249" s="1"/>
      <c r="H249" s="1"/>
      <c r="I249" s="1"/>
      <c r="J249" s="1"/>
      <c r="K249" s="1"/>
    </row>
    <row r="250" spans="1:12" x14ac:dyDescent="0.35">
      <c r="A250" s="9" t="s">
        <v>11</v>
      </c>
      <c r="B250" s="31">
        <v>45079</v>
      </c>
      <c r="C250" s="10" t="s">
        <v>12</v>
      </c>
      <c r="D250" s="5">
        <v>51.69</v>
      </c>
      <c r="E250" s="5">
        <v>2593.9299999999998</v>
      </c>
      <c r="F250" s="32" t="s">
        <v>209</v>
      </c>
      <c r="G250" s="13">
        <f>AVERAGE(E250:E251)</f>
        <v>2591.4899999999998</v>
      </c>
      <c r="H250" s="18">
        <f>STDEV(E250:E251)</f>
        <v>3.4506810921901074</v>
      </c>
      <c r="K250" s="5">
        <f>G250+$J$214</f>
        <v>2580.6</v>
      </c>
    </row>
    <row r="251" spans="1:12" x14ac:dyDescent="0.35">
      <c r="A251" s="9" t="s">
        <v>11</v>
      </c>
      <c r="B251" s="31">
        <v>45079</v>
      </c>
      <c r="C251" s="10" t="s">
        <v>12</v>
      </c>
      <c r="D251" s="5">
        <v>51.1</v>
      </c>
      <c r="E251" s="5">
        <v>2589.0500000000002</v>
      </c>
      <c r="F251" s="32" t="s">
        <v>210</v>
      </c>
    </row>
    <row r="252" spans="1:12" x14ac:dyDescent="0.35">
      <c r="A252" s="9" t="s">
        <v>11</v>
      </c>
      <c r="B252" s="31">
        <v>45079</v>
      </c>
      <c r="C252" s="10" t="s">
        <v>12</v>
      </c>
      <c r="D252" s="5" t="s">
        <v>153</v>
      </c>
      <c r="E252" s="5" t="s">
        <v>153</v>
      </c>
      <c r="F252" s="17" t="s">
        <v>211</v>
      </c>
      <c r="G252" s="5" t="s">
        <v>153</v>
      </c>
      <c r="H252" s="5" t="s">
        <v>153</v>
      </c>
      <c r="K252" s="5" t="s">
        <v>153</v>
      </c>
      <c r="L252" s="1" t="s">
        <v>182</v>
      </c>
    </row>
    <row r="253" spans="1:12" x14ac:dyDescent="0.35">
      <c r="A253" s="9" t="s">
        <v>11</v>
      </c>
      <c r="B253" s="31">
        <v>45079</v>
      </c>
      <c r="C253" s="10" t="s">
        <v>12</v>
      </c>
      <c r="D253" s="5" t="s">
        <v>153</v>
      </c>
      <c r="E253" s="5" t="s">
        <v>153</v>
      </c>
      <c r="F253" s="17" t="s">
        <v>212</v>
      </c>
    </row>
    <row r="254" spans="1:12" x14ac:dyDescent="0.35">
      <c r="A254" s="9" t="s">
        <v>11</v>
      </c>
      <c r="B254" s="31">
        <v>45079</v>
      </c>
      <c r="C254" s="10" t="s">
        <v>12</v>
      </c>
      <c r="D254" s="5" t="s">
        <v>153</v>
      </c>
      <c r="E254" s="5" t="s">
        <v>153</v>
      </c>
      <c r="F254" s="17" t="s">
        <v>213</v>
      </c>
    </row>
    <row r="255" spans="1:12" x14ac:dyDescent="0.35">
      <c r="E255" s="14"/>
      <c r="F255" s="1"/>
    </row>
    <row r="256" spans="1:12" x14ac:dyDescent="0.35">
      <c r="A256" s="9" t="s">
        <v>11</v>
      </c>
      <c r="B256" s="31">
        <v>45080</v>
      </c>
      <c r="C256" s="25" t="s">
        <v>12</v>
      </c>
      <c r="D256" s="5">
        <v>49.53</v>
      </c>
      <c r="E256" s="5">
        <v>2239.6799999999998</v>
      </c>
      <c r="F256" s="16" t="s">
        <v>8</v>
      </c>
      <c r="G256" s="13">
        <f>AVERAGE(E256,E258)</f>
        <v>2236.9849999999997</v>
      </c>
      <c r="H256" s="18">
        <f>STDEV(E256,E258)</f>
        <v>3.8113055505954012</v>
      </c>
      <c r="I256" s="3">
        <v>2226.44</v>
      </c>
      <c r="J256" s="4">
        <f>I256-G256</f>
        <v>-10.544999999999618</v>
      </c>
      <c r="K256" s="5">
        <f>G256+J256</f>
        <v>2226.44</v>
      </c>
      <c r="L256" s="2" t="s">
        <v>94</v>
      </c>
    </row>
    <row r="257" spans="1:11" x14ac:dyDescent="0.35">
      <c r="A257" s="9" t="s">
        <v>11</v>
      </c>
      <c r="B257" s="31">
        <v>45080</v>
      </c>
      <c r="C257" s="10" t="s">
        <v>12</v>
      </c>
      <c r="D257" s="5">
        <v>49.91</v>
      </c>
      <c r="E257" s="14">
        <v>2246.6</v>
      </c>
      <c r="F257" s="16" t="s">
        <v>9</v>
      </c>
    </row>
    <row r="258" spans="1:11" x14ac:dyDescent="0.35">
      <c r="A258" s="9" t="s">
        <v>11</v>
      </c>
      <c r="B258" s="31">
        <v>45080</v>
      </c>
      <c r="C258" s="10" t="s">
        <v>12</v>
      </c>
      <c r="D258" s="5">
        <v>50.71</v>
      </c>
      <c r="E258" s="5">
        <v>2234.29</v>
      </c>
      <c r="F258" s="17" t="s">
        <v>96</v>
      </c>
    </row>
    <row r="259" spans="1:11" x14ac:dyDescent="0.35">
      <c r="A259" s="9" t="s">
        <v>11</v>
      </c>
      <c r="B259" s="31">
        <v>45079</v>
      </c>
      <c r="C259" s="10" t="s">
        <v>12</v>
      </c>
      <c r="D259" s="5">
        <v>49.18</v>
      </c>
      <c r="E259" s="5">
        <v>2690.49</v>
      </c>
      <c r="F259" s="32" t="s">
        <v>215</v>
      </c>
      <c r="G259" s="13">
        <f>AVERAGE(E259:E260)</f>
        <v>2690.89</v>
      </c>
      <c r="H259" s="18">
        <f>STDEV(E259:E260)</f>
        <v>0.56568542494936658</v>
      </c>
      <c r="K259" s="5">
        <f>G259+$J$214</f>
        <v>2680</v>
      </c>
    </row>
    <row r="260" spans="1:11" x14ac:dyDescent="0.35">
      <c r="A260" s="9" t="s">
        <v>11</v>
      </c>
      <c r="B260" s="31">
        <v>45079</v>
      </c>
      <c r="C260" s="10" t="s">
        <v>12</v>
      </c>
      <c r="D260" s="5">
        <v>51.14</v>
      </c>
      <c r="E260" s="5">
        <v>2691.29</v>
      </c>
      <c r="F260" s="32" t="s">
        <v>216</v>
      </c>
    </row>
    <row r="261" spans="1:11" x14ac:dyDescent="0.35">
      <c r="A261" s="9" t="s">
        <v>11</v>
      </c>
      <c r="B261" s="31">
        <v>45079</v>
      </c>
      <c r="C261" s="10" t="s">
        <v>12</v>
      </c>
      <c r="D261" s="5">
        <v>50.77</v>
      </c>
      <c r="E261" s="14">
        <v>2851.54</v>
      </c>
      <c r="F261" s="32" t="s">
        <v>217</v>
      </c>
      <c r="G261" s="13">
        <f>AVERAGE(E262:E263)</f>
        <v>2834.8150000000001</v>
      </c>
      <c r="H261" s="18">
        <f>STDEV(E262:E263)</f>
        <v>4.3345645686736134</v>
      </c>
      <c r="K261" s="5">
        <f>G261+$J$214</f>
        <v>2823.9250000000002</v>
      </c>
    </row>
    <row r="262" spans="1:11" x14ac:dyDescent="0.35">
      <c r="A262" s="9" t="s">
        <v>11</v>
      </c>
      <c r="B262" s="31">
        <v>45079</v>
      </c>
      <c r="C262" s="10" t="s">
        <v>12</v>
      </c>
      <c r="D262" s="5">
        <v>49.14</v>
      </c>
      <c r="E262" s="5">
        <v>2837.88</v>
      </c>
      <c r="F262" s="32" t="s">
        <v>218</v>
      </c>
    </row>
    <row r="263" spans="1:11" x14ac:dyDescent="0.35">
      <c r="A263" s="9" t="s">
        <v>11</v>
      </c>
      <c r="B263" s="31">
        <v>45079</v>
      </c>
      <c r="C263" s="10" t="s">
        <v>12</v>
      </c>
      <c r="D263" s="5">
        <v>49.79</v>
      </c>
      <c r="E263" s="5">
        <v>2831.75</v>
      </c>
      <c r="F263" s="32" t="s">
        <v>219</v>
      </c>
    </row>
    <row r="264" spans="1:11" x14ac:dyDescent="0.35">
      <c r="A264" s="9" t="s">
        <v>11</v>
      </c>
      <c r="B264" s="31">
        <v>45080</v>
      </c>
      <c r="C264" s="10" t="s">
        <v>12</v>
      </c>
      <c r="D264" s="5">
        <v>50.99</v>
      </c>
      <c r="E264" s="14">
        <v>2690.59</v>
      </c>
      <c r="F264" s="32" t="s">
        <v>220</v>
      </c>
      <c r="G264" s="13">
        <f>AVERAGE(E265:E266)</f>
        <v>2704.4399999999996</v>
      </c>
      <c r="H264" s="18">
        <f>STDEV(E265:E266)</f>
        <v>2.842569260369908</v>
      </c>
      <c r="K264" s="5">
        <f>G264+$J$256</f>
        <v>2693.895</v>
      </c>
    </row>
    <row r="265" spans="1:11" x14ac:dyDescent="0.35">
      <c r="A265" s="9" t="s">
        <v>11</v>
      </c>
      <c r="B265" s="31">
        <v>45080</v>
      </c>
      <c r="C265" s="10" t="s">
        <v>12</v>
      </c>
      <c r="D265" s="5">
        <v>51.23</v>
      </c>
      <c r="E265" s="5">
        <v>2702.43</v>
      </c>
      <c r="F265" s="32" t="s">
        <v>221</v>
      </c>
    </row>
    <row r="266" spans="1:11" x14ac:dyDescent="0.35">
      <c r="A266" s="9" t="s">
        <v>11</v>
      </c>
      <c r="B266" s="31">
        <v>45080</v>
      </c>
      <c r="C266" s="10" t="s">
        <v>12</v>
      </c>
      <c r="D266" s="5">
        <v>49.15</v>
      </c>
      <c r="E266" s="5">
        <v>2706.45</v>
      </c>
      <c r="F266" s="32" t="s">
        <v>222</v>
      </c>
    </row>
    <row r="267" spans="1:11" x14ac:dyDescent="0.35">
      <c r="A267" s="9" t="s">
        <v>11</v>
      </c>
      <c r="B267" s="31">
        <v>45080</v>
      </c>
      <c r="C267" s="10" t="s">
        <v>12</v>
      </c>
      <c r="D267" s="5">
        <v>49.81</v>
      </c>
      <c r="E267" s="5">
        <v>2605.6</v>
      </c>
      <c r="F267" s="32" t="s">
        <v>223</v>
      </c>
      <c r="G267" s="13">
        <f>AVERAGE(E267,E269)</f>
        <v>2603.0149999999999</v>
      </c>
      <c r="H267" s="18">
        <f>STDEV(E267,E269)</f>
        <v>3.6557420587345022</v>
      </c>
      <c r="K267" s="5">
        <f>G267+$J$256</f>
        <v>2592.4700000000003</v>
      </c>
    </row>
    <row r="268" spans="1:11" x14ac:dyDescent="0.35">
      <c r="A268" s="9" t="s">
        <v>11</v>
      </c>
      <c r="B268" s="31">
        <v>45080</v>
      </c>
      <c r="C268" s="10" t="s">
        <v>12</v>
      </c>
      <c r="D268" s="5">
        <v>48.54</v>
      </c>
      <c r="E268" s="14">
        <v>2623.87</v>
      </c>
      <c r="F268" s="32" t="s">
        <v>224</v>
      </c>
    </row>
    <row r="269" spans="1:11" x14ac:dyDescent="0.35">
      <c r="A269" s="9" t="s">
        <v>11</v>
      </c>
      <c r="B269" s="31">
        <v>45080</v>
      </c>
      <c r="C269" s="10" t="s">
        <v>12</v>
      </c>
      <c r="D269" s="5">
        <v>49.29</v>
      </c>
      <c r="E269" s="5">
        <v>2600.4299999999998</v>
      </c>
      <c r="F269" s="32" t="s">
        <v>225</v>
      </c>
    </row>
    <row r="270" spans="1:11" x14ac:dyDescent="0.35">
      <c r="A270" s="9" t="s">
        <v>11</v>
      </c>
      <c r="B270" s="31">
        <v>45080</v>
      </c>
      <c r="C270" s="10" t="s">
        <v>12</v>
      </c>
      <c r="D270" s="5">
        <v>51.84</v>
      </c>
      <c r="E270" s="14">
        <v>3045.93</v>
      </c>
      <c r="F270" s="32" t="s">
        <v>233</v>
      </c>
      <c r="G270" s="13">
        <f>AVERAGE(E271:E272)</f>
        <v>2970.4549999999999</v>
      </c>
      <c r="H270" s="18">
        <f>STDEV(E271:E272)</f>
        <v>2.3122391744799975</v>
      </c>
      <c r="K270" s="5">
        <f>G270+$J$256</f>
        <v>2959.9100000000003</v>
      </c>
    </row>
    <row r="271" spans="1:11" x14ac:dyDescent="0.35">
      <c r="A271" s="9" t="s">
        <v>11</v>
      </c>
      <c r="B271" s="31">
        <v>45080</v>
      </c>
      <c r="C271" s="10" t="s">
        <v>12</v>
      </c>
      <c r="D271" s="5">
        <v>49.31</v>
      </c>
      <c r="E271" s="5">
        <v>2972.09</v>
      </c>
      <c r="F271" s="32" t="s">
        <v>234</v>
      </c>
    </row>
    <row r="272" spans="1:11" x14ac:dyDescent="0.35">
      <c r="A272" s="9" t="s">
        <v>11</v>
      </c>
      <c r="B272" s="31">
        <v>45080</v>
      </c>
      <c r="C272" s="10" t="s">
        <v>12</v>
      </c>
      <c r="D272" s="5">
        <v>49.67</v>
      </c>
      <c r="E272" s="5">
        <v>2968.82</v>
      </c>
      <c r="F272" s="32" t="s">
        <v>261</v>
      </c>
    </row>
    <row r="273" spans="1:12" x14ac:dyDescent="0.35">
      <c r="A273" s="9" t="s">
        <v>11</v>
      </c>
      <c r="B273" s="31">
        <v>45080</v>
      </c>
      <c r="C273" s="10" t="s">
        <v>12</v>
      </c>
      <c r="D273" s="5">
        <v>48.84</v>
      </c>
      <c r="E273" s="5">
        <v>2879.28</v>
      </c>
      <c r="F273" s="32" t="s">
        <v>235</v>
      </c>
      <c r="G273" s="13">
        <f>AVERAGE(E273:E274)</f>
        <v>2880.085</v>
      </c>
      <c r="H273" s="18">
        <f>STDEV(E273:E274)</f>
        <v>1.1384419177101099</v>
      </c>
      <c r="K273" s="5">
        <f>G273+$J$256</f>
        <v>2869.5400000000004</v>
      </c>
    </row>
    <row r="274" spans="1:12" x14ac:dyDescent="0.35">
      <c r="A274" s="9" t="s">
        <v>11</v>
      </c>
      <c r="B274" s="31">
        <v>45080</v>
      </c>
      <c r="C274" s="10" t="s">
        <v>12</v>
      </c>
      <c r="D274" s="5">
        <v>49.22</v>
      </c>
      <c r="E274" s="5">
        <v>2880.89</v>
      </c>
      <c r="F274" s="32" t="s">
        <v>236</v>
      </c>
    </row>
    <row r="275" spans="1:12" x14ac:dyDescent="0.35">
      <c r="A275" s="9" t="s">
        <v>11</v>
      </c>
      <c r="B275" s="31">
        <v>45080</v>
      </c>
      <c r="C275" s="10" t="s">
        <v>12</v>
      </c>
      <c r="D275" s="5">
        <v>49.01</v>
      </c>
      <c r="E275" s="14">
        <v>2725.15</v>
      </c>
      <c r="F275" s="32" t="s">
        <v>237</v>
      </c>
      <c r="G275" s="13">
        <f>AVERAGE(E276,E277)</f>
        <v>2886.1800000000003</v>
      </c>
      <c r="H275" s="13">
        <f>STDEV(E276,E277)</f>
        <v>4.9073210614346783</v>
      </c>
      <c r="K275" s="5">
        <f>G275+$J$256</f>
        <v>2875.6350000000007</v>
      </c>
    </row>
    <row r="276" spans="1:12" x14ac:dyDescent="0.35">
      <c r="A276" s="9" t="s">
        <v>11</v>
      </c>
      <c r="B276" s="31">
        <v>45080</v>
      </c>
      <c r="C276" s="10" t="s">
        <v>12</v>
      </c>
      <c r="D276" s="5">
        <v>50.67</v>
      </c>
      <c r="E276" s="5">
        <v>2882.71</v>
      </c>
      <c r="F276" s="32" t="s">
        <v>238</v>
      </c>
    </row>
    <row r="277" spans="1:12" x14ac:dyDescent="0.35">
      <c r="A277" s="9" t="s">
        <v>11</v>
      </c>
      <c r="B277" s="31">
        <v>45080</v>
      </c>
      <c r="C277" s="10" t="s">
        <v>12</v>
      </c>
      <c r="D277" s="5">
        <v>49.95</v>
      </c>
      <c r="E277" s="5">
        <v>2889.65</v>
      </c>
      <c r="F277" s="32" t="s">
        <v>418</v>
      </c>
    </row>
    <row r="278" spans="1:12" x14ac:dyDescent="0.35">
      <c r="A278" s="9" t="s">
        <v>11</v>
      </c>
      <c r="B278" s="31">
        <v>45080</v>
      </c>
      <c r="C278" s="10" t="s">
        <v>12</v>
      </c>
      <c r="D278" s="5">
        <v>49.71</v>
      </c>
      <c r="E278" s="5">
        <v>2879.81</v>
      </c>
      <c r="F278" s="32" t="s">
        <v>239</v>
      </c>
      <c r="G278" s="13">
        <f>AVERAGE(E278:E279)</f>
        <v>2877.66</v>
      </c>
      <c r="H278" s="18">
        <f>STDEV(E278:E279)</f>
        <v>3.0405591591019614</v>
      </c>
      <c r="K278" s="5">
        <f>G278+$J$256</f>
        <v>2867.1150000000002</v>
      </c>
    </row>
    <row r="279" spans="1:12" x14ac:dyDescent="0.35">
      <c r="A279" s="9" t="s">
        <v>11</v>
      </c>
      <c r="B279" s="31">
        <v>45080</v>
      </c>
      <c r="C279" s="10" t="s">
        <v>12</v>
      </c>
      <c r="D279" s="5">
        <v>49.14</v>
      </c>
      <c r="E279" s="5">
        <v>2875.51</v>
      </c>
      <c r="F279" s="32" t="s">
        <v>240</v>
      </c>
    </row>
    <row r="280" spans="1:12" x14ac:dyDescent="0.35">
      <c r="A280" s="9" t="s">
        <v>11</v>
      </c>
      <c r="B280" s="31">
        <v>45080</v>
      </c>
      <c r="C280" s="10" t="s">
        <v>12</v>
      </c>
      <c r="D280" s="5">
        <v>50.9</v>
      </c>
      <c r="E280" s="5">
        <v>2876.26</v>
      </c>
      <c r="F280" s="32" t="s">
        <v>241</v>
      </c>
      <c r="G280" s="13">
        <f>AVERAGE(E280:E281)</f>
        <v>2876.4700000000003</v>
      </c>
      <c r="H280" s="18">
        <f>STDEV(E280:E281)</f>
        <v>0.29698484809807985</v>
      </c>
      <c r="K280" s="5">
        <f>G280+$J$256</f>
        <v>2865.9250000000006</v>
      </c>
    </row>
    <row r="281" spans="1:12" x14ac:dyDescent="0.35">
      <c r="A281" s="9" t="s">
        <v>11</v>
      </c>
      <c r="B281" s="31">
        <v>45080</v>
      </c>
      <c r="C281" s="10" t="s">
        <v>12</v>
      </c>
      <c r="D281" s="5">
        <v>49.12</v>
      </c>
      <c r="E281" s="5">
        <v>2876.68</v>
      </c>
      <c r="F281" s="32" t="s">
        <v>242</v>
      </c>
    </row>
    <row r="282" spans="1:12" x14ac:dyDescent="0.35">
      <c r="A282" s="9" t="s">
        <v>11</v>
      </c>
      <c r="B282" s="31">
        <v>45080</v>
      </c>
      <c r="C282" s="10" t="s">
        <v>12</v>
      </c>
      <c r="D282" s="5">
        <v>50.67</v>
      </c>
      <c r="E282" s="14">
        <v>2687.18</v>
      </c>
      <c r="F282" s="32" t="s">
        <v>243</v>
      </c>
      <c r="G282" s="13">
        <f>AVERAGE(E283:E284)</f>
        <v>2678.01</v>
      </c>
      <c r="H282" s="18">
        <f>STDEV(E283:E284)</f>
        <v>0.55154328932564856</v>
      </c>
      <c r="K282" s="5">
        <f>G282+$J$256</f>
        <v>2667.4650000000006</v>
      </c>
    </row>
    <row r="283" spans="1:12" x14ac:dyDescent="0.35">
      <c r="A283" s="9" t="s">
        <v>11</v>
      </c>
      <c r="B283" s="31">
        <v>45080</v>
      </c>
      <c r="C283" s="10" t="s">
        <v>12</v>
      </c>
      <c r="D283" s="5">
        <v>51.89</v>
      </c>
      <c r="E283" s="5">
        <v>2678.4</v>
      </c>
      <c r="F283" s="32" t="s">
        <v>244</v>
      </c>
    </row>
    <row r="284" spans="1:12" x14ac:dyDescent="0.35">
      <c r="A284" s="9" t="s">
        <v>11</v>
      </c>
      <c r="B284" s="31">
        <v>45080</v>
      </c>
      <c r="C284" s="10" t="s">
        <v>12</v>
      </c>
      <c r="D284" s="5">
        <v>49.27</v>
      </c>
      <c r="E284" s="5">
        <v>2677.62</v>
      </c>
      <c r="F284" s="32" t="s">
        <v>245</v>
      </c>
    </row>
    <row r="285" spans="1:12" x14ac:dyDescent="0.35">
      <c r="A285" s="9" t="s">
        <v>11</v>
      </c>
      <c r="B285" s="31">
        <v>45080</v>
      </c>
      <c r="C285" s="10" t="s">
        <v>12</v>
      </c>
      <c r="D285" s="5">
        <v>48.93</v>
      </c>
      <c r="E285" s="14">
        <v>2825.04</v>
      </c>
      <c r="F285" s="32" t="s">
        <v>246</v>
      </c>
      <c r="G285" s="13">
        <f>AVERAGE(E286:E287)</f>
        <v>2802.2249999999999</v>
      </c>
      <c r="H285" s="18">
        <f>STDEV(E286:E287)</f>
        <v>3.5001785668732817</v>
      </c>
      <c r="K285" s="5">
        <f>G285+$J$256</f>
        <v>2791.6800000000003</v>
      </c>
    </row>
    <row r="286" spans="1:12" x14ac:dyDescent="0.35">
      <c r="A286" s="9" t="s">
        <v>11</v>
      </c>
      <c r="B286" s="31">
        <v>45080</v>
      </c>
      <c r="C286" s="10" t="s">
        <v>12</v>
      </c>
      <c r="D286" s="5">
        <v>49.89</v>
      </c>
      <c r="E286" s="5">
        <v>2799.75</v>
      </c>
      <c r="F286" s="32" t="s">
        <v>247</v>
      </c>
    </row>
    <row r="287" spans="1:12" x14ac:dyDescent="0.35">
      <c r="A287" s="9" t="s">
        <v>11</v>
      </c>
      <c r="B287" s="31">
        <v>45080</v>
      </c>
      <c r="C287" s="10" t="s">
        <v>12</v>
      </c>
      <c r="D287" s="5">
        <v>50.5</v>
      </c>
      <c r="E287" s="5">
        <v>2804.7</v>
      </c>
      <c r="F287" s="33" t="s">
        <v>262</v>
      </c>
    </row>
    <row r="288" spans="1:12" x14ac:dyDescent="0.35">
      <c r="A288" s="9" t="s">
        <v>11</v>
      </c>
      <c r="B288" s="31">
        <v>45080</v>
      </c>
      <c r="C288" s="10" t="s">
        <v>12</v>
      </c>
      <c r="D288" s="5" t="s">
        <v>153</v>
      </c>
      <c r="E288" s="5" t="s">
        <v>153</v>
      </c>
      <c r="F288" s="32" t="s">
        <v>248</v>
      </c>
      <c r="G288" s="13" t="s">
        <v>153</v>
      </c>
      <c r="H288" s="18" t="s">
        <v>153</v>
      </c>
      <c r="K288" s="5" t="s">
        <v>153</v>
      </c>
      <c r="L288" s="1" t="s">
        <v>182</v>
      </c>
    </row>
    <row r="289" spans="1:12" x14ac:dyDescent="0.35">
      <c r="A289" s="9" t="s">
        <v>11</v>
      </c>
      <c r="B289" s="31">
        <v>45080</v>
      </c>
      <c r="C289" s="10" t="s">
        <v>12</v>
      </c>
      <c r="D289" s="5" t="s">
        <v>153</v>
      </c>
      <c r="E289" s="5" t="s">
        <v>153</v>
      </c>
      <c r="F289" s="32" t="s">
        <v>249</v>
      </c>
    </row>
    <row r="290" spans="1:12" x14ac:dyDescent="0.35">
      <c r="A290" s="9" t="s">
        <v>11</v>
      </c>
      <c r="B290" s="31">
        <v>45080</v>
      </c>
      <c r="C290" s="10" t="s">
        <v>12</v>
      </c>
      <c r="D290" s="5" t="s">
        <v>153</v>
      </c>
      <c r="E290" s="5" t="s">
        <v>153</v>
      </c>
      <c r="F290" s="32" t="s">
        <v>250</v>
      </c>
    </row>
    <row r="291" spans="1:12" x14ac:dyDescent="0.35">
      <c r="A291" s="9" t="s">
        <v>11</v>
      </c>
      <c r="B291" s="31">
        <v>45080</v>
      </c>
      <c r="C291" s="10" t="s">
        <v>12</v>
      </c>
      <c r="D291" s="5">
        <v>50.52</v>
      </c>
      <c r="E291" s="14">
        <v>2648.96</v>
      </c>
      <c r="F291" s="32" t="s">
        <v>251</v>
      </c>
      <c r="G291" s="13">
        <f>AVERAGE(E292:E293)</f>
        <v>2675.6950000000002</v>
      </c>
      <c r="H291" s="18">
        <f>STDEV(E292:E293)</f>
        <v>3.9810111780803399</v>
      </c>
      <c r="K291" s="5">
        <f>G291+$J$256</f>
        <v>2665.1500000000005</v>
      </c>
    </row>
    <row r="292" spans="1:12" x14ac:dyDescent="0.35">
      <c r="A292" s="9" t="s">
        <v>11</v>
      </c>
      <c r="B292" s="31">
        <v>45080</v>
      </c>
      <c r="C292" s="10" t="s">
        <v>12</v>
      </c>
      <c r="D292" s="5">
        <v>48.45</v>
      </c>
      <c r="E292" s="5">
        <v>2672.88</v>
      </c>
      <c r="F292" s="32" t="s">
        <v>252</v>
      </c>
    </row>
    <row r="293" spans="1:12" x14ac:dyDescent="0.35">
      <c r="A293" s="9" t="s">
        <v>11</v>
      </c>
      <c r="B293" s="31">
        <v>45080</v>
      </c>
      <c r="C293" s="10" t="s">
        <v>12</v>
      </c>
      <c r="D293" s="15">
        <v>50.23</v>
      </c>
      <c r="E293" s="15">
        <v>2678.51</v>
      </c>
      <c r="F293" s="32" t="s">
        <v>419</v>
      </c>
    </row>
    <row r="294" spans="1:12" x14ac:dyDescent="0.35">
      <c r="F294" s="32"/>
    </row>
    <row r="295" spans="1:12" x14ac:dyDescent="0.35">
      <c r="A295" s="9" t="s">
        <v>11</v>
      </c>
      <c r="B295" s="31">
        <v>45082</v>
      </c>
      <c r="C295" s="25" t="s">
        <v>12</v>
      </c>
      <c r="D295" s="5">
        <v>50.09</v>
      </c>
      <c r="E295" s="14">
        <v>2229.2600000000002</v>
      </c>
      <c r="F295" s="16" t="s">
        <v>8</v>
      </c>
      <c r="G295" s="13">
        <f>AVERAGE(E296,E297)</f>
        <v>2221.9949999999999</v>
      </c>
      <c r="H295" s="18">
        <f>STDEV(E296,E297)</f>
        <v>1.0111626970966472</v>
      </c>
      <c r="I295" s="3">
        <v>2226.44</v>
      </c>
      <c r="J295" s="4">
        <f>I295-G295</f>
        <v>4.4450000000001637</v>
      </c>
      <c r="K295" s="5">
        <f>G295+J295</f>
        <v>2226.44</v>
      </c>
      <c r="L295" s="2" t="s">
        <v>94</v>
      </c>
    </row>
    <row r="296" spans="1:12" x14ac:dyDescent="0.35">
      <c r="A296" s="9" t="s">
        <v>11</v>
      </c>
      <c r="B296" s="31">
        <v>45082</v>
      </c>
      <c r="C296" s="10" t="s">
        <v>12</v>
      </c>
      <c r="D296" s="5">
        <v>50.52</v>
      </c>
      <c r="E296" s="5">
        <v>2221.2800000000002</v>
      </c>
      <c r="F296" s="16" t="s">
        <v>9</v>
      </c>
    </row>
    <row r="297" spans="1:12" x14ac:dyDescent="0.35">
      <c r="A297" s="9" t="s">
        <v>11</v>
      </c>
      <c r="B297" s="31">
        <v>45082</v>
      </c>
      <c r="C297" s="10" t="s">
        <v>12</v>
      </c>
      <c r="D297" s="5">
        <v>50.23</v>
      </c>
      <c r="E297" s="5">
        <v>2222.71</v>
      </c>
      <c r="F297" s="17" t="s">
        <v>96</v>
      </c>
    </row>
    <row r="298" spans="1:12" x14ac:dyDescent="0.35">
      <c r="A298" s="9" t="s">
        <v>11</v>
      </c>
      <c r="B298" s="31">
        <v>45082</v>
      </c>
      <c r="C298" s="10" t="s">
        <v>12</v>
      </c>
      <c r="D298" s="5">
        <v>50.19</v>
      </c>
      <c r="E298" s="5">
        <v>2675.99</v>
      </c>
      <c r="F298" s="32" t="s">
        <v>253</v>
      </c>
      <c r="G298" s="13">
        <f>AVERAGE(E298,E300)</f>
        <v>2678.7150000000001</v>
      </c>
      <c r="H298" s="18">
        <f>STDEV(E298,E300)</f>
        <v>3.8537319574668771</v>
      </c>
      <c r="K298" s="5">
        <f>G298+$J$295</f>
        <v>2683.1600000000003</v>
      </c>
    </row>
    <row r="299" spans="1:12" x14ac:dyDescent="0.35">
      <c r="A299" s="9" t="s">
        <v>11</v>
      </c>
      <c r="B299" s="31">
        <v>45082</v>
      </c>
      <c r="C299" s="10" t="s">
        <v>12</v>
      </c>
      <c r="D299" s="5">
        <v>49.27</v>
      </c>
      <c r="E299" s="14">
        <v>2689.84</v>
      </c>
      <c r="F299" s="32" t="s">
        <v>254</v>
      </c>
    </row>
    <row r="300" spans="1:12" x14ac:dyDescent="0.35">
      <c r="A300" s="9" t="s">
        <v>11</v>
      </c>
      <c r="B300" s="31">
        <v>45082</v>
      </c>
      <c r="C300" s="10" t="s">
        <v>12</v>
      </c>
      <c r="D300" s="5">
        <v>50.54</v>
      </c>
      <c r="E300" s="5">
        <v>2681.44</v>
      </c>
      <c r="F300" s="32" t="s">
        <v>263</v>
      </c>
    </row>
    <row r="301" spans="1:12" x14ac:dyDescent="0.35">
      <c r="A301" s="9" t="s">
        <v>11</v>
      </c>
      <c r="B301" s="31">
        <v>45082</v>
      </c>
      <c r="C301" s="10" t="s">
        <v>12</v>
      </c>
      <c r="D301" s="5">
        <v>50.97</v>
      </c>
      <c r="E301" s="5">
        <v>2763.97</v>
      </c>
      <c r="F301" s="32" t="s">
        <v>255</v>
      </c>
      <c r="G301" s="13">
        <f>AVERAGE(E301,E303)</f>
        <v>2763.52</v>
      </c>
      <c r="H301" s="18">
        <f>STDEV(E301,E303)</f>
        <v>0.6363961030676355</v>
      </c>
      <c r="K301" s="5">
        <f>G301+$J$295</f>
        <v>2767.9650000000001</v>
      </c>
    </row>
    <row r="302" spans="1:12" x14ac:dyDescent="0.35">
      <c r="A302" s="9" t="s">
        <v>11</v>
      </c>
      <c r="B302" s="31">
        <v>45082</v>
      </c>
      <c r="C302" s="10" t="s">
        <v>12</v>
      </c>
      <c r="D302" s="5">
        <v>51.25</v>
      </c>
      <c r="E302" s="14">
        <v>2775.93</v>
      </c>
      <c r="F302" s="32" t="s">
        <v>256</v>
      </c>
    </row>
    <row r="303" spans="1:12" x14ac:dyDescent="0.35">
      <c r="A303" s="9" t="s">
        <v>11</v>
      </c>
      <c r="B303" s="31">
        <v>45082</v>
      </c>
      <c r="C303" s="10" t="s">
        <v>12</v>
      </c>
      <c r="D303" s="5">
        <v>50.53</v>
      </c>
      <c r="E303" s="5">
        <v>2763.07</v>
      </c>
      <c r="F303" s="32" t="s">
        <v>257</v>
      </c>
    </row>
    <row r="304" spans="1:12" x14ac:dyDescent="0.35">
      <c r="A304" s="9" t="s">
        <v>11</v>
      </c>
      <c r="B304" s="31">
        <v>45082</v>
      </c>
      <c r="C304" s="10" t="s">
        <v>12</v>
      </c>
      <c r="D304" s="5">
        <v>50.84</v>
      </c>
      <c r="E304" s="14">
        <v>2677.87</v>
      </c>
      <c r="F304" s="32" t="s">
        <v>258</v>
      </c>
      <c r="G304" s="13">
        <f>AVERAGE(E305:E306)</f>
        <v>2660.46</v>
      </c>
      <c r="H304" s="18">
        <f>STDEV(E305:E306)</f>
        <v>0.4525483399596219</v>
      </c>
      <c r="K304" s="5">
        <f>G304+$J$295</f>
        <v>2664.9050000000002</v>
      </c>
    </row>
    <row r="305" spans="1:11" x14ac:dyDescent="0.35">
      <c r="A305" s="9" t="s">
        <v>11</v>
      </c>
      <c r="B305" s="31">
        <v>45082</v>
      </c>
      <c r="C305" s="10" t="s">
        <v>12</v>
      </c>
      <c r="D305" s="5">
        <v>51.25</v>
      </c>
      <c r="E305" s="5">
        <v>2660.78</v>
      </c>
      <c r="F305" s="32" t="s">
        <v>259</v>
      </c>
    </row>
    <row r="306" spans="1:11" x14ac:dyDescent="0.35">
      <c r="A306" s="9" t="s">
        <v>11</v>
      </c>
      <c r="B306" s="31">
        <v>45082</v>
      </c>
      <c r="C306" s="10" t="s">
        <v>12</v>
      </c>
      <c r="D306" s="5">
        <v>50.59</v>
      </c>
      <c r="E306" s="5">
        <v>2660.14</v>
      </c>
      <c r="F306" s="32" t="s">
        <v>260</v>
      </c>
    </row>
    <row r="307" spans="1:11" x14ac:dyDescent="0.35">
      <c r="A307" s="9" t="s">
        <v>11</v>
      </c>
      <c r="B307" s="31">
        <v>45082</v>
      </c>
      <c r="C307" s="10" t="s">
        <v>12</v>
      </c>
      <c r="D307" s="5">
        <v>48.28</v>
      </c>
      <c r="E307" s="14">
        <v>2519.1799999999998</v>
      </c>
      <c r="F307" s="32" t="s">
        <v>264</v>
      </c>
      <c r="G307" s="13">
        <f>AVERAGE(E308:E309)</f>
        <v>2502.665</v>
      </c>
      <c r="H307" s="18">
        <f>STDEV(E308:E309)</f>
        <v>0.27577164466298504</v>
      </c>
      <c r="K307" s="5">
        <f>G307+$J$295</f>
        <v>2507.11</v>
      </c>
    </row>
    <row r="308" spans="1:11" x14ac:dyDescent="0.35">
      <c r="A308" s="9" t="s">
        <v>11</v>
      </c>
      <c r="B308" s="31">
        <v>45082</v>
      </c>
      <c r="C308" s="10" t="s">
        <v>12</v>
      </c>
      <c r="D308" s="5">
        <v>50.97</v>
      </c>
      <c r="E308" s="5">
        <v>2502.86</v>
      </c>
      <c r="F308" s="32" t="s">
        <v>265</v>
      </c>
    </row>
    <row r="309" spans="1:11" x14ac:dyDescent="0.35">
      <c r="A309" s="9" t="s">
        <v>11</v>
      </c>
      <c r="B309" s="31">
        <v>45082</v>
      </c>
      <c r="C309" s="10" t="s">
        <v>12</v>
      </c>
      <c r="D309" s="5">
        <v>50.3</v>
      </c>
      <c r="E309" s="5">
        <v>2502.4699999999998</v>
      </c>
      <c r="F309" s="32" t="s">
        <v>266</v>
      </c>
    </row>
    <row r="310" spans="1:11" x14ac:dyDescent="0.35">
      <c r="A310" s="9" t="s">
        <v>11</v>
      </c>
      <c r="B310" s="31">
        <v>45082</v>
      </c>
      <c r="C310" s="10" t="s">
        <v>12</v>
      </c>
      <c r="D310" s="5">
        <v>50.71</v>
      </c>
      <c r="E310" s="14">
        <v>2568.89</v>
      </c>
      <c r="F310" s="32" t="s">
        <v>267</v>
      </c>
      <c r="G310" s="13">
        <f>AVERAGE(E311:E312)</f>
        <v>2556.1350000000002</v>
      </c>
      <c r="H310" s="18">
        <f>STDEV(E311:E312)</f>
        <v>0.91216774773094211</v>
      </c>
      <c r="K310" s="5">
        <f>G310+$J$295</f>
        <v>2560.5800000000004</v>
      </c>
    </row>
    <row r="311" spans="1:11" x14ac:dyDescent="0.35">
      <c r="A311" s="9" t="s">
        <v>11</v>
      </c>
      <c r="B311" s="31">
        <v>45082</v>
      </c>
      <c r="C311" s="10" t="s">
        <v>12</v>
      </c>
      <c r="D311" s="5">
        <v>51.81</v>
      </c>
      <c r="E311" s="5">
        <v>2555.4899999999998</v>
      </c>
      <c r="F311" s="32" t="s">
        <v>268</v>
      </c>
    </row>
    <row r="312" spans="1:11" x14ac:dyDescent="0.35">
      <c r="A312" s="9" t="s">
        <v>11</v>
      </c>
      <c r="B312" s="31">
        <v>45082</v>
      </c>
      <c r="C312" s="10" t="s">
        <v>12</v>
      </c>
      <c r="D312" s="5">
        <v>50</v>
      </c>
      <c r="E312" s="5">
        <v>2556.7800000000002</v>
      </c>
      <c r="F312" s="32" t="s">
        <v>269</v>
      </c>
    </row>
    <row r="313" spans="1:11" x14ac:dyDescent="0.35">
      <c r="A313" s="9" t="s">
        <v>11</v>
      </c>
      <c r="B313" s="31">
        <v>45082</v>
      </c>
      <c r="C313" s="10" t="s">
        <v>12</v>
      </c>
      <c r="D313" s="5">
        <v>48.63</v>
      </c>
      <c r="E313" s="14">
        <v>2560.79</v>
      </c>
      <c r="F313" s="32" t="s">
        <v>270</v>
      </c>
      <c r="G313" s="13">
        <f>AVERAGE(E314,E316)</f>
        <v>2547.31</v>
      </c>
      <c r="H313" s="13">
        <f>STDEV(E314,E316)</f>
        <v>1.8809040379561135</v>
      </c>
      <c r="K313" s="5">
        <f>G313+$J$295</f>
        <v>2551.7550000000001</v>
      </c>
    </row>
    <row r="314" spans="1:11" x14ac:dyDescent="0.35">
      <c r="A314" s="9" t="s">
        <v>11</v>
      </c>
      <c r="B314" s="31">
        <v>45082</v>
      </c>
      <c r="C314" s="10" t="s">
        <v>12</v>
      </c>
      <c r="D314" s="5">
        <v>51.07</v>
      </c>
      <c r="E314" s="5">
        <v>2545.98</v>
      </c>
      <c r="F314" s="32" t="s">
        <v>271</v>
      </c>
    </row>
    <row r="315" spans="1:11" x14ac:dyDescent="0.35">
      <c r="A315" s="9" t="s">
        <v>11</v>
      </c>
      <c r="B315" s="31">
        <v>45082</v>
      </c>
      <c r="C315" s="10" t="s">
        <v>12</v>
      </c>
      <c r="D315" s="5">
        <v>51.47</v>
      </c>
      <c r="E315" s="14">
        <v>2522.4699999999998</v>
      </c>
      <c r="F315" s="32" t="s">
        <v>272</v>
      </c>
    </row>
    <row r="316" spans="1:11" x14ac:dyDescent="0.35">
      <c r="A316" s="9" t="s">
        <v>11</v>
      </c>
      <c r="B316" s="31">
        <v>45082</v>
      </c>
      <c r="C316" s="10" t="s">
        <v>12</v>
      </c>
      <c r="D316" s="5">
        <v>50.71</v>
      </c>
      <c r="E316" s="5">
        <v>2548.64</v>
      </c>
      <c r="F316" s="32" t="s">
        <v>420</v>
      </c>
    </row>
    <row r="317" spans="1:11" x14ac:dyDescent="0.35">
      <c r="A317" s="9" t="s">
        <v>11</v>
      </c>
      <c r="B317" s="31">
        <v>45082</v>
      </c>
      <c r="C317" s="10" t="s">
        <v>12</v>
      </c>
      <c r="D317" s="5">
        <v>51.27</v>
      </c>
      <c r="E317" s="14">
        <v>2585.0100000000002</v>
      </c>
      <c r="F317" s="32" t="s">
        <v>273</v>
      </c>
      <c r="G317" s="13">
        <f>AVERAGE(E318:E319)</f>
        <v>2604.0349999999999</v>
      </c>
      <c r="H317" s="18">
        <f>STDEV(E318:E319)</f>
        <v>6.3639610306892178E-2</v>
      </c>
      <c r="K317" s="5">
        <f>G317+$J$295</f>
        <v>2608.48</v>
      </c>
    </row>
    <row r="318" spans="1:11" x14ac:dyDescent="0.35">
      <c r="A318" s="9" t="s">
        <v>11</v>
      </c>
      <c r="B318" s="31">
        <v>45082</v>
      </c>
      <c r="C318" s="10" t="s">
        <v>12</v>
      </c>
      <c r="D318" s="5">
        <v>49.07</v>
      </c>
      <c r="E318" s="5">
        <v>2603.9899999999998</v>
      </c>
      <c r="F318" s="32" t="s">
        <v>274</v>
      </c>
    </row>
    <row r="319" spans="1:11" x14ac:dyDescent="0.35">
      <c r="A319" s="9" t="s">
        <v>11</v>
      </c>
      <c r="B319" s="31">
        <v>45082</v>
      </c>
      <c r="C319" s="10" t="s">
        <v>12</v>
      </c>
      <c r="D319" s="5">
        <v>48.74</v>
      </c>
      <c r="E319" s="5">
        <v>2604.08</v>
      </c>
      <c r="F319" s="32" t="s">
        <v>275</v>
      </c>
    </row>
    <row r="320" spans="1:11" x14ac:dyDescent="0.35">
      <c r="A320" s="9" t="s">
        <v>11</v>
      </c>
      <c r="B320" s="31">
        <v>45082</v>
      </c>
      <c r="C320" s="10" t="s">
        <v>12</v>
      </c>
      <c r="D320" s="5">
        <v>50.99</v>
      </c>
      <c r="E320" s="14">
        <v>2658.15</v>
      </c>
      <c r="F320" s="32" t="s">
        <v>276</v>
      </c>
      <c r="G320" s="13">
        <f>AVERAGE(E321:E322)</f>
        <v>2646.86</v>
      </c>
      <c r="H320" s="18">
        <f>STDEV(E321:E322)</f>
        <v>2.3617366491631717</v>
      </c>
      <c r="K320" s="5">
        <f>G320+$J$295</f>
        <v>2651.3050000000003</v>
      </c>
    </row>
    <row r="321" spans="1:12" x14ac:dyDescent="0.35">
      <c r="A321" s="9" t="s">
        <v>11</v>
      </c>
      <c r="B321" s="31">
        <v>45082</v>
      </c>
      <c r="C321" s="10" t="s">
        <v>12</v>
      </c>
      <c r="D321" s="5">
        <v>50.89</v>
      </c>
      <c r="E321" s="5">
        <v>2645.19</v>
      </c>
      <c r="F321" s="32" t="s">
        <v>277</v>
      </c>
    </row>
    <row r="322" spans="1:12" x14ac:dyDescent="0.35">
      <c r="A322" s="9" t="s">
        <v>11</v>
      </c>
      <c r="B322" s="31">
        <v>45082</v>
      </c>
      <c r="C322" s="10" t="s">
        <v>12</v>
      </c>
      <c r="D322" s="5">
        <v>49.61</v>
      </c>
      <c r="E322" s="5">
        <v>2648.53</v>
      </c>
      <c r="F322" s="32" t="s">
        <v>278</v>
      </c>
    </row>
    <row r="323" spans="1:12" x14ac:dyDescent="0.35">
      <c r="A323" s="9" t="s">
        <v>11</v>
      </c>
      <c r="B323" s="31">
        <v>45082</v>
      </c>
      <c r="C323" s="10" t="s">
        <v>12</v>
      </c>
      <c r="D323" s="5">
        <v>48.94</v>
      </c>
      <c r="E323" s="5">
        <v>2614.2199999999998</v>
      </c>
      <c r="F323" s="32" t="s">
        <v>279</v>
      </c>
      <c r="G323" s="13">
        <f>AVERAGE(E323:E324)</f>
        <v>2612.37</v>
      </c>
      <c r="H323" s="18">
        <f>STDEV(E323:E324)</f>
        <v>2.6162950903900972</v>
      </c>
      <c r="K323" s="5">
        <f>G323+$J$295</f>
        <v>2616.8150000000001</v>
      </c>
    </row>
    <row r="324" spans="1:12" x14ac:dyDescent="0.35">
      <c r="A324" s="9" t="s">
        <v>11</v>
      </c>
      <c r="B324" s="31">
        <v>45082</v>
      </c>
      <c r="C324" s="10" t="s">
        <v>12</v>
      </c>
      <c r="D324" s="5">
        <v>50.77</v>
      </c>
      <c r="E324" s="5">
        <v>2610.52</v>
      </c>
      <c r="F324" s="32" t="s">
        <v>280</v>
      </c>
    </row>
    <row r="325" spans="1:12" x14ac:dyDescent="0.35">
      <c r="A325" s="9" t="s">
        <v>11</v>
      </c>
      <c r="B325" s="31">
        <v>45082</v>
      </c>
      <c r="C325" s="10" t="s">
        <v>12</v>
      </c>
      <c r="D325" s="5">
        <v>52.43</v>
      </c>
      <c r="E325" s="5">
        <v>2530.13</v>
      </c>
      <c r="F325" s="32" t="s">
        <v>281</v>
      </c>
      <c r="G325" s="13">
        <f>AVERAGE(E325:E326)</f>
        <v>2528.3500000000004</v>
      </c>
      <c r="H325" s="18">
        <f>STDEV(E325:E326)</f>
        <v>2.5173001410240707</v>
      </c>
      <c r="K325" s="5">
        <f>G325+$J$295</f>
        <v>2532.7950000000005</v>
      </c>
    </row>
    <row r="326" spans="1:12" x14ac:dyDescent="0.35">
      <c r="A326" s="9" t="s">
        <v>11</v>
      </c>
      <c r="B326" s="31">
        <v>45082</v>
      </c>
      <c r="C326" s="10" t="s">
        <v>12</v>
      </c>
      <c r="D326" s="5">
        <v>49.17</v>
      </c>
      <c r="E326" s="5">
        <v>2526.5700000000002</v>
      </c>
      <c r="F326" s="32" t="s">
        <v>282</v>
      </c>
    </row>
    <row r="327" spans="1:12" x14ac:dyDescent="0.35">
      <c r="A327" s="9" t="s">
        <v>11</v>
      </c>
      <c r="B327" s="31">
        <v>45082</v>
      </c>
      <c r="C327" s="10" t="s">
        <v>12</v>
      </c>
      <c r="D327" s="5">
        <v>50.31</v>
      </c>
      <c r="E327" s="5">
        <v>2623.15</v>
      </c>
      <c r="F327" s="32" t="s">
        <v>283</v>
      </c>
      <c r="G327" s="13">
        <f>AVERAGE(E327:E328)</f>
        <v>2622.16</v>
      </c>
      <c r="H327" s="18">
        <f>STDEV(E327:E328)</f>
        <v>1.400071426749377</v>
      </c>
      <c r="K327" s="5">
        <f>G327+$J$295</f>
        <v>2626.605</v>
      </c>
    </row>
    <row r="328" spans="1:12" x14ac:dyDescent="0.35">
      <c r="A328" s="9" t="s">
        <v>11</v>
      </c>
      <c r="B328" s="31">
        <v>45082</v>
      </c>
      <c r="C328" s="10" t="s">
        <v>12</v>
      </c>
      <c r="D328" s="5">
        <v>51.67</v>
      </c>
      <c r="E328" s="5">
        <v>2621.17</v>
      </c>
      <c r="F328" s="32" t="s">
        <v>284</v>
      </c>
    </row>
    <row r="329" spans="1:12" x14ac:dyDescent="0.35">
      <c r="A329" s="9" t="s">
        <v>11</v>
      </c>
      <c r="B329" s="31">
        <v>45082</v>
      </c>
      <c r="C329" s="10" t="s">
        <v>12</v>
      </c>
      <c r="D329" s="5">
        <v>50.42</v>
      </c>
      <c r="E329" s="14">
        <v>2585.75</v>
      </c>
      <c r="F329" s="32" t="s">
        <v>285</v>
      </c>
      <c r="G329" s="13">
        <f>AVERAGE(E330:E331)</f>
        <v>2575.38</v>
      </c>
      <c r="H329" s="18">
        <f>STDEV(E330:E331)</f>
        <v>4.2426406871192848</v>
      </c>
      <c r="K329" s="5">
        <f>G329+$J$295</f>
        <v>2579.8250000000003</v>
      </c>
    </row>
    <row r="330" spans="1:12" x14ac:dyDescent="0.35">
      <c r="A330" s="9" t="s">
        <v>11</v>
      </c>
      <c r="B330" s="31">
        <v>45082</v>
      </c>
      <c r="C330" s="10" t="s">
        <v>12</v>
      </c>
      <c r="D330" s="5">
        <v>50.63</v>
      </c>
      <c r="E330" s="5">
        <v>2572.38</v>
      </c>
      <c r="F330" s="32" t="s">
        <v>286</v>
      </c>
    </row>
    <row r="331" spans="1:12" x14ac:dyDescent="0.35">
      <c r="A331" s="9" t="s">
        <v>11</v>
      </c>
      <c r="B331" s="31">
        <v>45082</v>
      </c>
      <c r="C331" s="10" t="s">
        <v>12</v>
      </c>
      <c r="D331" s="5">
        <v>49.19</v>
      </c>
      <c r="E331" s="5">
        <v>2578.38</v>
      </c>
      <c r="F331" s="32" t="s">
        <v>287</v>
      </c>
    </row>
    <row r="332" spans="1:12" x14ac:dyDescent="0.35">
      <c r="C332" s="10"/>
    </row>
    <row r="333" spans="1:12" x14ac:dyDescent="0.35">
      <c r="A333" s="9" t="s">
        <v>11</v>
      </c>
      <c r="B333" s="31">
        <v>45083</v>
      </c>
      <c r="C333" s="25" t="s">
        <v>12</v>
      </c>
      <c r="F333" s="16" t="s">
        <v>8</v>
      </c>
      <c r="G333" s="13" t="e">
        <f>AVERAGE(E334,E335)</f>
        <v>#DIV/0!</v>
      </c>
      <c r="H333" s="18" t="e">
        <f>STDEV(E334,E335)</f>
        <v>#DIV/0!</v>
      </c>
      <c r="I333" s="3">
        <v>2226.44</v>
      </c>
      <c r="J333" s="4" t="e">
        <f>I333-G333</f>
        <v>#DIV/0!</v>
      </c>
      <c r="K333" s="5" t="e">
        <f>G333+J333</f>
        <v>#DIV/0!</v>
      </c>
      <c r="L333" s="2" t="s">
        <v>94</v>
      </c>
    </row>
    <row r="334" spans="1:12" x14ac:dyDescent="0.35">
      <c r="A334" s="9" t="s">
        <v>11</v>
      </c>
      <c r="B334" s="31">
        <v>45083</v>
      </c>
      <c r="C334" s="10" t="s">
        <v>12</v>
      </c>
      <c r="F334" s="16" t="s">
        <v>9</v>
      </c>
    </row>
    <row r="335" spans="1:12" x14ac:dyDescent="0.35">
      <c r="A335" s="9" t="s">
        <v>11</v>
      </c>
      <c r="B335" s="31">
        <v>45083</v>
      </c>
      <c r="C335" s="10" t="s">
        <v>12</v>
      </c>
      <c r="F335" s="17" t="s">
        <v>96</v>
      </c>
    </row>
    <row r="336" spans="1:12" x14ac:dyDescent="0.35">
      <c r="A336" s="9" t="s">
        <v>11</v>
      </c>
      <c r="B336" s="31">
        <v>45082</v>
      </c>
      <c r="C336" s="10" t="s">
        <v>12</v>
      </c>
      <c r="D336" s="5">
        <v>48.96</v>
      </c>
      <c r="E336" s="5">
        <v>2601.0100000000002</v>
      </c>
      <c r="F336" s="32" t="s">
        <v>288</v>
      </c>
      <c r="G336" s="13">
        <f>AVERAGE(E336:E337)</f>
        <v>2601.6750000000002</v>
      </c>
      <c r="H336" s="18">
        <f>STDEV(E336:E337)</f>
        <v>0.94045201897805675</v>
      </c>
      <c r="K336" s="5">
        <f>G336+$J$295</f>
        <v>2606.1200000000003</v>
      </c>
    </row>
    <row r="337" spans="1:11" x14ac:dyDescent="0.35">
      <c r="A337" s="9" t="s">
        <v>11</v>
      </c>
      <c r="B337" s="31">
        <v>45082</v>
      </c>
      <c r="C337" s="10" t="s">
        <v>12</v>
      </c>
      <c r="D337" s="5">
        <v>52.01</v>
      </c>
      <c r="E337" s="5">
        <v>2602.34</v>
      </c>
      <c r="F337" s="32" t="s">
        <v>289</v>
      </c>
    </row>
    <row r="338" spans="1:11" x14ac:dyDescent="0.35">
      <c r="A338" s="9" t="s">
        <v>11</v>
      </c>
      <c r="B338" s="31">
        <v>45082</v>
      </c>
      <c r="C338" s="10" t="s">
        <v>12</v>
      </c>
      <c r="D338" s="5">
        <v>50.22</v>
      </c>
      <c r="E338" s="14">
        <v>2534.11</v>
      </c>
      <c r="F338" s="32" t="s">
        <v>290</v>
      </c>
      <c r="G338" s="18">
        <f>AVERAGE(E340:E341)</f>
        <v>2582.8850000000002</v>
      </c>
      <c r="H338" s="18">
        <f>STDEV(E340:E341)</f>
        <v>9.1923881554006784E-2</v>
      </c>
      <c r="K338" s="5">
        <f>G338+$J$295</f>
        <v>2587.3300000000004</v>
      </c>
    </row>
    <row r="339" spans="1:11" x14ac:dyDescent="0.35">
      <c r="A339" s="9" t="s">
        <v>11</v>
      </c>
      <c r="B339" s="31">
        <v>45082</v>
      </c>
      <c r="C339" s="10" t="s">
        <v>12</v>
      </c>
      <c r="D339" s="5">
        <v>49.38</v>
      </c>
      <c r="E339" s="14">
        <v>2567.4299999999998</v>
      </c>
      <c r="F339" s="32" t="s">
        <v>291</v>
      </c>
    </row>
    <row r="340" spans="1:11" x14ac:dyDescent="0.35">
      <c r="A340" s="9" t="s">
        <v>11</v>
      </c>
      <c r="B340" s="31">
        <v>45082</v>
      </c>
      <c r="C340" s="10" t="s">
        <v>12</v>
      </c>
      <c r="D340" s="5">
        <v>49.96</v>
      </c>
      <c r="E340" s="5">
        <v>2582.9499999999998</v>
      </c>
      <c r="F340" s="32" t="s">
        <v>292</v>
      </c>
    </row>
    <row r="341" spans="1:11" x14ac:dyDescent="0.35">
      <c r="A341" s="9" t="s">
        <v>11</v>
      </c>
      <c r="B341" s="31">
        <v>45082</v>
      </c>
      <c r="C341" s="10" t="s">
        <v>12</v>
      </c>
      <c r="D341" s="5">
        <v>49.71</v>
      </c>
      <c r="E341" s="5">
        <v>2582.8200000000002</v>
      </c>
      <c r="F341" s="32" t="s">
        <v>421</v>
      </c>
    </row>
    <row r="342" spans="1:11" x14ac:dyDescent="0.35">
      <c r="A342" s="9" t="s">
        <v>11</v>
      </c>
      <c r="B342" s="31">
        <v>45082</v>
      </c>
      <c r="C342" s="10" t="s">
        <v>12</v>
      </c>
      <c r="D342" s="5">
        <v>49.6</v>
      </c>
      <c r="E342" s="5">
        <v>2562.94</v>
      </c>
      <c r="F342" s="32" t="s">
        <v>293</v>
      </c>
      <c r="G342" s="13">
        <f>AVERAGE(E342:E343)</f>
        <v>2555.1149999999998</v>
      </c>
      <c r="H342" s="18">
        <f>STDEV(E342,E344)</f>
        <v>2.9698484809833712</v>
      </c>
      <c r="K342" s="5">
        <f>G342+$J$295</f>
        <v>2559.56</v>
      </c>
    </row>
    <row r="343" spans="1:11" x14ac:dyDescent="0.35">
      <c r="A343" s="9" t="s">
        <v>11</v>
      </c>
      <c r="B343" s="31">
        <v>45082</v>
      </c>
      <c r="C343" s="10" t="s">
        <v>12</v>
      </c>
      <c r="D343" s="5">
        <v>52</v>
      </c>
      <c r="E343" s="14">
        <v>2547.29</v>
      </c>
      <c r="F343" s="32" t="s">
        <v>294</v>
      </c>
    </row>
    <row r="344" spans="1:11" x14ac:dyDescent="0.35">
      <c r="A344" s="9" t="s">
        <v>11</v>
      </c>
      <c r="B344" s="31">
        <v>45082</v>
      </c>
      <c r="C344" s="10" t="s">
        <v>12</v>
      </c>
      <c r="D344" s="5">
        <v>49.79</v>
      </c>
      <c r="E344" s="5">
        <v>2567.14</v>
      </c>
      <c r="F344" s="32" t="s">
        <v>295</v>
      </c>
    </row>
    <row r="345" spans="1:11" x14ac:dyDescent="0.35">
      <c r="A345" s="9" t="s">
        <v>11</v>
      </c>
      <c r="B345" s="31">
        <v>45082</v>
      </c>
      <c r="C345" s="10" t="s">
        <v>12</v>
      </c>
      <c r="D345" s="5">
        <v>51.18</v>
      </c>
      <c r="E345" s="14">
        <v>2589.9299999999998</v>
      </c>
      <c r="F345" s="32" t="s">
        <v>296</v>
      </c>
      <c r="G345" s="13">
        <f>AVERAGE(E346:E347)</f>
        <v>2580.4549999999999</v>
      </c>
      <c r="H345" s="18">
        <f>STDEV(E346:E347)</f>
        <v>1.3788582233136391</v>
      </c>
      <c r="K345" s="5">
        <f>G345+$J$295</f>
        <v>2584.9</v>
      </c>
    </row>
    <row r="346" spans="1:11" x14ac:dyDescent="0.35">
      <c r="A346" s="9" t="s">
        <v>11</v>
      </c>
      <c r="B346" s="31">
        <v>45082</v>
      </c>
      <c r="C346" s="10" t="s">
        <v>12</v>
      </c>
      <c r="D346" s="5">
        <v>50.87</v>
      </c>
      <c r="E346" s="5">
        <v>2581.4299999999998</v>
      </c>
      <c r="F346" s="32" t="s">
        <v>297</v>
      </c>
    </row>
    <row r="347" spans="1:11" x14ac:dyDescent="0.35">
      <c r="A347" s="9" t="s">
        <v>11</v>
      </c>
      <c r="B347" s="31">
        <v>45082</v>
      </c>
      <c r="C347" s="10" t="s">
        <v>12</v>
      </c>
      <c r="D347" s="5">
        <v>49.3</v>
      </c>
      <c r="E347" s="5">
        <v>2579.48</v>
      </c>
      <c r="F347" s="32" t="s">
        <v>298</v>
      </c>
    </row>
    <row r="348" spans="1:11" x14ac:dyDescent="0.35">
      <c r="A348" s="9" t="s">
        <v>11</v>
      </c>
      <c r="B348" s="31">
        <v>45083</v>
      </c>
      <c r="C348" s="10" t="s">
        <v>12</v>
      </c>
      <c r="D348" s="5">
        <v>51.48</v>
      </c>
      <c r="E348" s="5">
        <v>2483.77</v>
      </c>
      <c r="F348" s="32" t="s">
        <v>299</v>
      </c>
      <c r="G348" s="13" t="e">
        <f>AVERAGE(E349:E350)</f>
        <v>#DIV/0!</v>
      </c>
      <c r="H348" s="18" t="e">
        <f>STDEV(E349:E350)</f>
        <v>#DIV/0!</v>
      </c>
      <c r="K348" s="5" t="e">
        <f>G348+$J$333</f>
        <v>#DIV/0!</v>
      </c>
    </row>
    <row r="349" spans="1:11" x14ac:dyDescent="0.35">
      <c r="A349" s="9" t="s">
        <v>11</v>
      </c>
      <c r="B349" s="31">
        <v>45083</v>
      </c>
      <c r="C349" s="10" t="s">
        <v>12</v>
      </c>
      <c r="F349" s="32" t="s">
        <v>300</v>
      </c>
    </row>
    <row r="350" spans="1:11" x14ac:dyDescent="0.35">
      <c r="A350" s="9" t="s">
        <v>11</v>
      </c>
      <c r="B350" s="31">
        <v>45083</v>
      </c>
      <c r="C350" s="10" t="s">
        <v>12</v>
      </c>
      <c r="F350" s="32" t="s">
        <v>301</v>
      </c>
    </row>
    <row r="351" spans="1:11" x14ac:dyDescent="0.35">
      <c r="A351" s="9" t="s">
        <v>11</v>
      </c>
      <c r="B351" s="31">
        <v>45083</v>
      </c>
      <c r="C351" s="10" t="s">
        <v>12</v>
      </c>
      <c r="F351" s="32" t="s">
        <v>302</v>
      </c>
      <c r="G351" s="13" t="e">
        <f>AVERAGE(E352:E353)</f>
        <v>#DIV/0!</v>
      </c>
      <c r="H351" s="18" t="e">
        <f>STDEV(E352:E353)</f>
        <v>#DIV/0!</v>
      </c>
      <c r="K351" s="5" t="e">
        <f>G351+$J$333</f>
        <v>#DIV/0!</v>
      </c>
    </row>
    <row r="352" spans="1:11" x14ac:dyDescent="0.35">
      <c r="A352" s="9" t="s">
        <v>11</v>
      </c>
      <c r="B352" s="31">
        <v>45083</v>
      </c>
      <c r="C352" s="10" t="s">
        <v>12</v>
      </c>
      <c r="F352" s="32" t="s">
        <v>303</v>
      </c>
    </row>
    <row r="353" spans="1:11" x14ac:dyDescent="0.35">
      <c r="A353" s="9" t="s">
        <v>11</v>
      </c>
      <c r="B353" s="31">
        <v>45083</v>
      </c>
      <c r="C353" s="10" t="s">
        <v>12</v>
      </c>
      <c r="F353" s="32" t="s">
        <v>304</v>
      </c>
    </row>
    <row r="354" spans="1:11" x14ac:dyDescent="0.35">
      <c r="A354" s="9" t="s">
        <v>11</v>
      </c>
      <c r="B354" s="31">
        <v>45083</v>
      </c>
      <c r="C354" s="10" t="s">
        <v>12</v>
      </c>
      <c r="F354" s="32" t="s">
        <v>305</v>
      </c>
      <c r="G354" s="13" t="e">
        <f>AVERAGE(E355:E356)</f>
        <v>#DIV/0!</v>
      </c>
      <c r="H354" s="18" t="e">
        <f>STDEV(E355:E356)</f>
        <v>#DIV/0!</v>
      </c>
      <c r="K354" s="5" t="e">
        <f>G354+$J$333</f>
        <v>#DIV/0!</v>
      </c>
    </row>
    <row r="355" spans="1:11" x14ac:dyDescent="0.35">
      <c r="A355" s="9" t="s">
        <v>11</v>
      </c>
      <c r="B355" s="31">
        <v>45083</v>
      </c>
      <c r="C355" s="10" t="s">
        <v>12</v>
      </c>
      <c r="F355" s="32" t="s">
        <v>306</v>
      </c>
    </row>
    <row r="356" spans="1:11" x14ac:dyDescent="0.35">
      <c r="A356" s="9" t="s">
        <v>11</v>
      </c>
      <c r="B356" s="31">
        <v>45083</v>
      </c>
      <c r="C356" s="10" t="s">
        <v>12</v>
      </c>
      <c r="F356" s="32" t="s">
        <v>307</v>
      </c>
    </row>
    <row r="357" spans="1:11" x14ac:dyDescent="0.35">
      <c r="A357" s="9" t="s">
        <v>11</v>
      </c>
      <c r="B357" s="31">
        <v>45083</v>
      </c>
      <c r="C357" s="10" t="s">
        <v>12</v>
      </c>
      <c r="F357" s="32" t="s">
        <v>308</v>
      </c>
      <c r="G357" s="13" t="e">
        <f>AVERAGE(E358:E359)</f>
        <v>#DIV/0!</v>
      </c>
      <c r="H357" s="18" t="e">
        <f>STDEV(E358:E359)</f>
        <v>#DIV/0!</v>
      </c>
      <c r="K357" s="5" t="e">
        <f>G357+$J$333</f>
        <v>#DIV/0!</v>
      </c>
    </row>
    <row r="358" spans="1:11" x14ac:dyDescent="0.35">
      <c r="A358" s="9" t="s">
        <v>11</v>
      </c>
      <c r="B358" s="31">
        <v>45083</v>
      </c>
      <c r="C358" s="10" t="s">
        <v>12</v>
      </c>
      <c r="F358" s="32" t="s">
        <v>309</v>
      </c>
    </row>
    <row r="359" spans="1:11" x14ac:dyDescent="0.35">
      <c r="A359" s="9" t="s">
        <v>11</v>
      </c>
      <c r="B359" s="31">
        <v>45083</v>
      </c>
      <c r="C359" s="10" t="s">
        <v>12</v>
      </c>
      <c r="F359" s="32" t="s">
        <v>310</v>
      </c>
    </row>
    <row r="360" spans="1:11" x14ac:dyDescent="0.35">
      <c r="A360" s="9" t="s">
        <v>11</v>
      </c>
      <c r="B360" s="31">
        <v>45083</v>
      </c>
      <c r="C360" s="10" t="s">
        <v>12</v>
      </c>
      <c r="F360" s="32" t="s">
        <v>311</v>
      </c>
      <c r="G360" s="13" t="e">
        <f>AVERAGE(E361:E362)</f>
        <v>#DIV/0!</v>
      </c>
      <c r="H360" s="18" t="e">
        <f>STDEV(E361:E362)</f>
        <v>#DIV/0!</v>
      </c>
      <c r="K360" s="5" t="e">
        <f>G360+$J$333</f>
        <v>#DIV/0!</v>
      </c>
    </row>
    <row r="361" spans="1:11" x14ac:dyDescent="0.35">
      <c r="A361" s="9" t="s">
        <v>11</v>
      </c>
      <c r="B361" s="31">
        <v>45083</v>
      </c>
      <c r="C361" s="10" t="s">
        <v>12</v>
      </c>
      <c r="F361" s="32" t="s">
        <v>312</v>
      </c>
    </row>
    <row r="362" spans="1:11" x14ac:dyDescent="0.35">
      <c r="A362" s="9" t="s">
        <v>11</v>
      </c>
      <c r="B362" s="31">
        <v>45083</v>
      </c>
      <c r="C362" s="10" t="s">
        <v>12</v>
      </c>
      <c r="F362" s="32" t="s">
        <v>313</v>
      </c>
    </row>
    <row r="363" spans="1:11" x14ac:dyDescent="0.35">
      <c r="A363" s="9" t="s">
        <v>11</v>
      </c>
      <c r="B363" s="31">
        <v>45083</v>
      </c>
      <c r="C363" s="10" t="s">
        <v>12</v>
      </c>
      <c r="F363" s="32" t="s">
        <v>314</v>
      </c>
      <c r="G363" s="13" t="e">
        <f>AVERAGE(E364:E365)</f>
        <v>#DIV/0!</v>
      </c>
      <c r="H363" s="18" t="e">
        <f>STDEV(E364:E365)</f>
        <v>#DIV/0!</v>
      </c>
      <c r="K363" s="5" t="e">
        <f>G363+$J$333</f>
        <v>#DIV/0!</v>
      </c>
    </row>
    <row r="364" spans="1:11" x14ac:dyDescent="0.35">
      <c r="A364" s="9" t="s">
        <v>11</v>
      </c>
      <c r="B364" s="31">
        <v>45083</v>
      </c>
      <c r="C364" s="10" t="s">
        <v>12</v>
      </c>
      <c r="F364" s="32" t="s">
        <v>315</v>
      </c>
    </row>
    <row r="365" spans="1:11" x14ac:dyDescent="0.35">
      <c r="A365" s="9" t="s">
        <v>11</v>
      </c>
      <c r="B365" s="31">
        <v>45083</v>
      </c>
      <c r="C365" s="10" t="s">
        <v>12</v>
      </c>
      <c r="F365" s="32" t="s">
        <v>316</v>
      </c>
    </row>
    <row r="366" spans="1:11" x14ac:dyDescent="0.35">
      <c r="A366" s="9" t="s">
        <v>11</v>
      </c>
      <c r="B366" s="31">
        <v>45083</v>
      </c>
      <c r="C366" s="10" t="s">
        <v>12</v>
      </c>
      <c r="F366" s="32" t="s">
        <v>317</v>
      </c>
      <c r="G366" s="13" t="e">
        <f>AVERAGE(E367:E368)</f>
        <v>#DIV/0!</v>
      </c>
      <c r="H366" s="18" t="e">
        <f>STDEV(E367:E368)</f>
        <v>#DIV/0!</v>
      </c>
      <c r="K366" s="5" t="e">
        <f>G366+$J$333</f>
        <v>#DIV/0!</v>
      </c>
    </row>
    <row r="367" spans="1:11" x14ac:dyDescent="0.35">
      <c r="A367" s="9" t="s">
        <v>11</v>
      </c>
      <c r="B367" s="31">
        <v>45083</v>
      </c>
      <c r="C367" s="10" t="s">
        <v>12</v>
      </c>
      <c r="F367" s="32" t="s">
        <v>318</v>
      </c>
    </row>
    <row r="368" spans="1:11" x14ac:dyDescent="0.35">
      <c r="A368" s="9" t="s">
        <v>11</v>
      </c>
      <c r="B368" s="31">
        <v>45083</v>
      </c>
      <c r="C368" s="10" t="s">
        <v>12</v>
      </c>
      <c r="F368" s="33" t="s">
        <v>319</v>
      </c>
    </row>
    <row r="369" spans="1:11" x14ac:dyDescent="0.35">
      <c r="A369" s="9" t="s">
        <v>11</v>
      </c>
      <c r="B369" s="31">
        <v>45083</v>
      </c>
      <c r="C369" s="10" t="s">
        <v>12</v>
      </c>
      <c r="F369" s="32" t="s">
        <v>320</v>
      </c>
      <c r="G369" s="13" t="e">
        <f>AVERAGE(E370:E371)</f>
        <v>#DIV/0!</v>
      </c>
      <c r="H369" s="18" t="e">
        <f>STDEV(E370:E371)</f>
        <v>#DIV/0!</v>
      </c>
      <c r="K369" s="5" t="e">
        <f>G369+$J$333</f>
        <v>#DIV/0!</v>
      </c>
    </row>
    <row r="370" spans="1:11" x14ac:dyDescent="0.35">
      <c r="A370" s="9" t="s">
        <v>11</v>
      </c>
      <c r="B370" s="31">
        <v>45083</v>
      </c>
      <c r="C370" s="10" t="s">
        <v>12</v>
      </c>
      <c r="F370" s="32" t="s">
        <v>321</v>
      </c>
    </row>
    <row r="371" spans="1:11" x14ac:dyDescent="0.35">
      <c r="A371" s="9" t="s">
        <v>11</v>
      </c>
      <c r="B371" s="31">
        <v>45083</v>
      </c>
      <c r="C371" s="10" t="s">
        <v>12</v>
      </c>
      <c r="F371" s="32" t="s">
        <v>322</v>
      </c>
    </row>
    <row r="372" spans="1:11" x14ac:dyDescent="0.35">
      <c r="A372" s="9" t="s">
        <v>11</v>
      </c>
      <c r="B372" s="31">
        <v>45083</v>
      </c>
      <c r="C372" s="10" t="s">
        <v>12</v>
      </c>
      <c r="F372" s="32" t="s">
        <v>323</v>
      </c>
      <c r="G372" s="13" t="e">
        <f>AVERAGE(E373:E374)</f>
        <v>#DIV/0!</v>
      </c>
      <c r="H372" s="18" t="e">
        <f>STDEV(E373:E374)</f>
        <v>#DIV/0!</v>
      </c>
      <c r="K372" s="5" t="e">
        <f>G372+$J$333</f>
        <v>#DIV/0!</v>
      </c>
    </row>
    <row r="373" spans="1:11" x14ac:dyDescent="0.35">
      <c r="A373" s="9" t="s">
        <v>11</v>
      </c>
      <c r="B373" s="31">
        <v>45083</v>
      </c>
      <c r="C373" s="10" t="s">
        <v>12</v>
      </c>
      <c r="F373" s="32" t="s">
        <v>324</v>
      </c>
    </row>
    <row r="374" spans="1:11" x14ac:dyDescent="0.35">
      <c r="A374" s="9" t="s">
        <v>11</v>
      </c>
      <c r="B374" s="31">
        <v>45083</v>
      </c>
      <c r="C374" s="10" t="s">
        <v>12</v>
      </c>
      <c r="F374" s="32" t="s">
        <v>325</v>
      </c>
    </row>
    <row r="375" spans="1:11" x14ac:dyDescent="0.35">
      <c r="F375" s="32"/>
    </row>
    <row r="376" spans="1:11" x14ac:dyDescent="0.35">
      <c r="C376" s="10" t="s">
        <v>12</v>
      </c>
      <c r="F376" s="32" t="s">
        <v>326</v>
      </c>
      <c r="G376" s="13" t="e">
        <f>AVERAGE(E377:E378)</f>
        <v>#DIV/0!</v>
      </c>
      <c r="H376" s="18" t="e">
        <f>STDEV(E377:E378)</f>
        <v>#DIV/0!</v>
      </c>
      <c r="K376" s="5" t="e">
        <f>G376+$J$333</f>
        <v>#DIV/0!</v>
      </c>
    </row>
    <row r="377" spans="1:11" x14ac:dyDescent="0.35">
      <c r="C377" s="10" t="s">
        <v>12</v>
      </c>
      <c r="F377" s="32" t="s">
        <v>327</v>
      </c>
    </row>
    <row r="378" spans="1:11" x14ac:dyDescent="0.35">
      <c r="C378" s="10" t="s">
        <v>12</v>
      </c>
      <c r="F378" s="32" t="s">
        <v>328</v>
      </c>
    </row>
    <row r="379" spans="1:11" x14ac:dyDescent="0.35">
      <c r="C379" s="10" t="s">
        <v>12</v>
      </c>
      <c r="F379" s="32" t="s">
        <v>329</v>
      </c>
      <c r="G379" s="13" t="e">
        <f>AVERAGE(E380:E381)</f>
        <v>#DIV/0!</v>
      </c>
      <c r="H379" s="18" t="e">
        <f>STDEV(E380:E381)</f>
        <v>#DIV/0!</v>
      </c>
      <c r="K379" s="5" t="e">
        <f>G379+$J$333</f>
        <v>#DIV/0!</v>
      </c>
    </row>
    <row r="380" spans="1:11" x14ac:dyDescent="0.35">
      <c r="C380" s="10" t="s">
        <v>12</v>
      </c>
      <c r="F380" s="32" t="s">
        <v>330</v>
      </c>
    </row>
    <row r="381" spans="1:11" x14ac:dyDescent="0.35">
      <c r="C381" s="10" t="s">
        <v>12</v>
      </c>
      <c r="F381" s="32" t="s">
        <v>331</v>
      </c>
    </row>
    <row r="382" spans="1:11" x14ac:dyDescent="0.35">
      <c r="C382" s="10" t="s">
        <v>12</v>
      </c>
      <c r="F382" s="32" t="s">
        <v>332</v>
      </c>
      <c r="G382" s="13" t="e">
        <f>AVERAGE(E383:E384)</f>
        <v>#DIV/0!</v>
      </c>
      <c r="H382" s="18" t="e">
        <f>STDEV(E383:E384)</f>
        <v>#DIV/0!</v>
      </c>
      <c r="K382" s="5" t="e">
        <f>G382+$J$333</f>
        <v>#DIV/0!</v>
      </c>
    </row>
    <row r="383" spans="1:11" x14ac:dyDescent="0.35">
      <c r="C383" s="10" t="s">
        <v>12</v>
      </c>
      <c r="F383" s="32" t="s">
        <v>333</v>
      </c>
    </row>
    <row r="384" spans="1:11" x14ac:dyDescent="0.35">
      <c r="C384" s="10" t="s">
        <v>12</v>
      </c>
      <c r="F384" s="32" t="s">
        <v>334</v>
      </c>
    </row>
    <row r="385" spans="3:11" x14ac:dyDescent="0.35">
      <c r="C385" s="10" t="s">
        <v>12</v>
      </c>
      <c r="F385" s="32" t="s">
        <v>335</v>
      </c>
      <c r="G385" s="13" t="e">
        <f>AVERAGE(E386:E387)</f>
        <v>#DIV/0!</v>
      </c>
      <c r="H385" s="18" t="e">
        <f>STDEV(E386:E387)</f>
        <v>#DIV/0!</v>
      </c>
      <c r="K385" s="5" t="e">
        <f>G385+$J$333</f>
        <v>#DIV/0!</v>
      </c>
    </row>
    <row r="386" spans="3:11" x14ac:dyDescent="0.35">
      <c r="C386" s="10" t="s">
        <v>12</v>
      </c>
      <c r="F386" s="32" t="s">
        <v>336</v>
      </c>
    </row>
    <row r="387" spans="3:11" x14ac:dyDescent="0.35">
      <c r="C387" s="10" t="s">
        <v>12</v>
      </c>
      <c r="F387" s="32" t="s">
        <v>337</v>
      </c>
    </row>
    <row r="388" spans="3:11" x14ac:dyDescent="0.35">
      <c r="C388" s="10" t="s">
        <v>12</v>
      </c>
      <c r="F388" s="32" t="s">
        <v>338</v>
      </c>
      <c r="G388" s="13" t="e">
        <f>AVERAGE(E389:E390)</f>
        <v>#DIV/0!</v>
      </c>
      <c r="H388" s="18" t="e">
        <f>STDEV(E389:E390)</f>
        <v>#DIV/0!</v>
      </c>
      <c r="K388" s="5" t="e">
        <f>G388+$J$333</f>
        <v>#DIV/0!</v>
      </c>
    </row>
    <row r="389" spans="3:11" x14ac:dyDescent="0.35">
      <c r="C389" s="10" t="s">
        <v>12</v>
      </c>
      <c r="F389" s="32" t="s">
        <v>339</v>
      </c>
    </row>
    <row r="390" spans="3:11" x14ac:dyDescent="0.35">
      <c r="C390" s="10" t="s">
        <v>12</v>
      </c>
      <c r="F390" s="32" t="s">
        <v>340</v>
      </c>
    </row>
    <row r="391" spans="3:11" x14ac:dyDescent="0.35">
      <c r="C391" s="10" t="s">
        <v>12</v>
      </c>
      <c r="F391" s="32" t="s">
        <v>341</v>
      </c>
      <c r="G391" s="13" t="e">
        <f>AVERAGE(E392:E393)</f>
        <v>#DIV/0!</v>
      </c>
      <c r="H391" s="18" t="e">
        <f>STDEV(E392:E393)</f>
        <v>#DIV/0!</v>
      </c>
      <c r="K391" s="5" t="e">
        <f>G391+$J$333</f>
        <v>#DIV/0!</v>
      </c>
    </row>
    <row r="392" spans="3:11" x14ac:dyDescent="0.35">
      <c r="C392" s="10" t="s">
        <v>12</v>
      </c>
      <c r="F392" s="32" t="s">
        <v>342</v>
      </c>
    </row>
    <row r="393" spans="3:11" x14ac:dyDescent="0.35">
      <c r="C393" s="10" t="s">
        <v>12</v>
      </c>
      <c r="F393" s="32" t="s">
        <v>343</v>
      </c>
    </row>
    <row r="394" spans="3:11" x14ac:dyDescent="0.35">
      <c r="C394" s="10" t="s">
        <v>12</v>
      </c>
      <c r="F394" s="32" t="s">
        <v>344</v>
      </c>
      <c r="G394" s="13" t="e">
        <f>AVERAGE(E395:E396)</f>
        <v>#DIV/0!</v>
      </c>
      <c r="H394" s="18" t="e">
        <f>STDEV(E395:E396)</f>
        <v>#DIV/0!</v>
      </c>
      <c r="K394" s="5" t="e">
        <f>G394+$J$333</f>
        <v>#DIV/0!</v>
      </c>
    </row>
    <row r="395" spans="3:11" x14ac:dyDescent="0.35">
      <c r="C395" s="10" t="s">
        <v>12</v>
      </c>
      <c r="F395" s="32" t="s">
        <v>345</v>
      </c>
    </row>
    <row r="396" spans="3:11" x14ac:dyDescent="0.35">
      <c r="C396" s="10" t="s">
        <v>12</v>
      </c>
      <c r="F396" s="32" t="s">
        <v>346</v>
      </c>
    </row>
    <row r="397" spans="3:11" x14ac:dyDescent="0.35">
      <c r="C397" s="10" t="s">
        <v>12</v>
      </c>
      <c r="F397" s="32" t="s">
        <v>347</v>
      </c>
      <c r="G397" s="13" t="e">
        <f>AVERAGE(E398:E399)</f>
        <v>#DIV/0!</v>
      </c>
      <c r="H397" s="18" t="e">
        <f>STDEV(E398:E399)</f>
        <v>#DIV/0!</v>
      </c>
      <c r="K397" s="5" t="e">
        <f>G397+$J$333</f>
        <v>#DIV/0!</v>
      </c>
    </row>
    <row r="398" spans="3:11" x14ac:dyDescent="0.35">
      <c r="C398" s="10" t="s">
        <v>12</v>
      </c>
      <c r="F398" s="32" t="s">
        <v>348</v>
      </c>
    </row>
    <row r="399" spans="3:11" x14ac:dyDescent="0.35">
      <c r="C399" s="10" t="s">
        <v>12</v>
      </c>
      <c r="F399" s="32" t="s">
        <v>349</v>
      </c>
    </row>
    <row r="400" spans="3:11" x14ac:dyDescent="0.35">
      <c r="C400" s="10" t="s">
        <v>12</v>
      </c>
      <c r="F400" s="32" t="s">
        <v>350</v>
      </c>
      <c r="G400" s="13" t="e">
        <f>AVERAGE(E401:E402)</f>
        <v>#DIV/0!</v>
      </c>
      <c r="H400" s="18" t="e">
        <f>STDEV(E401:E402)</f>
        <v>#DIV/0!</v>
      </c>
      <c r="K400" s="5" t="e">
        <f>G400+$J$333</f>
        <v>#DIV/0!</v>
      </c>
    </row>
    <row r="401" spans="3:6" x14ac:dyDescent="0.35">
      <c r="C401" s="10" t="s">
        <v>12</v>
      </c>
      <c r="F401" s="32" t="s">
        <v>351</v>
      </c>
    </row>
    <row r="402" spans="3:6" x14ac:dyDescent="0.35">
      <c r="C402" s="10" t="s">
        <v>12</v>
      </c>
      <c r="F402" s="32" t="s">
        <v>352</v>
      </c>
    </row>
    <row r="403" spans="3:6" x14ac:dyDescent="0.35">
      <c r="C403" s="10"/>
    </row>
    <row r="404" spans="3:6" x14ac:dyDescent="0.35">
      <c r="C404" s="25" t="s">
        <v>12</v>
      </c>
      <c r="F404" s="16" t="s">
        <v>8</v>
      </c>
    </row>
    <row r="405" spans="3:6" x14ac:dyDescent="0.35">
      <c r="C405" s="10" t="s">
        <v>12</v>
      </c>
      <c r="F405" s="16" t="s">
        <v>9</v>
      </c>
    </row>
    <row r="406" spans="3:6" x14ac:dyDescent="0.35">
      <c r="C406" s="10" t="s">
        <v>12</v>
      </c>
      <c r="F406" s="17" t="s">
        <v>96</v>
      </c>
    </row>
    <row r="407" spans="3:6" x14ac:dyDescent="0.35">
      <c r="C407" s="10" t="s">
        <v>12</v>
      </c>
      <c r="F407" s="32" t="s">
        <v>353</v>
      </c>
    </row>
    <row r="408" spans="3:6" x14ac:dyDescent="0.35">
      <c r="C408" s="10" t="s">
        <v>12</v>
      </c>
      <c r="F408" s="32" t="s">
        <v>354</v>
      </c>
    </row>
    <row r="409" spans="3:6" x14ac:dyDescent="0.35">
      <c r="C409" s="10" t="s">
        <v>12</v>
      </c>
      <c r="F409" s="32" t="s">
        <v>355</v>
      </c>
    </row>
    <row r="410" spans="3:6" x14ac:dyDescent="0.35">
      <c r="C410" s="10" t="s">
        <v>12</v>
      </c>
      <c r="F410" s="32" t="s">
        <v>356</v>
      </c>
    </row>
    <row r="411" spans="3:6" x14ac:dyDescent="0.35">
      <c r="C411" s="10" t="s">
        <v>12</v>
      </c>
      <c r="F411" s="32" t="s">
        <v>357</v>
      </c>
    </row>
    <row r="412" spans="3:6" x14ac:dyDescent="0.35">
      <c r="C412" s="10" t="s">
        <v>12</v>
      </c>
      <c r="F412" s="32" t="s">
        <v>358</v>
      </c>
    </row>
    <row r="413" spans="3:6" x14ac:dyDescent="0.35">
      <c r="C413" s="10" t="s">
        <v>12</v>
      </c>
      <c r="F413" s="32" t="s">
        <v>359</v>
      </c>
    </row>
    <row r="414" spans="3:6" x14ac:dyDescent="0.35">
      <c r="C414" s="10" t="s">
        <v>12</v>
      </c>
      <c r="F414" s="32" t="s">
        <v>360</v>
      </c>
    </row>
    <row r="415" spans="3:6" x14ac:dyDescent="0.35">
      <c r="C415" s="10" t="s">
        <v>12</v>
      </c>
      <c r="F415" s="32" t="s">
        <v>361</v>
      </c>
    </row>
    <row r="416" spans="3:6" x14ac:dyDescent="0.35">
      <c r="C416" s="10" t="s">
        <v>12</v>
      </c>
      <c r="F416" s="32" t="s">
        <v>362</v>
      </c>
    </row>
    <row r="417" spans="3:6" x14ac:dyDescent="0.35">
      <c r="C417" s="10" t="s">
        <v>12</v>
      </c>
      <c r="F417" s="32" t="s">
        <v>363</v>
      </c>
    </row>
    <row r="418" spans="3:6" x14ac:dyDescent="0.35">
      <c r="C418" s="10" t="s">
        <v>12</v>
      </c>
      <c r="F418" s="32" t="s">
        <v>364</v>
      </c>
    </row>
    <row r="419" spans="3:6" x14ac:dyDescent="0.35">
      <c r="C419" s="10" t="s">
        <v>12</v>
      </c>
      <c r="F419" s="32" t="s">
        <v>365</v>
      </c>
    </row>
    <row r="420" spans="3:6" x14ac:dyDescent="0.35">
      <c r="C420" s="10" t="s">
        <v>12</v>
      </c>
      <c r="F420" s="32" t="s">
        <v>366</v>
      </c>
    </row>
    <row r="421" spans="3:6" x14ac:dyDescent="0.35">
      <c r="C421" s="10" t="s">
        <v>12</v>
      </c>
      <c r="F421" s="32" t="s">
        <v>367</v>
      </c>
    </row>
    <row r="422" spans="3:6" x14ac:dyDescent="0.35">
      <c r="C422" s="10" t="s">
        <v>12</v>
      </c>
      <c r="F422" s="32" t="s">
        <v>368</v>
      </c>
    </row>
    <row r="423" spans="3:6" x14ac:dyDescent="0.35">
      <c r="C423" s="10" t="s">
        <v>12</v>
      </c>
      <c r="F423" s="32" t="s">
        <v>369</v>
      </c>
    </row>
    <row r="424" spans="3:6" x14ac:dyDescent="0.35">
      <c r="C424" s="10" t="s">
        <v>12</v>
      </c>
      <c r="F424" s="32" t="s">
        <v>370</v>
      </c>
    </row>
    <row r="425" spans="3:6" x14ac:dyDescent="0.35">
      <c r="C425" s="10" t="s">
        <v>12</v>
      </c>
      <c r="F425" s="32" t="s">
        <v>371</v>
      </c>
    </row>
    <row r="426" spans="3:6" x14ac:dyDescent="0.35">
      <c r="C426" s="10" t="s">
        <v>12</v>
      </c>
      <c r="F426" s="32" t="s">
        <v>372</v>
      </c>
    </row>
    <row r="427" spans="3:6" x14ac:dyDescent="0.35">
      <c r="C427" s="10" t="s">
        <v>12</v>
      </c>
      <c r="F427" s="32" t="s">
        <v>373</v>
      </c>
    </row>
    <row r="428" spans="3:6" x14ac:dyDescent="0.35">
      <c r="C428" s="10" t="s">
        <v>12</v>
      </c>
      <c r="F428" s="32" t="s">
        <v>374</v>
      </c>
    </row>
    <row r="429" spans="3:6" x14ac:dyDescent="0.35">
      <c r="C429" s="10" t="s">
        <v>12</v>
      </c>
      <c r="F429" s="32" t="s">
        <v>375</v>
      </c>
    </row>
    <row r="430" spans="3:6" x14ac:dyDescent="0.35">
      <c r="C430" s="10" t="s">
        <v>12</v>
      </c>
      <c r="F430" s="32" t="s">
        <v>376</v>
      </c>
    </row>
    <row r="431" spans="3:6" x14ac:dyDescent="0.35">
      <c r="C431" s="10" t="s">
        <v>12</v>
      </c>
      <c r="F431" s="32" t="s">
        <v>377</v>
      </c>
    </row>
    <row r="432" spans="3:6" x14ac:dyDescent="0.35">
      <c r="C432" s="10" t="s">
        <v>12</v>
      </c>
      <c r="F432" s="32" t="s">
        <v>378</v>
      </c>
    </row>
    <row r="433" spans="3:6" x14ac:dyDescent="0.35">
      <c r="C433" s="10" t="s">
        <v>12</v>
      </c>
      <c r="F433" s="32" t="s">
        <v>379</v>
      </c>
    </row>
    <row r="434" spans="3:6" x14ac:dyDescent="0.35">
      <c r="C434" s="10" t="s">
        <v>12</v>
      </c>
      <c r="F434" s="32" t="s">
        <v>380</v>
      </c>
    </row>
    <row r="435" spans="3:6" x14ac:dyDescent="0.35">
      <c r="C435" s="10" t="s">
        <v>12</v>
      </c>
      <c r="F435" s="32" t="s">
        <v>381</v>
      </c>
    </row>
    <row r="436" spans="3:6" x14ac:dyDescent="0.35">
      <c r="C436" s="10" t="s">
        <v>12</v>
      </c>
      <c r="F436" s="32" t="s">
        <v>382</v>
      </c>
    </row>
    <row r="437" spans="3:6" x14ac:dyDescent="0.35">
      <c r="C437" s="10" t="s">
        <v>12</v>
      </c>
      <c r="F437" s="32" t="s">
        <v>383</v>
      </c>
    </row>
    <row r="438" spans="3:6" x14ac:dyDescent="0.35">
      <c r="C438" s="10" t="s">
        <v>12</v>
      </c>
      <c r="F438" s="33" t="s">
        <v>384</v>
      </c>
    </row>
    <row r="439" spans="3:6" x14ac:dyDescent="0.35">
      <c r="C439" s="10" t="s">
        <v>12</v>
      </c>
      <c r="F439" s="32" t="s">
        <v>385</v>
      </c>
    </row>
    <row r="440" spans="3:6" x14ac:dyDescent="0.35">
      <c r="C440" s="10" t="s">
        <v>12</v>
      </c>
      <c r="F440" s="32" t="s">
        <v>386</v>
      </c>
    </row>
    <row r="441" spans="3:6" x14ac:dyDescent="0.35">
      <c r="C441" s="10" t="s">
        <v>12</v>
      </c>
      <c r="F441" s="32" t="s">
        <v>387</v>
      </c>
    </row>
    <row r="442" spans="3:6" x14ac:dyDescent="0.35">
      <c r="C442" s="10" t="s">
        <v>12</v>
      </c>
      <c r="F442" s="32" t="s">
        <v>388</v>
      </c>
    </row>
    <row r="443" spans="3:6" x14ac:dyDescent="0.35">
      <c r="C443" s="25" t="s">
        <v>12</v>
      </c>
      <c r="F443" s="32" t="s">
        <v>389</v>
      </c>
    </row>
    <row r="444" spans="3:6" x14ac:dyDescent="0.35">
      <c r="C444" s="10" t="s">
        <v>12</v>
      </c>
      <c r="F444" s="32" t="s">
        <v>390</v>
      </c>
    </row>
    <row r="445" spans="3:6" x14ac:dyDescent="0.35">
      <c r="F445" s="32"/>
    </row>
    <row r="446" spans="3:6" x14ac:dyDescent="0.35">
      <c r="C446" s="10" t="s">
        <v>12</v>
      </c>
      <c r="F446" s="16" t="s">
        <v>8</v>
      </c>
    </row>
    <row r="447" spans="3:6" x14ac:dyDescent="0.35">
      <c r="C447" s="10" t="s">
        <v>12</v>
      </c>
      <c r="F447" s="16" t="s">
        <v>9</v>
      </c>
    </row>
    <row r="448" spans="3:6" x14ac:dyDescent="0.35">
      <c r="C448" s="10" t="s">
        <v>12</v>
      </c>
      <c r="F448" s="17" t="s">
        <v>96</v>
      </c>
    </row>
    <row r="449" spans="3:6" x14ac:dyDescent="0.35">
      <c r="C449" s="10" t="s">
        <v>12</v>
      </c>
      <c r="F449" s="32" t="s">
        <v>391</v>
      </c>
    </row>
    <row r="450" spans="3:6" x14ac:dyDescent="0.35">
      <c r="C450" s="10" t="s">
        <v>12</v>
      </c>
      <c r="F450" s="32" t="s">
        <v>392</v>
      </c>
    </row>
    <row r="451" spans="3:6" x14ac:dyDescent="0.35">
      <c r="C451" s="10" t="s">
        <v>12</v>
      </c>
      <c r="F451" s="32" t="s">
        <v>393</v>
      </c>
    </row>
    <row r="452" spans="3:6" x14ac:dyDescent="0.35">
      <c r="C452" s="10" t="s">
        <v>12</v>
      </c>
      <c r="F452" s="32" t="s">
        <v>394</v>
      </c>
    </row>
    <row r="453" spans="3:6" x14ac:dyDescent="0.35">
      <c r="C453" s="10" t="s">
        <v>12</v>
      </c>
      <c r="F453" s="32" t="s">
        <v>395</v>
      </c>
    </row>
    <row r="454" spans="3:6" x14ac:dyDescent="0.35">
      <c r="C454" s="10" t="s">
        <v>12</v>
      </c>
      <c r="F454" s="32" t="s">
        <v>396</v>
      </c>
    </row>
    <row r="455" spans="3:6" x14ac:dyDescent="0.35">
      <c r="C455" s="10" t="s">
        <v>12</v>
      </c>
      <c r="F455" s="32" t="s">
        <v>397</v>
      </c>
    </row>
    <row r="456" spans="3:6" x14ac:dyDescent="0.35">
      <c r="C456" s="10" t="s">
        <v>12</v>
      </c>
      <c r="F456" s="32" t="s">
        <v>398</v>
      </c>
    </row>
    <row r="457" spans="3:6" x14ac:dyDescent="0.35">
      <c r="C457" s="10" t="s">
        <v>12</v>
      </c>
      <c r="F457" s="32" t="s">
        <v>399</v>
      </c>
    </row>
    <row r="458" spans="3:6" x14ac:dyDescent="0.35">
      <c r="C458" s="10" t="s">
        <v>12</v>
      </c>
      <c r="F458" s="32" t="s">
        <v>400</v>
      </c>
    </row>
    <row r="459" spans="3:6" x14ac:dyDescent="0.35">
      <c r="C459" s="10" t="s">
        <v>12</v>
      </c>
      <c r="F459" s="32" t="s">
        <v>401</v>
      </c>
    </row>
    <row r="460" spans="3:6" x14ac:dyDescent="0.35">
      <c r="C460" s="10" t="s">
        <v>12</v>
      </c>
      <c r="F460" s="32" t="s">
        <v>402</v>
      </c>
    </row>
    <row r="461" spans="3:6" x14ac:dyDescent="0.35">
      <c r="C461" s="10" t="s">
        <v>12</v>
      </c>
      <c r="F461" s="32" t="s">
        <v>403</v>
      </c>
    </row>
    <row r="462" spans="3:6" x14ac:dyDescent="0.35">
      <c r="C462" s="10" t="s">
        <v>12</v>
      </c>
      <c r="F462" s="32" t="s">
        <v>404</v>
      </c>
    </row>
    <row r="463" spans="3:6" x14ac:dyDescent="0.35">
      <c r="C463" s="10" t="s">
        <v>12</v>
      </c>
      <c r="F463" s="32" t="s">
        <v>405</v>
      </c>
    </row>
    <row r="464" spans="3:6" x14ac:dyDescent="0.35">
      <c r="C464" s="10" t="s">
        <v>12</v>
      </c>
      <c r="F464" s="32" t="s">
        <v>406</v>
      </c>
    </row>
    <row r="465" spans="3:6" x14ac:dyDescent="0.35">
      <c r="C465" s="10" t="s">
        <v>12</v>
      </c>
      <c r="F465" s="32" t="s">
        <v>407</v>
      </c>
    </row>
    <row r="466" spans="3:6" x14ac:dyDescent="0.35">
      <c r="C466" s="10" t="s">
        <v>12</v>
      </c>
      <c r="F466" s="32" t="s">
        <v>408</v>
      </c>
    </row>
    <row r="467" spans="3:6" x14ac:dyDescent="0.35">
      <c r="C467" s="10" t="s">
        <v>12</v>
      </c>
      <c r="F467" s="32" t="s">
        <v>409</v>
      </c>
    </row>
    <row r="468" spans="3:6" x14ac:dyDescent="0.35">
      <c r="C468" s="10" t="s">
        <v>12</v>
      </c>
      <c r="F468" s="32" t="s">
        <v>410</v>
      </c>
    </row>
    <row r="469" spans="3:6" x14ac:dyDescent="0.35">
      <c r="C469" s="10" t="s">
        <v>12</v>
      </c>
      <c r="F469" s="32" t="s">
        <v>411</v>
      </c>
    </row>
    <row r="470" spans="3:6" x14ac:dyDescent="0.35">
      <c r="C470" s="10" t="s">
        <v>12</v>
      </c>
      <c r="F470" s="32" t="s">
        <v>412</v>
      </c>
    </row>
    <row r="471" spans="3:6" x14ac:dyDescent="0.35">
      <c r="C471" s="10" t="s">
        <v>12</v>
      </c>
      <c r="F471" s="32" t="s">
        <v>413</v>
      </c>
    </row>
    <row r="472" spans="3:6" x14ac:dyDescent="0.35">
      <c r="C472" s="10" t="s">
        <v>12</v>
      </c>
      <c r="F472" s="32" t="s">
        <v>414</v>
      </c>
    </row>
    <row r="473" spans="3:6" x14ac:dyDescent="0.35">
      <c r="C473" s="10" t="s">
        <v>12</v>
      </c>
      <c r="F473" s="32" t="s">
        <v>415</v>
      </c>
    </row>
    <row r="474" spans="3:6" x14ac:dyDescent="0.35">
      <c r="C474" s="10" t="s">
        <v>12</v>
      </c>
      <c r="F474" s="32" t="s">
        <v>416</v>
      </c>
    </row>
    <row r="475" spans="3:6" x14ac:dyDescent="0.35">
      <c r="C475" s="10" t="s">
        <v>12</v>
      </c>
      <c r="F475" s="32" t="s">
        <v>417</v>
      </c>
    </row>
    <row r="476" spans="3:6" x14ac:dyDescent="0.35">
      <c r="C476" s="10"/>
    </row>
    <row r="477" spans="3:6" x14ac:dyDescent="0.35">
      <c r="C477" s="10"/>
    </row>
    <row r="478" spans="3:6" x14ac:dyDescent="0.35">
      <c r="C478" s="10"/>
    </row>
    <row r="479" spans="3:6" x14ac:dyDescent="0.35">
      <c r="C479" s="10"/>
    </row>
    <row r="480" spans="3:6" x14ac:dyDescent="0.35">
      <c r="C480" s="10"/>
    </row>
    <row r="481" spans="3:3" x14ac:dyDescent="0.35">
      <c r="C481" s="10"/>
    </row>
    <row r="482" spans="3:3" x14ac:dyDescent="0.35">
      <c r="C482" s="10"/>
    </row>
    <row r="483" spans="3:3" x14ac:dyDescent="0.35">
      <c r="C483" s="10"/>
    </row>
    <row r="484" spans="3:3" x14ac:dyDescent="0.35">
      <c r="C484" s="10"/>
    </row>
    <row r="486" spans="3:3" x14ac:dyDescent="0.35">
      <c r="C486" s="25"/>
    </row>
    <row r="487" spans="3:3" x14ac:dyDescent="0.35">
      <c r="C487" s="10"/>
    </row>
    <row r="488" spans="3:3" x14ac:dyDescent="0.35">
      <c r="C488" s="10"/>
    </row>
    <row r="489" spans="3:3" x14ac:dyDescent="0.35">
      <c r="C489" s="10"/>
    </row>
    <row r="490" spans="3:3" x14ac:dyDescent="0.35">
      <c r="C490" s="10"/>
    </row>
    <row r="491" spans="3:3" x14ac:dyDescent="0.35">
      <c r="C491" s="10"/>
    </row>
    <row r="492" spans="3:3" x14ac:dyDescent="0.35">
      <c r="C492" s="10"/>
    </row>
    <row r="493" spans="3:3" x14ac:dyDescent="0.35">
      <c r="C493" s="10"/>
    </row>
    <row r="494" spans="3:3" x14ac:dyDescent="0.35">
      <c r="C494" s="10"/>
    </row>
    <row r="495" spans="3:3" x14ac:dyDescent="0.35">
      <c r="C495" s="10"/>
    </row>
    <row r="496" spans="3:3" x14ac:dyDescent="0.35">
      <c r="C496" s="10"/>
    </row>
    <row r="497" spans="3:3" x14ac:dyDescent="0.35">
      <c r="C497" s="10"/>
    </row>
    <row r="498" spans="3:3" x14ac:dyDescent="0.35">
      <c r="C498" s="10"/>
    </row>
    <row r="499" spans="3:3" x14ac:dyDescent="0.35">
      <c r="C499" s="10"/>
    </row>
    <row r="500" spans="3:3" x14ac:dyDescent="0.35">
      <c r="C500" s="10"/>
    </row>
    <row r="501" spans="3:3" x14ac:dyDescent="0.35">
      <c r="C501" s="10"/>
    </row>
    <row r="502" spans="3:3" x14ac:dyDescent="0.35">
      <c r="C502" s="10"/>
    </row>
    <row r="503" spans="3:3" x14ac:dyDescent="0.35">
      <c r="C503" s="10"/>
    </row>
    <row r="504" spans="3:3" x14ac:dyDescent="0.35">
      <c r="C504" s="10"/>
    </row>
    <row r="505" spans="3:3" x14ac:dyDescent="0.35">
      <c r="C505" s="10"/>
    </row>
    <row r="506" spans="3:3" x14ac:dyDescent="0.35">
      <c r="C506" s="10"/>
    </row>
    <row r="507" spans="3:3" x14ac:dyDescent="0.35">
      <c r="C507" s="10"/>
    </row>
    <row r="508" spans="3:3" x14ac:dyDescent="0.35">
      <c r="C508" s="10"/>
    </row>
    <row r="509" spans="3:3" x14ac:dyDescent="0.35">
      <c r="C509" s="10"/>
    </row>
    <row r="510" spans="3:3" x14ac:dyDescent="0.35">
      <c r="C510" s="10"/>
    </row>
    <row r="511" spans="3:3" x14ac:dyDescent="0.35">
      <c r="C511" s="10"/>
    </row>
    <row r="512" spans="3:3" x14ac:dyDescent="0.35">
      <c r="C512" s="10"/>
    </row>
    <row r="513" spans="3:3" x14ac:dyDescent="0.35">
      <c r="C513" s="10"/>
    </row>
    <row r="514" spans="3:3" x14ac:dyDescent="0.35">
      <c r="C514" s="10"/>
    </row>
    <row r="515" spans="3:3" x14ac:dyDescent="0.35">
      <c r="C515" s="10"/>
    </row>
  </sheetData>
  <autoFilter ref="A1:L1"/>
  <phoneticPr fontId="10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Santella-SZN</dc:creator>
  <cp:lastModifiedBy>Alice Mirasole</cp:lastModifiedBy>
  <dcterms:created xsi:type="dcterms:W3CDTF">2023-05-11T07:18:49Z</dcterms:created>
  <dcterms:modified xsi:type="dcterms:W3CDTF">2023-06-06T09:03:06Z</dcterms:modified>
</cp:coreProperties>
</file>