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BE5D2EC4-ABB7-3E48-9F84-B6B0C5F1A0A8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5" i="1" l="1"/>
  <c r="G265" i="1"/>
  <c r="H263" i="1"/>
  <c r="G263" i="1"/>
  <c r="G254" i="1"/>
  <c r="H240" i="1"/>
  <c r="H245" i="1"/>
  <c r="G245" i="1"/>
  <c r="G240" i="1"/>
  <c r="H234" i="1"/>
  <c r="G234" i="1"/>
  <c r="G237" i="1"/>
  <c r="H237" i="1"/>
  <c r="H231" i="1"/>
  <c r="G231" i="1"/>
  <c r="H254" i="1"/>
  <c r="H249" i="1"/>
  <c r="G249" i="1"/>
  <c r="H243" i="1"/>
  <c r="G243" i="1"/>
  <c r="H226" i="1"/>
  <c r="G229" i="1"/>
  <c r="H229" i="1"/>
  <c r="G224" i="1"/>
  <c r="H224" i="1"/>
  <c r="H218" i="1"/>
  <c r="G218" i="1"/>
  <c r="J218" i="1" s="1"/>
  <c r="G226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63" i="1" l="1"/>
  <c r="K265" i="1"/>
  <c r="K245" i="1"/>
  <c r="K240" i="1"/>
  <c r="K243" i="1"/>
  <c r="K249" i="1"/>
  <c r="K254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7" i="1"/>
  <c r="K226" i="1"/>
  <c r="K231" i="1"/>
  <c r="K229" i="1"/>
  <c r="K234" i="1"/>
  <c r="K224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<sst xmlns="http://schemas.openxmlformats.org/spreadsheetml/2006/main" count="884" uniqueCount="238">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</sst>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3"/>
  <sheetViews>
    <sheetView tabSelected="1" zoomScale="90" zoomScaleNormal="73" workbookViewId="0">
      <pane ySplit="1" topLeftCell="A244" activePane="bottomLeft" state="frozen"/>
      <selection pane="bottomLeft" activeCell="E267" sqref="E26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 t="s">
        <v>155</v>
      </c>
      <c r="E221" s="5" t="s">
        <v>155</v>
      </c>
      <c r="F221" s="17" t="s">
        <v>237</v>
      </c>
      <c r="G221" s="5" t="s">
        <v>155</v>
      </c>
      <c r="H221" s="5" t="s">
        <v>155</v>
      </c>
      <c r="K221" s="5" t="s">
        <v>155</v>
      </c>
      <c r="L221" s="1" t="s">
        <v>234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 t="s">
        <v>155</v>
      </c>
      <c r="E222" s="5" t="s">
        <v>155</v>
      </c>
      <c r="F222" s="17" t="s">
        <v>236</v>
      </c>
      <c r="G222" s="1"/>
      <c r="H222" s="1"/>
      <c r="I222" s="1"/>
      <c r="J222" s="1"/>
      <c r="K222" s="1"/>
    </row>
    <row r="223" spans="1:12" x14ac:dyDescent="0.2">
      <c r="A223" s="9" t="s">
        <v>11</v>
      </c>
      <c r="B223" s="31">
        <v>45079</v>
      </c>
      <c r="C223" s="10" t="s">
        <v>12</v>
      </c>
      <c r="D223" s="5" t="s">
        <v>155</v>
      </c>
      <c r="E223" s="5" t="s">
        <v>155</v>
      </c>
      <c r="F223" s="17" t="s">
        <v>235</v>
      </c>
      <c r="G223" s="1"/>
      <c r="H223" s="1"/>
      <c r="I223" s="1"/>
      <c r="J223" s="1"/>
      <c r="K223" s="1"/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50.4</v>
      </c>
      <c r="E224" s="5">
        <v>2568.9899999999998</v>
      </c>
      <c r="F224" s="17" t="s">
        <v>186</v>
      </c>
      <c r="G224" s="13">
        <f>AVERAGE(E224:E225)</f>
        <v>2569.0649999999996</v>
      </c>
      <c r="H224" s="18">
        <f>STDEV(E224:E225)</f>
        <v>0.10606601717804644</v>
      </c>
      <c r="K224" s="5">
        <f>G224+$J$218</f>
        <v>2558.1749999999997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50.8</v>
      </c>
      <c r="E225" s="5">
        <v>2569.14</v>
      </c>
      <c r="F225" s="17" t="s">
        <v>187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48.18</v>
      </c>
      <c r="E226" s="5">
        <v>2573.29</v>
      </c>
      <c r="F226" s="17" t="s">
        <v>188</v>
      </c>
      <c r="G226" s="13">
        <f>AVERAGE(E227:E228)</f>
        <v>2568.3900000000003</v>
      </c>
      <c r="H226" s="18">
        <f>STDEV(E226,E228)</f>
        <v>0.77781745930513801</v>
      </c>
      <c r="K226" s="5">
        <f>G226+$J$218</f>
        <v>2557.5000000000005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50.08</v>
      </c>
      <c r="E227" s="14">
        <v>2564.59</v>
      </c>
      <c r="F227" s="17" t="s">
        <v>189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50.64</v>
      </c>
      <c r="E228" s="5">
        <v>2572.19</v>
      </c>
      <c r="F228" s="17" t="s">
        <v>190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51.27</v>
      </c>
      <c r="E229" s="5">
        <v>2569.29</v>
      </c>
      <c r="F229" s="17" t="s">
        <v>191</v>
      </c>
      <c r="G229" s="13">
        <f>AVERAGE(E229:E230)</f>
        <v>2570.1350000000002</v>
      </c>
      <c r="H229" s="18">
        <f>STDEV(E229:E230)</f>
        <v>1.195010460205304</v>
      </c>
      <c r="K229" s="5">
        <f>G229+$J$218</f>
        <v>2559.2450000000003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49.89</v>
      </c>
      <c r="E230" s="5">
        <v>2570.98</v>
      </c>
      <c r="F230" s="17" t="s">
        <v>192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50.77</v>
      </c>
      <c r="E231" s="14">
        <v>2578.58</v>
      </c>
      <c r="F231" s="17" t="s">
        <v>193</v>
      </c>
      <c r="G231" s="13">
        <f>AVERAGE(E232:E233)</f>
        <v>2563.94</v>
      </c>
      <c r="H231" s="18">
        <f>STDEV(E232:E233)</f>
        <v>2.0081832585698978</v>
      </c>
      <c r="K231" s="5">
        <f>G231+$J$218</f>
        <v>2553.0500000000002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51.5</v>
      </c>
      <c r="E232" s="5">
        <v>2562.52</v>
      </c>
      <c r="F232" s="17" t="s">
        <v>194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50.94</v>
      </c>
      <c r="E233" s="5">
        <v>2565.36</v>
      </c>
      <c r="F233" s="17" t="s">
        <v>195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49.65</v>
      </c>
      <c r="E234" s="5">
        <v>2587.7399999999998</v>
      </c>
      <c r="F234" s="32" t="s">
        <v>196</v>
      </c>
      <c r="G234" s="13">
        <f>AVERAGE(E234,E236)</f>
        <v>2586.5</v>
      </c>
      <c r="H234" s="18">
        <f>STDEV(E234,E236)</f>
        <v>1.7536248173423292</v>
      </c>
      <c r="K234" s="5">
        <f>G234+$J$218</f>
        <v>2575.61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49.82</v>
      </c>
      <c r="E235" s="14">
        <v>2575.98</v>
      </c>
      <c r="F235" s="32" t="s">
        <v>197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49.37</v>
      </c>
      <c r="E236" s="5">
        <v>2585.2600000000002</v>
      </c>
      <c r="F236" s="32" t="s">
        <v>198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50.38</v>
      </c>
      <c r="E237" s="5">
        <v>2571.42</v>
      </c>
      <c r="F237" s="17" t="s">
        <v>199</v>
      </c>
      <c r="G237" s="13">
        <f>AVERAGE(E237:E238)</f>
        <v>2572.7600000000002</v>
      </c>
      <c r="H237" s="18">
        <f>STDEV(E237:E238)</f>
        <v>1.8950461735798316</v>
      </c>
      <c r="K237" s="5">
        <f>G237+$J$218</f>
        <v>2561.8700000000003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48.94</v>
      </c>
      <c r="E238" s="5">
        <v>2574.1</v>
      </c>
      <c r="F238" s="17" t="s">
        <v>200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51.96</v>
      </c>
      <c r="E240" s="14">
        <v>2589.33</v>
      </c>
      <c r="F240" s="17" t="s">
        <v>201</v>
      </c>
      <c r="G240" s="13">
        <f>AVERAGE(E241:E242)</f>
        <v>2607.5250000000001</v>
      </c>
      <c r="H240" s="18">
        <f>STDEV(E241:E242)</f>
        <v>4.9143921292463766</v>
      </c>
      <c r="K240" s="5">
        <f>G240+$J$218</f>
        <v>2596.6350000000002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51.12</v>
      </c>
      <c r="E241" s="5">
        <v>2604.0500000000002</v>
      </c>
      <c r="F241" s="17" t="s">
        <v>202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50.19</v>
      </c>
      <c r="E242" s="5">
        <v>2611</v>
      </c>
      <c r="F242" s="17" t="s">
        <v>203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50.01</v>
      </c>
      <c r="E243" s="22">
        <v>2587.63</v>
      </c>
      <c r="F243" s="17" t="s">
        <v>204</v>
      </c>
      <c r="G243" s="13">
        <f>AVERAGE(E243:E244)</f>
        <v>2585.4450000000002</v>
      </c>
      <c r="H243" s="18">
        <f>STDEV(E243:E244)</f>
        <v>3.0900566337851356</v>
      </c>
      <c r="K243" s="5">
        <f>G243+$J$218</f>
        <v>2574.5550000000003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50.78</v>
      </c>
      <c r="E244" s="5">
        <v>2583.2600000000002</v>
      </c>
      <c r="F244" s="17" t="s">
        <v>205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48.04</v>
      </c>
      <c r="E245" s="14">
        <v>3171.62</v>
      </c>
      <c r="F245" s="17" t="s">
        <v>207</v>
      </c>
      <c r="G245" s="13">
        <f>AVERAGE(E246,E248)</f>
        <v>2583.4250000000002</v>
      </c>
      <c r="H245" s="18">
        <f>STDEV(E244,E246)</f>
        <v>0.16263455967259724</v>
      </c>
      <c r="K245" s="5">
        <f>G245+$J$218</f>
        <v>2572.5350000000003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50.59</v>
      </c>
      <c r="E246" s="5">
        <v>2583.4899999999998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>
        <v>50.55</v>
      </c>
      <c r="E247" s="14">
        <v>2598.48</v>
      </c>
      <c r="F247" s="17" t="s">
        <v>209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>
        <v>49.51</v>
      </c>
      <c r="E248" s="5">
        <v>2583.36</v>
      </c>
      <c r="F248" s="17" t="s">
        <v>219</v>
      </c>
    </row>
    <row r="249" spans="1:12" x14ac:dyDescent="0.2">
      <c r="A249" s="9" t="s">
        <v>11</v>
      </c>
      <c r="B249" s="31">
        <v>45079</v>
      </c>
      <c r="C249" s="10" t="s">
        <v>12</v>
      </c>
      <c r="D249" s="5">
        <v>50.07</v>
      </c>
      <c r="E249" s="5">
        <v>2576</v>
      </c>
      <c r="F249" s="17" t="s">
        <v>210</v>
      </c>
      <c r="G249" s="13">
        <f>AVERAGE(E249:E250)</f>
        <v>2578.415</v>
      </c>
      <c r="H249" s="18">
        <f>STDEV(E249:E250)</f>
        <v>3.4153257531309733</v>
      </c>
      <c r="K249" s="5">
        <f>G249+$J$218</f>
        <v>2567.5250000000001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48.8</v>
      </c>
      <c r="E250" s="5">
        <v>2580.83</v>
      </c>
      <c r="F250" s="17" t="s">
        <v>211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 t="s">
        <v>155</v>
      </c>
      <c r="E251" s="5" t="s">
        <v>155</v>
      </c>
      <c r="F251" s="17" t="s">
        <v>231</v>
      </c>
      <c r="G251" s="5" t="s">
        <v>155</v>
      </c>
      <c r="H251" s="5" t="s">
        <v>155</v>
      </c>
      <c r="K251" s="5" t="s">
        <v>155</v>
      </c>
      <c r="L251" s="1" t="s">
        <v>234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155</v>
      </c>
      <c r="E252" s="5" t="s">
        <v>155</v>
      </c>
      <c r="F252" s="17" t="s">
        <v>232</v>
      </c>
      <c r="G252" s="1"/>
      <c r="H252" s="1"/>
      <c r="I252" s="1"/>
      <c r="J252" s="1"/>
      <c r="K252" s="1"/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155</v>
      </c>
      <c r="E253" s="5" t="s">
        <v>155</v>
      </c>
      <c r="F253" s="17" t="s">
        <v>233</v>
      </c>
      <c r="G253" s="1"/>
      <c r="H253" s="1"/>
      <c r="I253" s="1"/>
      <c r="J253" s="1"/>
      <c r="K253" s="1"/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51.69</v>
      </c>
      <c r="E254" s="5">
        <v>2593.9299999999998</v>
      </c>
      <c r="F254" s="32" t="s">
        <v>213</v>
      </c>
      <c r="G254" s="13">
        <f>AVERAGE(E254:E255)</f>
        <v>2591.4899999999998</v>
      </c>
      <c r="H254" s="18">
        <f>STDEV(E254:E255)</f>
        <v>3.4506810921901074</v>
      </c>
      <c r="K254" s="5">
        <f>G254+$J$218</f>
        <v>2580.6</v>
      </c>
    </row>
    <row r="255" spans="1:12" x14ac:dyDescent="0.2">
      <c r="A255" s="9" t="s">
        <v>11</v>
      </c>
      <c r="B255" s="31">
        <v>45079</v>
      </c>
      <c r="C255" s="10" t="s">
        <v>12</v>
      </c>
      <c r="D255" s="5">
        <v>51.1</v>
      </c>
      <c r="E255" s="5">
        <v>2589.0500000000002</v>
      </c>
      <c r="F255" s="32" t="s">
        <v>214</v>
      </c>
    </row>
    <row r="256" spans="1:12" x14ac:dyDescent="0.2">
      <c r="A256" s="9" t="s">
        <v>11</v>
      </c>
      <c r="B256" s="31">
        <v>45079</v>
      </c>
      <c r="C256" s="10" t="s">
        <v>12</v>
      </c>
      <c r="D256" s="5">
        <v>50.57</v>
      </c>
      <c r="E256" s="5" t="s">
        <v>155</v>
      </c>
      <c r="F256" s="17" t="s">
        <v>216</v>
      </c>
      <c r="G256" s="5" t="s">
        <v>155</v>
      </c>
      <c r="H256" s="5" t="s">
        <v>155</v>
      </c>
      <c r="K256" s="5" t="s">
        <v>155</v>
      </c>
      <c r="L256" s="1" t="s">
        <v>184</v>
      </c>
    </row>
    <row r="257" spans="1:11" x14ac:dyDescent="0.2">
      <c r="A257" s="9" t="s">
        <v>11</v>
      </c>
      <c r="B257" s="31">
        <v>45079</v>
      </c>
      <c r="C257" s="10" t="s">
        <v>12</v>
      </c>
      <c r="D257" s="5">
        <v>50.9</v>
      </c>
      <c r="E257" s="5" t="s">
        <v>155</v>
      </c>
      <c r="F257" s="17" t="s">
        <v>217</v>
      </c>
    </row>
    <row r="258" spans="1:11" x14ac:dyDescent="0.2">
      <c r="A258" s="9" t="s">
        <v>11</v>
      </c>
      <c r="B258" s="31">
        <v>45079</v>
      </c>
      <c r="C258" s="10" t="s">
        <v>12</v>
      </c>
      <c r="D258" s="5">
        <v>50.92</v>
      </c>
      <c r="E258" s="5" t="s">
        <v>155</v>
      </c>
      <c r="F258" s="17" t="s">
        <v>218</v>
      </c>
    </row>
    <row r="259" spans="1:11" x14ac:dyDescent="0.2">
      <c r="E259" s="14"/>
      <c r="F259" s="1"/>
    </row>
    <row r="260" spans="1:11" x14ac:dyDescent="0.2">
      <c r="A260" s="9" t="s">
        <v>11</v>
      </c>
      <c r="B260" s="31">
        <v>45080</v>
      </c>
      <c r="C260" s="25" t="s">
        <v>12</v>
      </c>
      <c r="F260" s="16" t="s">
        <v>8</v>
      </c>
    </row>
    <row r="261" spans="1:11" x14ac:dyDescent="0.2">
      <c r="A261" s="9" t="s">
        <v>11</v>
      </c>
      <c r="B261" s="31">
        <v>45080</v>
      </c>
      <c r="C261" s="10" t="s">
        <v>12</v>
      </c>
      <c r="F261" s="16" t="s">
        <v>9</v>
      </c>
    </row>
    <row r="262" spans="1:11" x14ac:dyDescent="0.2">
      <c r="A262" s="9" t="s">
        <v>11</v>
      </c>
      <c r="B262" s="31">
        <v>45080</v>
      </c>
      <c r="C262" s="10" t="s">
        <v>12</v>
      </c>
      <c r="F262" s="17" t="s">
        <v>98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49.18</v>
      </c>
      <c r="E263" s="5">
        <v>2690.49</v>
      </c>
      <c r="F263" s="32" t="s">
        <v>220</v>
      </c>
      <c r="G263" s="13">
        <f>AVERAGE(E263:E264)</f>
        <v>2690.89</v>
      </c>
      <c r="H263" s="18">
        <f>STDEV(E263:E264)</f>
        <v>0.56568542494936658</v>
      </c>
      <c r="K263" s="5">
        <f>G263+$J$218</f>
        <v>2680</v>
      </c>
    </row>
    <row r="264" spans="1:11" x14ac:dyDescent="0.2">
      <c r="A264" s="9" t="s">
        <v>11</v>
      </c>
      <c r="B264" s="31">
        <v>45079</v>
      </c>
      <c r="C264" s="10" t="s">
        <v>12</v>
      </c>
      <c r="D264" s="5">
        <v>51.14</v>
      </c>
      <c r="E264" s="5">
        <v>2691.29</v>
      </c>
      <c r="F264" s="32" t="s">
        <v>221</v>
      </c>
    </row>
    <row r="265" spans="1:11" x14ac:dyDescent="0.2">
      <c r="A265" s="9" t="s">
        <v>11</v>
      </c>
      <c r="B265" s="31">
        <v>45079</v>
      </c>
      <c r="C265" s="10" t="s">
        <v>12</v>
      </c>
      <c r="D265" s="5">
        <v>50.77</v>
      </c>
      <c r="E265" s="5">
        <v>2851.54</v>
      </c>
      <c r="F265" s="32" t="s">
        <v>222</v>
      </c>
      <c r="G265" s="13">
        <f>AVERAGE(E265:E266)</f>
        <v>2844.71</v>
      </c>
      <c r="H265" s="18">
        <f>STDEV(E265:E266)</f>
        <v>9.6590786310081356</v>
      </c>
      <c r="K265" s="5">
        <f>G265+$J$218</f>
        <v>2833.82</v>
      </c>
    </row>
    <row r="266" spans="1:11" x14ac:dyDescent="0.2">
      <c r="A266" s="9" t="s">
        <v>11</v>
      </c>
      <c r="B266" s="31">
        <v>45079</v>
      </c>
      <c r="C266" s="10" t="s">
        <v>12</v>
      </c>
      <c r="D266" s="5">
        <v>49.14</v>
      </c>
      <c r="E266" s="5">
        <v>2837.88</v>
      </c>
      <c r="F266" s="32" t="s">
        <v>223</v>
      </c>
    </row>
    <row r="267" spans="1:11" x14ac:dyDescent="0.2">
      <c r="A267" s="9" t="s">
        <v>11</v>
      </c>
      <c r="B267" s="31">
        <v>45079</v>
      </c>
      <c r="C267" s="10" t="s">
        <v>12</v>
      </c>
      <c r="D267" s="5">
        <v>49.79</v>
      </c>
      <c r="F267" s="32" t="s">
        <v>224</v>
      </c>
    </row>
    <row r="268" spans="1:11" x14ac:dyDescent="0.2">
      <c r="A268" s="9" t="s">
        <v>11</v>
      </c>
      <c r="B268" s="31">
        <v>45080</v>
      </c>
      <c r="C268" s="10" t="s">
        <v>12</v>
      </c>
      <c r="F268" s="32" t="s">
        <v>225</v>
      </c>
    </row>
    <row r="269" spans="1:11" x14ac:dyDescent="0.2">
      <c r="A269" s="9" t="s">
        <v>11</v>
      </c>
      <c r="B269" s="31">
        <v>45080</v>
      </c>
      <c r="C269" s="10" t="s">
        <v>12</v>
      </c>
      <c r="F269" s="32" t="s">
        <v>226</v>
      </c>
    </row>
    <row r="270" spans="1:11" x14ac:dyDescent="0.2">
      <c r="A270" s="9" t="s">
        <v>11</v>
      </c>
      <c r="B270" s="31">
        <v>45080</v>
      </c>
      <c r="C270" s="10" t="s">
        <v>12</v>
      </c>
      <c r="F270" s="32" t="s">
        <v>227</v>
      </c>
    </row>
    <row r="271" spans="1:11" x14ac:dyDescent="0.2">
      <c r="A271" s="9" t="s">
        <v>11</v>
      </c>
      <c r="B271" s="31">
        <v>45080</v>
      </c>
      <c r="C271" s="10" t="s">
        <v>12</v>
      </c>
      <c r="F271" s="32" t="s">
        <v>228</v>
      </c>
    </row>
    <row r="272" spans="1:11" x14ac:dyDescent="0.2">
      <c r="A272" s="9" t="s">
        <v>11</v>
      </c>
      <c r="B272" s="31">
        <v>45080</v>
      </c>
      <c r="C272" s="10" t="s">
        <v>12</v>
      </c>
      <c r="F272" s="32" t="s">
        <v>229</v>
      </c>
    </row>
    <row r="273" spans="1:6" x14ac:dyDescent="0.2">
      <c r="A273" s="9" t="s">
        <v>11</v>
      </c>
      <c r="B273" s="31">
        <v>45080</v>
      </c>
      <c r="C273" s="10" t="s">
        <v>12</v>
      </c>
      <c r="F273" s="32" t="s">
        <v>230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201</v>
      </c>
    </row>
    <row r="2" spans="1:1" x14ac:dyDescent="0.2">
      <c r="A2" s="17" t="s">
        <v>202</v>
      </c>
    </row>
    <row r="3" spans="1:1" x14ac:dyDescent="0.2">
      <c r="A3" s="17" t="s">
        <v>203</v>
      </c>
    </row>
    <row r="4" spans="1:1" x14ac:dyDescent="0.2">
      <c r="A4" s="17" t="s">
        <v>204</v>
      </c>
    </row>
    <row r="5" spans="1:1" x14ac:dyDescent="0.2">
      <c r="A5" s="17" t="s">
        <v>205</v>
      </c>
    </row>
    <row r="6" spans="1:1" x14ac:dyDescent="0.2">
      <c r="A6" s="17" t="s">
        <v>206</v>
      </c>
    </row>
    <row r="7" spans="1:1" x14ac:dyDescent="0.2">
      <c r="A7" s="17" t="s">
        <v>207</v>
      </c>
    </row>
    <row r="8" spans="1:1" x14ac:dyDescent="0.2">
      <c r="A8" s="17" t="s">
        <v>208</v>
      </c>
    </row>
    <row r="9" spans="1:1" x14ac:dyDescent="0.2">
      <c r="A9" s="17" t="s">
        <v>209</v>
      </c>
    </row>
    <row r="10" spans="1:1" x14ac:dyDescent="0.2">
      <c r="A10" s="17" t="s">
        <v>210</v>
      </c>
    </row>
    <row r="11" spans="1:1" x14ac:dyDescent="0.2">
      <c r="A11" s="17" t="s">
        <v>211</v>
      </c>
    </row>
    <row r="12" spans="1:1" x14ac:dyDescent="0.2">
      <c r="A12" s="17" t="s">
        <v>212</v>
      </c>
    </row>
    <row r="13" spans="1:1" x14ac:dyDescent="0.2">
      <c r="A13" s="32" t="s">
        <v>213</v>
      </c>
    </row>
    <row r="14" spans="1:1" x14ac:dyDescent="0.2">
      <c r="A14" s="32" t="s">
        <v>214</v>
      </c>
    </row>
    <row r="15" spans="1:1" x14ac:dyDescent="0.2">
      <c r="A15" s="32" t="s">
        <v>215</v>
      </c>
    </row>
    <row r="16" spans="1:1" x14ac:dyDescent="0.2">
      <c r="A16" s="17" t="s">
        <v>216</v>
      </c>
    </row>
    <row r="17" spans="1:1" x14ac:dyDescent="0.2">
      <c r="A17" s="17" t="s">
        <v>217</v>
      </c>
    </row>
    <row r="18" spans="1:1" x14ac:dyDescent="0.2">
      <c r="A18" s="17" t="s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2023-06-02T16:05:28Z</dcterms:modified>
</cp:coreProperties>
</file>