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7276D0C3-BC8E-A74B-9859-EC26B11E4310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6" i="1" l="1"/>
  <c r="G316" i="1"/>
  <c r="G319" i="1"/>
  <c r="H319" i="1"/>
  <c r="G310" i="1"/>
  <c r="H310" i="1"/>
  <c r="G307" i="1"/>
  <c r="H307" i="1"/>
  <c r="G304" i="1"/>
  <c r="H304" i="1"/>
  <c r="G301" i="1"/>
  <c r="H301" i="1"/>
  <c r="G298" i="1"/>
  <c r="H298" i="1"/>
  <c r="H295" i="1"/>
  <c r="H330" i="1"/>
  <c r="G330" i="1"/>
  <c r="H327" i="1"/>
  <c r="G327" i="1"/>
  <c r="H324" i="1"/>
  <c r="G324" i="1"/>
  <c r="H322" i="1"/>
  <c r="G322" i="1"/>
  <c r="H313" i="1"/>
  <c r="G313" i="1"/>
  <c r="G295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K301" i="1" l="1"/>
  <c r="K319" i="1"/>
  <c r="K316" i="1"/>
  <c r="K307" i="1"/>
  <c r="K313" i="1"/>
  <c r="K324" i="1"/>
  <c r="K298" i="1"/>
  <c r="K304" i="1"/>
  <c r="K310" i="1"/>
  <c r="J295" i="1"/>
  <c r="K295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330" i="1" l="1"/>
  <c r="K322" i="1"/>
  <c r="K327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<sst xmlns="http://schemas.openxmlformats.org/spreadsheetml/2006/main" count="1339" uniqueCount="422">
  <si>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</si>
  <si>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</si>
  <si>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</si>
  <si>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</si>
  <si>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</si>
  <si>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</si>
  <si>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</si>
  <si>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</si>
  <si>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</si>
  <si>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</si>
  <si>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</si>
  <si>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</si>
  <si>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</si>
  <si>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</si>
  <si>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</si>
  <si>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</si>
  <si>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</si>
  <si>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</si>
  <si>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</si>
  <si>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</si>
  <si>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</si>
  <si>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</si>
  <si>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</si>
  <si>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</si>
  <si>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</si>
  <si>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</si>
  <si>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</si>
  <si>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</si>
  <si>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</si>
  <si>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</si>
  <si>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</si>
  <si>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</si>
  <si>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</si>
  <si>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</si>
  <si>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</si>
  <si>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</si>
  <si>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</si>
  <si>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</si>
  <si>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</si>
  <si>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</si>
  <si>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</si>
  <si>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</si>
  <si>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</si>
  <si>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</si>
  <si>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</si>
  <si>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</si>
  <si>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</si>
  <si>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</si>
  <si>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</si>
  <si>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</si>
  <si>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</si>
  <si>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</si>
  <si>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</si>
  <si>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</si>
  <si>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</si>
  <si>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</si>
  <si>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</si>
  <si>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</si>
  <si>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</si>
  <si>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</si>
  <si>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</si>
  <si>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</si>
  <si>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</si>
  <si>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</si>
  <si>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</si>
  <si>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</si>
  <si>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</si>
  <si>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</si>
  <si>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</si>
  <si>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</si>
  <si>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</si>
  <si>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</si>
  <si>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</si>
  <si>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</si>
  <si>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</si>
  <si>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</si>
  <si>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</si>
  <si>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</si>
  <si>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</si>
  <si>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</si>
  <si>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</si>
  <si>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</si>
  <si>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</si>
  <si>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</si>
  <si>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</si>
  <si>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</si>
  <si>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</si>
  <si>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</si>
  <si>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</si>
  <si>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</si>
  <si>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</si>
  <si>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</si>
  <si>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</si>
  <si>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</si>
  <si>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</si>
  <si>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</si>
  <si>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</si>
  <si>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</si>
  <si>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</si>
  <si>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</si>
  <si>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</si>
  <si>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</si>
  <si>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</si>
  <si>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</si>
  <si>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</si>
  <si>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</si>
  <si>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</si>
  <si>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</si>
  <si>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</si>
  <si>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</si>
  <si>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</si>
  <si>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</si>
  <si>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</si>
  <si>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</si>
  <si>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</si>
  <si>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</si>
  <si>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</si>
  <si>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</si>
  <si>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</si>
  <si>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</si>
  <si>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</si>
  <si>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</si>
  <si>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</si>
  <si>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</si>
  <si>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</si>
  <si>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</si>
  <si>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</si>
  <si>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</si>
  <si>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</si>
  <si>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</si>
  <si>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</si>
  <si>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</si>
  <si>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</si>
  <si>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</si>
  <si>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</si>
  <si>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</si>
  <si>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</si>
  <si>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</si>
  <si>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</si>
  <si>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</si>
  <si>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</si>
  <si>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</si>
  <si>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</si>
  <si>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</si>
  <si>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</si>
  <si>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</si>
  <si>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</si>
  <si>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</si>
  <si>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</si>
  <si>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</si>
  <si>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</si>
  <si>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</si>
  <si>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</si>
  <si>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</si>
  <si>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</si>
  <si>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</si>
  <si>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</si>
  <si>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</si>
  <si>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</si>
  <si>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</si>
  <si>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</si>
  <si>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</si>
  <si>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</si>
  <si>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</si>
  <si>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</si>
  <si>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</si>
  <si>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</si>
  <si>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</si>
  <si>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</si>
  <si>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</si>
  <si>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</si>
  <si>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</si>
  <si>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</si>
  <si>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</si>
  <si>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</si>
  <si>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</si>
  <si>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</si>
  <si>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</si>
  <si>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</si>
  <si>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</si>
  <si>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</si>
  <si>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</si>
  <si>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</si>
  <si>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</si>
  <si>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</si>
  <si>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</si>
  <si>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</si>
  <si>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</si>
  <si>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</si>
  <si>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</si>
  <si>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</si>
  <si>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</si>
  <si>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</si>
  <si>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</si>
  <si>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</si>
  <si>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</si>
  <si>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</si>
  <si>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</si>
  <si>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</si>
  <si>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</si>
  <si>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</si>
  <si>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</si>
  <si>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</si>
  <si>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</si>
  <si>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</si>
  <si>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</si>
  <si>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</si>
  <si>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</si>
  <si>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</si>
  <si>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</si>
  <si>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</si>
  <si>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</si>
  <si>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</si>
  <si>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</si>
  <si>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</si>
  <si>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</si>
  <si>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</si>
  <si>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</si>
  <si>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</si>
  <si>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</si>
  <si>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</si>
  <si>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</si>
  <si>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</si>
  <si>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</si>
  <si>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</si>
  <si>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</si>
  <si>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</si>
  <si>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</si>
  <si>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</si>
  <si>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</si>
  <si>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</si>
  <si>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</si>
  <si>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</si>
  <si>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</si>
  <si>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</si>
  <si>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</si>
  <si>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</si>
  <si>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</si>
  <si>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</si>
  <si>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</si>
  <si>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</si>
  <si>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</si>
  <si>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</si>
  <si>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</si>
  <si>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</si>
  <si>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</si>
  <si>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</si>
  <si>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</si>
  <si>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</si>
  <si>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</si>
  <si>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</si>
  <si>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</si>
  <si>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</si>
  <si>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</si>
  <si>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</si>
  <si>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</si>
  <si>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</si>
  <si>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</si>
  <si>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</si>
  <si>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</si>
  <si>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</si>
  <si>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</si>
  <si>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</si>
  <si>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</si>
  <si>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</si>
  <si>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</si>
  <si>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</si>
  <si>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</si>
  <si>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</si>
  <si>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</si>
  <si>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</si>
  <si>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</si>
  <si>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</si>
  <si>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</si>
  <si>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</si>
  <si>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</si>
  <si>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</si>
  <si>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</si>
  <si>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</si>
  <si>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</si>
  <si>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</si>
  <si>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</si>
  <si>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</si>
  <si>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PI_t8_ELOW_Tile_1c</t>
  </si>
  <si>
    <t>PI_t8_ELOW_Tile_2a</t>
  </si>
  <si>
    <t>PI_t8_ELOW_Tile_2b</t>
  </si>
  <si>
    <t>PI_t8_ELOW_Tile_2c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</si>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</sst>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5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2" fontId="4" fillId="0" borderId="0" xfId="0" applyNumberFormat="1" applyFont="1" applyFill="1" applyBorder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8"/>
  <sheetViews>
    <sheetView tabSelected="1" zoomScale="90" zoomScaleNormal="73" workbookViewId="0">
      <pane ySplit="1" topLeftCell="A297" activePane="bottomLeft" state="frozen"/>
      <selection pane="bottomLeft" activeCell="F327" sqref="F32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420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421</v>
      </c>
    </row>
    <row r="294" spans="1:12" x14ac:dyDescent="0.2">
      <c r="F294" s="32"/>
    </row>
    <row r="295" spans="1:12" x14ac:dyDescent="0.2">
      <c r="A295" s="9" t="s">
        <v>11</v>
      </c>
      <c r="B295" s="31">
        <v>45082</v>
      </c>
      <c r="C295" s="25" t="s">
        <v>12</v>
      </c>
      <c r="D295" s="5">
        <v>50.09</v>
      </c>
      <c r="E295" s="14">
        <v>2229.2600000000002</v>
      </c>
      <c r="F295" s="16" t="s">
        <v>8</v>
      </c>
      <c r="G295" s="13">
        <f>AVERAGE(E296,E297)</f>
        <v>2221.9949999999999</v>
      </c>
      <c r="H295" s="18">
        <f>STDEV(E296,E297)</f>
        <v>1.0111626970966472</v>
      </c>
      <c r="I295" s="3">
        <v>2226.44</v>
      </c>
      <c r="J295" s="4">
        <f>I295-G295</f>
        <v>4.4450000000001637</v>
      </c>
      <c r="K295" s="5">
        <f>G295+J295</f>
        <v>2226.44</v>
      </c>
      <c r="L295" s="2" t="s">
        <v>94</v>
      </c>
    </row>
    <row r="296" spans="1:12" x14ac:dyDescent="0.2">
      <c r="A296" s="9" t="s">
        <v>11</v>
      </c>
      <c r="B296" s="31">
        <v>45082</v>
      </c>
      <c r="C296" s="10" t="s">
        <v>12</v>
      </c>
      <c r="D296" s="5">
        <v>50.52</v>
      </c>
      <c r="E296" s="5">
        <v>2221.2800000000002</v>
      </c>
      <c r="F296" s="16" t="s">
        <v>9</v>
      </c>
    </row>
    <row r="297" spans="1:12" x14ac:dyDescent="0.2">
      <c r="A297" s="9" t="s">
        <v>11</v>
      </c>
      <c r="B297" s="31">
        <v>45082</v>
      </c>
      <c r="C297" s="10" t="s">
        <v>12</v>
      </c>
      <c r="D297" s="5">
        <v>50.23</v>
      </c>
      <c r="E297" s="5">
        <v>2222.71</v>
      </c>
      <c r="F297" s="17" t="s">
        <v>96</v>
      </c>
    </row>
    <row r="298" spans="1:12" x14ac:dyDescent="0.2">
      <c r="A298" s="9" t="s">
        <v>11</v>
      </c>
      <c r="B298" s="31">
        <v>45082</v>
      </c>
      <c r="C298" s="10" t="s">
        <v>12</v>
      </c>
      <c r="D298" s="5">
        <v>50.19</v>
      </c>
      <c r="E298" s="5">
        <v>2675.99</v>
      </c>
      <c r="F298" s="32" t="s">
        <v>253</v>
      </c>
      <c r="G298" s="13">
        <f>AVERAGE(E298,E300)</f>
        <v>2678.7150000000001</v>
      </c>
      <c r="H298" s="18">
        <f>STDEV(E298,E300)</f>
        <v>3.8537319574668771</v>
      </c>
      <c r="K298" s="5">
        <f>G298+$J$295</f>
        <v>2683.1600000000003</v>
      </c>
    </row>
    <row r="299" spans="1:12" x14ac:dyDescent="0.2">
      <c r="A299" s="9" t="s">
        <v>11</v>
      </c>
      <c r="B299" s="31">
        <v>45082</v>
      </c>
      <c r="C299" s="10" t="s">
        <v>12</v>
      </c>
      <c r="D299" s="5">
        <v>49.27</v>
      </c>
      <c r="E299" s="14">
        <v>2689.84</v>
      </c>
      <c r="F299" s="32" t="s">
        <v>254</v>
      </c>
    </row>
    <row r="300" spans="1:12" x14ac:dyDescent="0.2">
      <c r="A300" s="9" t="s">
        <v>11</v>
      </c>
      <c r="B300" s="31">
        <v>45082</v>
      </c>
      <c r="C300" s="10" t="s">
        <v>12</v>
      </c>
      <c r="D300" s="5">
        <v>50.54</v>
      </c>
      <c r="E300" s="5">
        <v>2681.44</v>
      </c>
      <c r="F300" s="32" t="s">
        <v>263</v>
      </c>
    </row>
    <row r="301" spans="1:12" x14ac:dyDescent="0.2">
      <c r="A301" s="9" t="s">
        <v>11</v>
      </c>
      <c r="B301" s="31">
        <v>45082</v>
      </c>
      <c r="C301" s="10" t="s">
        <v>12</v>
      </c>
      <c r="D301" s="5">
        <v>50.97</v>
      </c>
      <c r="E301" s="5">
        <v>2763.97</v>
      </c>
      <c r="F301" s="32" t="s">
        <v>255</v>
      </c>
      <c r="G301" s="13">
        <f>AVERAGE(E301,E303)</f>
        <v>2763.52</v>
      </c>
      <c r="H301" s="18">
        <f>STDEV(E301,E303)</f>
        <v>0.6363961030676355</v>
      </c>
      <c r="K301" s="5">
        <f>G301+$J$295</f>
        <v>2767.9650000000001</v>
      </c>
    </row>
    <row r="302" spans="1:12" x14ac:dyDescent="0.2">
      <c r="A302" s="9" t="s">
        <v>11</v>
      </c>
      <c r="B302" s="31">
        <v>45082</v>
      </c>
      <c r="C302" s="10" t="s">
        <v>12</v>
      </c>
      <c r="D302" s="5">
        <v>51.25</v>
      </c>
      <c r="E302" s="14">
        <v>2775.93</v>
      </c>
      <c r="F302" s="32" t="s">
        <v>256</v>
      </c>
    </row>
    <row r="303" spans="1:12" x14ac:dyDescent="0.2">
      <c r="A303" s="9" t="s">
        <v>11</v>
      </c>
      <c r="B303" s="31">
        <v>45082</v>
      </c>
      <c r="C303" s="10" t="s">
        <v>12</v>
      </c>
      <c r="D303" s="5">
        <v>50.53</v>
      </c>
      <c r="E303" s="5">
        <v>2763.07</v>
      </c>
      <c r="F303" s="32" t="s">
        <v>257</v>
      </c>
    </row>
    <row r="304" spans="1:12" x14ac:dyDescent="0.2">
      <c r="A304" s="9" t="s">
        <v>11</v>
      </c>
      <c r="B304" s="31">
        <v>45082</v>
      </c>
      <c r="C304" s="10" t="s">
        <v>12</v>
      </c>
      <c r="D304" s="5">
        <v>50.84</v>
      </c>
      <c r="E304" s="14">
        <v>2677.87</v>
      </c>
      <c r="F304" s="32" t="s">
        <v>258</v>
      </c>
      <c r="G304" s="13">
        <f>AVERAGE(E305:E306)</f>
        <v>2660.46</v>
      </c>
      <c r="H304" s="18">
        <f>STDEV(E305:E306)</f>
        <v>0.4525483399596219</v>
      </c>
      <c r="K304" s="5">
        <f>G304+$J$295</f>
        <v>2664.9050000000002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51.25</v>
      </c>
      <c r="E305" s="5">
        <v>2660.78</v>
      </c>
      <c r="F305" s="32" t="s">
        <v>259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50.59</v>
      </c>
      <c r="E306" s="5">
        <v>2660.14</v>
      </c>
      <c r="F306" s="32" t="s">
        <v>260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48.28</v>
      </c>
      <c r="E307" s="14">
        <v>2519.1799999999998</v>
      </c>
      <c r="F307" s="32" t="s">
        <v>264</v>
      </c>
      <c r="G307" s="13">
        <f>AVERAGE(E308:E309)</f>
        <v>2502.665</v>
      </c>
      <c r="H307" s="18">
        <f>STDEV(E308:E309)</f>
        <v>0.27577164466298504</v>
      </c>
      <c r="K307" s="5">
        <f>G307+$J$295</f>
        <v>2507.11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50.97</v>
      </c>
      <c r="E308" s="5">
        <v>2502.86</v>
      </c>
      <c r="F308" s="32" t="s">
        <v>265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50.3</v>
      </c>
      <c r="E309" s="5">
        <v>2502.4699999999998</v>
      </c>
      <c r="F309" s="32" t="s">
        <v>266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50.71</v>
      </c>
      <c r="E310" s="14">
        <v>2568.89</v>
      </c>
      <c r="F310" s="32" t="s">
        <v>267</v>
      </c>
      <c r="G310" s="13">
        <f>AVERAGE(E311:E312)</f>
        <v>2556.1350000000002</v>
      </c>
      <c r="H310" s="18">
        <f>STDEV(E311:E312)</f>
        <v>0.91216774773094211</v>
      </c>
      <c r="K310" s="5">
        <f>G310+$J$295</f>
        <v>2560.5800000000004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51.81</v>
      </c>
      <c r="E311" s="5">
        <v>2555.4899999999998</v>
      </c>
      <c r="F311" s="32" t="s">
        <v>268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50</v>
      </c>
      <c r="E312" s="5">
        <v>2556.7800000000002</v>
      </c>
      <c r="F312" s="32" t="s">
        <v>269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48.63</v>
      </c>
      <c r="E313" s="5">
        <v>2560.79</v>
      </c>
      <c r="F313" s="32" t="s">
        <v>270</v>
      </c>
      <c r="G313" s="34">
        <f>AVERAGE(E313:E314)</f>
        <v>2553.3850000000002</v>
      </c>
      <c r="H313" s="34">
        <f>STDEV(E313:E314)</f>
        <v>10.472251429372731</v>
      </c>
      <c r="K313" s="5">
        <f>G313+$J$295</f>
        <v>2557.8300000000004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51.07</v>
      </c>
      <c r="E314" s="5">
        <v>2545.98</v>
      </c>
      <c r="F314" s="32" t="s">
        <v>271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51.47</v>
      </c>
      <c r="E315" s="5">
        <v>2522.4699999999998</v>
      </c>
      <c r="F315" s="32" t="s">
        <v>272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51.27</v>
      </c>
      <c r="E316" s="14">
        <v>2585.0100000000002</v>
      </c>
      <c r="F316" s="32" t="s">
        <v>273</v>
      </c>
      <c r="G316" s="13">
        <f>AVERAGE(E317:E318)</f>
        <v>2604.0349999999999</v>
      </c>
      <c r="H316" s="18">
        <f>STDEV(E317:E318)</f>
        <v>6.3639610306892178E-2</v>
      </c>
      <c r="K316" s="5">
        <f>G316+$J$295</f>
        <v>2608.48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49.07</v>
      </c>
      <c r="E317" s="5">
        <v>2603.9899999999998</v>
      </c>
      <c r="F317" s="32" t="s">
        <v>274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48.74</v>
      </c>
      <c r="E318" s="5">
        <v>2604.08</v>
      </c>
      <c r="F318" s="32" t="s">
        <v>275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50.99</v>
      </c>
      <c r="E319" s="14">
        <v>2658.15</v>
      </c>
      <c r="F319" s="32" t="s">
        <v>276</v>
      </c>
      <c r="G319" s="13">
        <f>AVERAGE(E320:E321)</f>
        <v>2646.86</v>
      </c>
      <c r="H319" s="18">
        <f>STDEV(E320:E321)</f>
        <v>2.3617366491631717</v>
      </c>
      <c r="K319" s="5">
        <f>G319+$J$295</f>
        <v>2651.3050000000003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50.89</v>
      </c>
      <c r="E320" s="5">
        <v>2645.19</v>
      </c>
      <c r="F320" s="32" t="s">
        <v>277</v>
      </c>
    </row>
    <row r="321" spans="1:11" x14ac:dyDescent="0.2">
      <c r="A321" s="9" t="s">
        <v>11</v>
      </c>
      <c r="B321" s="31">
        <v>45082</v>
      </c>
      <c r="C321" s="10" t="s">
        <v>12</v>
      </c>
      <c r="D321" s="5">
        <v>49.61</v>
      </c>
      <c r="E321" s="5">
        <v>2648.53</v>
      </c>
      <c r="F321" s="32" t="s">
        <v>278</v>
      </c>
    </row>
    <row r="322" spans="1:11" x14ac:dyDescent="0.2">
      <c r="A322" s="9" t="s">
        <v>11</v>
      </c>
      <c r="B322" s="31">
        <v>45082</v>
      </c>
      <c r="C322" s="10" t="s">
        <v>12</v>
      </c>
      <c r="D322" s="5">
        <v>48.94</v>
      </c>
      <c r="E322" s="5">
        <v>2615.2199999999998</v>
      </c>
      <c r="F322" s="32" t="s">
        <v>279</v>
      </c>
      <c r="G322" s="13">
        <f>AVERAGE(E322:E323)</f>
        <v>2612.37</v>
      </c>
      <c r="H322" s="18">
        <f>STDEV(E322:E323)</f>
        <v>4.0305086527631921</v>
      </c>
      <c r="K322" s="5">
        <f>G322+$J$295</f>
        <v>2616.8150000000001</v>
      </c>
    </row>
    <row r="323" spans="1:11" x14ac:dyDescent="0.2">
      <c r="A323" s="9" t="s">
        <v>11</v>
      </c>
      <c r="B323" s="31">
        <v>45082</v>
      </c>
      <c r="C323" s="10" t="s">
        <v>12</v>
      </c>
      <c r="D323" s="5">
        <v>50.77</v>
      </c>
      <c r="E323" s="5">
        <v>2609.52</v>
      </c>
      <c r="F323" s="32" t="s">
        <v>280</v>
      </c>
    </row>
    <row r="324" spans="1:11" x14ac:dyDescent="0.2">
      <c r="A324" s="9" t="s">
        <v>11</v>
      </c>
      <c r="B324" s="31">
        <v>45082</v>
      </c>
      <c r="C324" s="10" t="s">
        <v>12</v>
      </c>
      <c r="D324" s="5">
        <v>52.43</v>
      </c>
      <c r="F324" s="32" t="s">
        <v>281</v>
      </c>
      <c r="G324" s="13" t="e">
        <f>AVERAGE(E324:E325)</f>
        <v>#DIV/0!</v>
      </c>
      <c r="H324" s="18" t="e">
        <f>STDEV(E324:E325)</f>
        <v>#DIV/0!</v>
      </c>
      <c r="K324" s="5" t="e">
        <f>G324+$J$295</f>
        <v>#DIV/0!</v>
      </c>
    </row>
    <row r="325" spans="1:11" x14ac:dyDescent="0.2">
      <c r="A325" s="9" t="s">
        <v>11</v>
      </c>
      <c r="B325" s="31">
        <v>45082</v>
      </c>
      <c r="C325" s="10" t="s">
        <v>12</v>
      </c>
      <c r="D325" s="5">
        <v>49.17</v>
      </c>
      <c r="F325" s="32" t="s">
        <v>282</v>
      </c>
    </row>
    <row r="326" spans="1:11" x14ac:dyDescent="0.2">
      <c r="A326" s="9" t="s">
        <v>11</v>
      </c>
      <c r="B326" s="31">
        <v>45082</v>
      </c>
      <c r="C326" s="10" t="s">
        <v>12</v>
      </c>
      <c r="D326" s="5">
        <v>50.06</v>
      </c>
      <c r="F326" s="32" t="s">
        <v>283</v>
      </c>
    </row>
    <row r="327" spans="1:11" x14ac:dyDescent="0.2">
      <c r="A327" s="9" t="s">
        <v>11</v>
      </c>
      <c r="B327" s="31">
        <v>45082</v>
      </c>
      <c r="C327" s="10" t="s">
        <v>12</v>
      </c>
      <c r="F327" s="32" t="s">
        <v>284</v>
      </c>
      <c r="G327" s="13" t="e">
        <f>AVERAGE(E327:E328)</f>
        <v>#DIV/0!</v>
      </c>
      <c r="H327" s="18" t="e">
        <f>STDEV(E327:E328)</f>
        <v>#DIV/0!</v>
      </c>
      <c r="K327" s="5" t="e">
        <f>G327+$J$295</f>
        <v>#DIV/0!</v>
      </c>
    </row>
    <row r="328" spans="1:11" x14ac:dyDescent="0.2">
      <c r="A328" s="9" t="s">
        <v>11</v>
      </c>
      <c r="B328" s="31">
        <v>45082</v>
      </c>
      <c r="C328" s="10" t="s">
        <v>12</v>
      </c>
      <c r="F328" s="32" t="s">
        <v>285</v>
      </c>
    </row>
    <row r="329" spans="1:11" x14ac:dyDescent="0.2">
      <c r="A329" s="9" t="s">
        <v>11</v>
      </c>
      <c r="B329" s="31">
        <v>45082</v>
      </c>
      <c r="C329" s="10" t="s">
        <v>12</v>
      </c>
      <c r="F329" s="32" t="s">
        <v>286</v>
      </c>
    </row>
    <row r="330" spans="1:11" x14ac:dyDescent="0.2">
      <c r="A330" s="9" t="s">
        <v>11</v>
      </c>
      <c r="B330" s="31">
        <v>45082</v>
      </c>
      <c r="C330" s="10" t="s">
        <v>12</v>
      </c>
      <c r="F330" s="32" t="s">
        <v>287</v>
      </c>
      <c r="G330" s="13" t="e">
        <f>AVERAGE(E330:E331)</f>
        <v>#DIV/0!</v>
      </c>
      <c r="H330" s="18" t="e">
        <f>STDEV(E330:E331)</f>
        <v>#DIV/0!</v>
      </c>
      <c r="K330" s="5" t="e">
        <f>G330+$J$295</f>
        <v>#DIV/0!</v>
      </c>
    </row>
    <row r="331" spans="1:11" x14ac:dyDescent="0.2">
      <c r="A331" s="9" t="s">
        <v>11</v>
      </c>
      <c r="B331" s="31">
        <v>45082</v>
      </c>
      <c r="C331" s="10" t="s">
        <v>12</v>
      </c>
      <c r="F331" s="32" t="s">
        <v>288</v>
      </c>
    </row>
    <row r="332" spans="1:11" x14ac:dyDescent="0.2">
      <c r="A332" s="9" t="s">
        <v>11</v>
      </c>
      <c r="B332" s="31">
        <v>45082</v>
      </c>
      <c r="C332" s="10" t="s">
        <v>12</v>
      </c>
      <c r="F332" s="32" t="s">
        <v>289</v>
      </c>
    </row>
    <row r="333" spans="1:11" x14ac:dyDescent="0.2">
      <c r="C333" s="10"/>
    </row>
    <row r="334" spans="1:11" x14ac:dyDescent="0.2">
      <c r="C334" s="25" t="s">
        <v>12</v>
      </c>
      <c r="F334" s="16" t="s">
        <v>8</v>
      </c>
    </row>
    <row r="335" spans="1:11" x14ac:dyDescent="0.2">
      <c r="C335" s="10" t="s">
        <v>12</v>
      </c>
      <c r="F335" s="16" t="s">
        <v>9</v>
      </c>
    </row>
    <row r="336" spans="1:11" x14ac:dyDescent="0.2">
      <c r="C336" s="10" t="s">
        <v>12</v>
      </c>
      <c r="F336" s="17" t="s">
        <v>96</v>
      </c>
    </row>
    <row r="337" spans="3:6" x14ac:dyDescent="0.2">
      <c r="C337" s="10" t="s">
        <v>12</v>
      </c>
      <c r="F337" s="32" t="s">
        <v>290</v>
      </c>
    </row>
    <row r="338" spans="3:6" x14ac:dyDescent="0.2">
      <c r="C338" s="10" t="s">
        <v>12</v>
      </c>
      <c r="F338" s="32" t="s">
        <v>291</v>
      </c>
    </row>
    <row r="339" spans="3:6" x14ac:dyDescent="0.2">
      <c r="C339" s="10" t="s">
        <v>12</v>
      </c>
      <c r="F339" s="32" t="s">
        <v>292</v>
      </c>
    </row>
    <row r="340" spans="3:6" x14ac:dyDescent="0.2">
      <c r="C340" s="10" t="s">
        <v>12</v>
      </c>
      <c r="F340" s="32" t="s">
        <v>293</v>
      </c>
    </row>
    <row r="341" spans="3:6" x14ac:dyDescent="0.2">
      <c r="C341" s="10" t="s">
        <v>12</v>
      </c>
      <c r="F341" s="32" t="s">
        <v>294</v>
      </c>
    </row>
    <row r="342" spans="3:6" x14ac:dyDescent="0.2">
      <c r="C342" s="10" t="s">
        <v>12</v>
      </c>
      <c r="F342" s="32" t="s">
        <v>295</v>
      </c>
    </row>
    <row r="343" spans="3:6" x14ac:dyDescent="0.2">
      <c r="C343" s="10" t="s">
        <v>12</v>
      </c>
      <c r="F343" s="32" t="s">
        <v>296</v>
      </c>
    </row>
    <row r="344" spans="3:6" x14ac:dyDescent="0.2">
      <c r="C344" s="10" t="s">
        <v>12</v>
      </c>
      <c r="F344" s="32" t="s">
        <v>297</v>
      </c>
    </row>
    <row r="345" spans="3:6" x14ac:dyDescent="0.2">
      <c r="C345" s="10" t="s">
        <v>12</v>
      </c>
      <c r="F345" s="32" t="s">
        <v>298</v>
      </c>
    </row>
    <row r="346" spans="3:6" x14ac:dyDescent="0.2">
      <c r="C346" s="10" t="s">
        <v>12</v>
      </c>
      <c r="F346" s="32" t="s">
        <v>299</v>
      </c>
    </row>
    <row r="347" spans="3:6" x14ac:dyDescent="0.2">
      <c r="C347" s="10" t="s">
        <v>12</v>
      </c>
      <c r="F347" s="32" t="s">
        <v>300</v>
      </c>
    </row>
    <row r="348" spans="3:6" x14ac:dyDescent="0.2">
      <c r="C348" s="10" t="s">
        <v>12</v>
      </c>
      <c r="F348" s="32" t="s">
        <v>301</v>
      </c>
    </row>
    <row r="349" spans="3:6" x14ac:dyDescent="0.2">
      <c r="C349" s="10" t="s">
        <v>12</v>
      </c>
      <c r="F349" s="32" t="s">
        <v>302</v>
      </c>
    </row>
    <row r="350" spans="3:6" x14ac:dyDescent="0.2">
      <c r="C350" s="10" t="s">
        <v>12</v>
      </c>
      <c r="F350" s="32" t="s">
        <v>303</v>
      </c>
    </row>
    <row r="351" spans="3:6" x14ac:dyDescent="0.2">
      <c r="C351" s="10" t="s">
        <v>12</v>
      </c>
      <c r="F351" s="32" t="s">
        <v>304</v>
      </c>
    </row>
    <row r="352" spans="3:6" x14ac:dyDescent="0.2">
      <c r="C352" s="10" t="s">
        <v>12</v>
      </c>
      <c r="F352" s="32" t="s">
        <v>305</v>
      </c>
    </row>
    <row r="353" spans="3:6" x14ac:dyDescent="0.2">
      <c r="C353" s="10" t="s">
        <v>12</v>
      </c>
      <c r="F353" s="32" t="s">
        <v>306</v>
      </c>
    </row>
    <row r="354" spans="3:6" x14ac:dyDescent="0.2">
      <c r="C354" s="10" t="s">
        <v>12</v>
      </c>
      <c r="F354" s="32" t="s">
        <v>307</v>
      </c>
    </row>
    <row r="355" spans="3:6" x14ac:dyDescent="0.2">
      <c r="C355" s="10" t="s">
        <v>12</v>
      </c>
      <c r="F355" s="32" t="s">
        <v>308</v>
      </c>
    </row>
    <row r="356" spans="3:6" x14ac:dyDescent="0.2">
      <c r="C356" s="10" t="s">
        <v>12</v>
      </c>
      <c r="F356" s="32" t="s">
        <v>309</v>
      </c>
    </row>
    <row r="357" spans="3:6" x14ac:dyDescent="0.2">
      <c r="C357" s="10" t="s">
        <v>12</v>
      </c>
      <c r="F357" s="32" t="s">
        <v>310</v>
      </c>
    </row>
    <row r="358" spans="3:6" x14ac:dyDescent="0.2">
      <c r="C358" s="10" t="s">
        <v>12</v>
      </c>
      <c r="F358" s="32" t="s">
        <v>311</v>
      </c>
    </row>
    <row r="359" spans="3:6" x14ac:dyDescent="0.2">
      <c r="C359" s="10" t="s">
        <v>12</v>
      </c>
      <c r="F359" s="32" t="s">
        <v>312</v>
      </c>
    </row>
    <row r="360" spans="3:6" x14ac:dyDescent="0.2">
      <c r="C360" s="10" t="s">
        <v>12</v>
      </c>
      <c r="F360" s="32" t="s">
        <v>313</v>
      </c>
    </row>
    <row r="361" spans="3:6" x14ac:dyDescent="0.2">
      <c r="C361" s="10" t="s">
        <v>12</v>
      </c>
      <c r="F361" s="32" t="s">
        <v>314</v>
      </c>
    </row>
    <row r="362" spans="3:6" x14ac:dyDescent="0.2">
      <c r="C362" s="10" t="s">
        <v>12</v>
      </c>
      <c r="F362" s="32" t="s">
        <v>315</v>
      </c>
    </row>
    <row r="363" spans="3:6" x14ac:dyDescent="0.2">
      <c r="C363" s="10" t="s">
        <v>12</v>
      </c>
      <c r="F363" s="32" t="s">
        <v>316</v>
      </c>
    </row>
    <row r="364" spans="3:6" x14ac:dyDescent="0.2">
      <c r="C364" s="10" t="s">
        <v>12</v>
      </c>
      <c r="F364" s="32" t="s">
        <v>317</v>
      </c>
    </row>
    <row r="365" spans="3:6" x14ac:dyDescent="0.2">
      <c r="C365" s="10" t="s">
        <v>12</v>
      </c>
      <c r="F365" s="32" t="s">
        <v>318</v>
      </c>
    </row>
    <row r="366" spans="3:6" x14ac:dyDescent="0.2">
      <c r="C366" s="10" t="s">
        <v>12</v>
      </c>
      <c r="F366" s="32" t="s">
        <v>319</v>
      </c>
    </row>
    <row r="367" spans="3:6" x14ac:dyDescent="0.2">
      <c r="C367" s="10" t="s">
        <v>12</v>
      </c>
      <c r="F367" s="32" t="s">
        <v>320</v>
      </c>
    </row>
    <row r="368" spans="3:6" x14ac:dyDescent="0.2">
      <c r="C368" s="10" t="s">
        <v>12</v>
      </c>
      <c r="F368" s="33" t="s">
        <v>321</v>
      </c>
    </row>
    <row r="369" spans="3:6" x14ac:dyDescent="0.2">
      <c r="C369" s="10" t="s">
        <v>12</v>
      </c>
      <c r="F369" s="32" t="s">
        <v>322</v>
      </c>
    </row>
    <row r="370" spans="3:6" x14ac:dyDescent="0.2">
      <c r="C370" s="10" t="s">
        <v>12</v>
      </c>
      <c r="F370" s="32" t="s">
        <v>323</v>
      </c>
    </row>
    <row r="371" spans="3:6" x14ac:dyDescent="0.2">
      <c r="C371" s="10" t="s">
        <v>12</v>
      </c>
      <c r="F371" s="32" t="s">
        <v>324</v>
      </c>
    </row>
    <row r="372" spans="3:6" x14ac:dyDescent="0.2">
      <c r="C372" s="10" t="s">
        <v>12</v>
      </c>
      <c r="F372" s="32" t="s">
        <v>325</v>
      </c>
    </row>
    <row r="373" spans="3:6" x14ac:dyDescent="0.2">
      <c r="C373" s="10" t="s">
        <v>12</v>
      </c>
      <c r="F373" s="32" t="s">
        <v>326</v>
      </c>
    </row>
    <row r="374" spans="3:6" x14ac:dyDescent="0.2">
      <c r="C374" s="10" t="s">
        <v>12</v>
      </c>
      <c r="F374" s="32" t="s">
        <v>327</v>
      </c>
    </row>
    <row r="375" spans="3:6" x14ac:dyDescent="0.2">
      <c r="F375" s="32"/>
    </row>
    <row r="376" spans="3:6" x14ac:dyDescent="0.2">
      <c r="C376" s="25" t="s">
        <v>12</v>
      </c>
      <c r="F376" s="16" t="s">
        <v>8</v>
      </c>
    </row>
    <row r="377" spans="3:6" x14ac:dyDescent="0.2">
      <c r="C377" s="10" t="s">
        <v>12</v>
      </c>
      <c r="F377" s="16" t="s">
        <v>9</v>
      </c>
    </row>
    <row r="378" spans="3:6" x14ac:dyDescent="0.2">
      <c r="C378" s="10" t="s">
        <v>12</v>
      </c>
      <c r="F378" s="17" t="s">
        <v>96</v>
      </c>
    </row>
    <row r="379" spans="3:6" x14ac:dyDescent="0.2">
      <c r="C379" s="10" t="s">
        <v>12</v>
      </c>
      <c r="F379" s="32" t="s">
        <v>328</v>
      </c>
    </row>
    <row r="380" spans="3:6" x14ac:dyDescent="0.2">
      <c r="C380" s="10" t="s">
        <v>12</v>
      </c>
      <c r="F380" s="32" t="s">
        <v>329</v>
      </c>
    </row>
    <row r="381" spans="3:6" x14ac:dyDescent="0.2">
      <c r="C381" s="10" t="s">
        <v>12</v>
      </c>
      <c r="F381" s="32" t="s">
        <v>330</v>
      </c>
    </row>
    <row r="382" spans="3:6" x14ac:dyDescent="0.2">
      <c r="C382" s="10" t="s">
        <v>12</v>
      </c>
      <c r="F382" s="32" t="s">
        <v>331</v>
      </c>
    </row>
    <row r="383" spans="3:6" x14ac:dyDescent="0.2">
      <c r="C383" s="10" t="s">
        <v>12</v>
      </c>
      <c r="F383" s="32" t="s">
        <v>332</v>
      </c>
    </row>
    <row r="384" spans="3:6" x14ac:dyDescent="0.2">
      <c r="C384" s="10" t="s">
        <v>12</v>
      </c>
      <c r="F384" s="32" t="s">
        <v>333</v>
      </c>
    </row>
    <row r="385" spans="3:6" x14ac:dyDescent="0.2">
      <c r="C385" s="10" t="s">
        <v>12</v>
      </c>
      <c r="F385" s="32" t="s">
        <v>334</v>
      </c>
    </row>
    <row r="386" spans="3:6" x14ac:dyDescent="0.2">
      <c r="C386" s="10" t="s">
        <v>12</v>
      </c>
      <c r="F386" s="32" t="s">
        <v>335</v>
      </c>
    </row>
    <row r="387" spans="3:6" x14ac:dyDescent="0.2">
      <c r="C387" s="10" t="s">
        <v>12</v>
      </c>
      <c r="F387" s="32" t="s">
        <v>336</v>
      </c>
    </row>
    <row r="388" spans="3:6" x14ac:dyDescent="0.2">
      <c r="C388" s="10" t="s">
        <v>12</v>
      </c>
      <c r="F388" s="32" t="s">
        <v>337</v>
      </c>
    </row>
    <row r="389" spans="3:6" x14ac:dyDescent="0.2">
      <c r="C389" s="10" t="s">
        <v>12</v>
      </c>
      <c r="F389" s="32" t="s">
        <v>338</v>
      </c>
    </row>
    <row r="390" spans="3:6" x14ac:dyDescent="0.2">
      <c r="C390" s="10" t="s">
        <v>12</v>
      </c>
      <c r="F390" s="32" t="s">
        <v>339</v>
      </c>
    </row>
    <row r="391" spans="3:6" x14ac:dyDescent="0.2">
      <c r="C391" s="10" t="s">
        <v>12</v>
      </c>
      <c r="F391" s="32" t="s">
        <v>340</v>
      </c>
    </row>
    <row r="392" spans="3:6" x14ac:dyDescent="0.2">
      <c r="C392" s="10" t="s">
        <v>12</v>
      </c>
      <c r="F392" s="32" t="s">
        <v>341</v>
      </c>
    </row>
    <row r="393" spans="3:6" x14ac:dyDescent="0.2">
      <c r="C393" s="10" t="s">
        <v>12</v>
      </c>
      <c r="F393" s="32" t="s">
        <v>342</v>
      </c>
    </row>
    <row r="394" spans="3:6" x14ac:dyDescent="0.2">
      <c r="C394" s="10" t="s">
        <v>12</v>
      </c>
      <c r="F394" s="32" t="s">
        <v>343</v>
      </c>
    </row>
    <row r="395" spans="3:6" x14ac:dyDescent="0.2">
      <c r="C395" s="10" t="s">
        <v>12</v>
      </c>
      <c r="F395" s="32" t="s">
        <v>344</v>
      </c>
    </row>
    <row r="396" spans="3:6" x14ac:dyDescent="0.2">
      <c r="C396" s="10" t="s">
        <v>12</v>
      </c>
      <c r="F396" s="32" t="s">
        <v>345</v>
      </c>
    </row>
    <row r="397" spans="3:6" x14ac:dyDescent="0.2">
      <c r="C397" s="10" t="s">
        <v>12</v>
      </c>
      <c r="F397" s="32" t="s">
        <v>346</v>
      </c>
    </row>
    <row r="398" spans="3:6" x14ac:dyDescent="0.2">
      <c r="C398" s="10" t="s">
        <v>12</v>
      </c>
      <c r="F398" s="32" t="s">
        <v>347</v>
      </c>
    </row>
    <row r="399" spans="3:6" x14ac:dyDescent="0.2">
      <c r="C399" s="10" t="s">
        <v>12</v>
      </c>
      <c r="F399" s="32" t="s">
        <v>348</v>
      </c>
    </row>
    <row r="400" spans="3:6" x14ac:dyDescent="0.2">
      <c r="C400" s="10" t="s">
        <v>12</v>
      </c>
      <c r="F400" s="32" t="s">
        <v>349</v>
      </c>
    </row>
    <row r="401" spans="3:6" x14ac:dyDescent="0.2">
      <c r="C401" s="10" t="s">
        <v>12</v>
      </c>
      <c r="F401" s="32" t="s">
        <v>350</v>
      </c>
    </row>
    <row r="402" spans="3:6" x14ac:dyDescent="0.2">
      <c r="C402" s="10" t="s">
        <v>12</v>
      </c>
      <c r="F402" s="32" t="s">
        <v>351</v>
      </c>
    </row>
    <row r="403" spans="3:6" x14ac:dyDescent="0.2">
      <c r="C403" s="10" t="s">
        <v>12</v>
      </c>
      <c r="F403" s="32" t="s">
        <v>352</v>
      </c>
    </row>
    <row r="404" spans="3:6" x14ac:dyDescent="0.2">
      <c r="C404" s="10" t="s">
        <v>12</v>
      </c>
      <c r="F404" s="32" t="s">
        <v>353</v>
      </c>
    </row>
    <row r="405" spans="3:6" x14ac:dyDescent="0.2">
      <c r="C405" s="10" t="s">
        <v>12</v>
      </c>
      <c r="F405" s="32" t="s">
        <v>354</v>
      </c>
    </row>
    <row r="406" spans="3:6" x14ac:dyDescent="0.2">
      <c r="C406" s="10"/>
    </row>
    <row r="407" spans="3:6" x14ac:dyDescent="0.2">
      <c r="C407" s="25" t="s">
        <v>12</v>
      </c>
      <c r="F407" s="16" t="s">
        <v>8</v>
      </c>
    </row>
    <row r="408" spans="3:6" x14ac:dyDescent="0.2">
      <c r="C408" s="10" t="s">
        <v>12</v>
      </c>
      <c r="F408" s="16" t="s">
        <v>9</v>
      </c>
    </row>
    <row r="409" spans="3:6" x14ac:dyDescent="0.2">
      <c r="C409" s="10" t="s">
        <v>12</v>
      </c>
      <c r="F409" s="17" t="s">
        <v>96</v>
      </c>
    </row>
    <row r="410" spans="3:6" x14ac:dyDescent="0.2">
      <c r="C410" s="10" t="s">
        <v>12</v>
      </c>
      <c r="F410" s="32" t="s">
        <v>355</v>
      </c>
    </row>
    <row r="411" spans="3:6" x14ac:dyDescent="0.2">
      <c r="C411" s="10" t="s">
        <v>12</v>
      </c>
      <c r="F411" s="32" t="s">
        <v>356</v>
      </c>
    </row>
    <row r="412" spans="3:6" x14ac:dyDescent="0.2">
      <c r="C412" s="10" t="s">
        <v>12</v>
      </c>
      <c r="F412" s="32" t="s">
        <v>357</v>
      </c>
    </row>
    <row r="413" spans="3:6" x14ac:dyDescent="0.2">
      <c r="C413" s="10" t="s">
        <v>12</v>
      </c>
      <c r="F413" s="32" t="s">
        <v>358</v>
      </c>
    </row>
    <row r="414" spans="3:6" x14ac:dyDescent="0.2">
      <c r="C414" s="10" t="s">
        <v>12</v>
      </c>
      <c r="F414" s="32" t="s">
        <v>359</v>
      </c>
    </row>
    <row r="415" spans="3:6" x14ac:dyDescent="0.2">
      <c r="C415" s="10" t="s">
        <v>12</v>
      </c>
      <c r="F415" s="32" t="s">
        <v>360</v>
      </c>
    </row>
    <row r="416" spans="3:6" x14ac:dyDescent="0.2">
      <c r="C416" s="10" t="s">
        <v>12</v>
      </c>
      <c r="F416" s="32" t="s">
        <v>361</v>
      </c>
    </row>
    <row r="417" spans="3:6" x14ac:dyDescent="0.2">
      <c r="C417" s="10" t="s">
        <v>12</v>
      </c>
      <c r="F417" s="32" t="s">
        <v>362</v>
      </c>
    </row>
    <row r="418" spans="3:6" x14ac:dyDescent="0.2">
      <c r="C418" s="10" t="s">
        <v>12</v>
      </c>
      <c r="F418" s="32" t="s">
        <v>363</v>
      </c>
    </row>
    <row r="419" spans="3:6" x14ac:dyDescent="0.2">
      <c r="C419" s="10" t="s">
        <v>12</v>
      </c>
      <c r="F419" s="32" t="s">
        <v>364</v>
      </c>
    </row>
    <row r="420" spans="3:6" x14ac:dyDescent="0.2">
      <c r="C420" s="10" t="s">
        <v>12</v>
      </c>
      <c r="F420" s="32" t="s">
        <v>365</v>
      </c>
    </row>
    <row r="421" spans="3:6" x14ac:dyDescent="0.2">
      <c r="C421" s="10" t="s">
        <v>12</v>
      </c>
      <c r="F421" s="32" t="s">
        <v>366</v>
      </c>
    </row>
    <row r="422" spans="3:6" x14ac:dyDescent="0.2">
      <c r="C422" s="10" t="s">
        <v>12</v>
      </c>
      <c r="F422" s="32" t="s">
        <v>367</v>
      </c>
    </row>
    <row r="423" spans="3:6" x14ac:dyDescent="0.2">
      <c r="C423" s="10" t="s">
        <v>12</v>
      </c>
      <c r="F423" s="32" t="s">
        <v>368</v>
      </c>
    </row>
    <row r="424" spans="3:6" x14ac:dyDescent="0.2">
      <c r="C424" s="10" t="s">
        <v>12</v>
      </c>
      <c r="F424" s="32" t="s">
        <v>369</v>
      </c>
    </row>
    <row r="425" spans="3:6" x14ac:dyDescent="0.2">
      <c r="C425" s="10" t="s">
        <v>12</v>
      </c>
      <c r="F425" s="32" t="s">
        <v>370</v>
      </c>
    </row>
    <row r="426" spans="3:6" x14ac:dyDescent="0.2">
      <c r="C426" s="10" t="s">
        <v>12</v>
      </c>
      <c r="F426" s="32" t="s">
        <v>371</v>
      </c>
    </row>
    <row r="427" spans="3:6" x14ac:dyDescent="0.2">
      <c r="C427" s="10" t="s">
        <v>12</v>
      </c>
      <c r="F427" s="32" t="s">
        <v>372</v>
      </c>
    </row>
    <row r="428" spans="3:6" x14ac:dyDescent="0.2">
      <c r="C428" s="10" t="s">
        <v>12</v>
      </c>
      <c r="F428" s="32" t="s">
        <v>373</v>
      </c>
    </row>
    <row r="429" spans="3:6" x14ac:dyDescent="0.2">
      <c r="C429" s="10" t="s">
        <v>12</v>
      </c>
      <c r="F429" s="32" t="s">
        <v>374</v>
      </c>
    </row>
    <row r="430" spans="3:6" x14ac:dyDescent="0.2">
      <c r="C430" s="10" t="s">
        <v>12</v>
      </c>
      <c r="F430" s="32" t="s">
        <v>375</v>
      </c>
    </row>
    <row r="431" spans="3:6" x14ac:dyDescent="0.2">
      <c r="C431" s="10" t="s">
        <v>12</v>
      </c>
      <c r="F431" s="32" t="s">
        <v>376</v>
      </c>
    </row>
    <row r="432" spans="3:6" x14ac:dyDescent="0.2">
      <c r="C432" s="10" t="s">
        <v>12</v>
      </c>
      <c r="F432" s="32" t="s">
        <v>377</v>
      </c>
    </row>
    <row r="433" spans="3:6" x14ac:dyDescent="0.2">
      <c r="C433" s="10" t="s">
        <v>12</v>
      </c>
      <c r="F433" s="32" t="s">
        <v>378</v>
      </c>
    </row>
    <row r="434" spans="3:6" x14ac:dyDescent="0.2">
      <c r="C434" s="10" t="s">
        <v>12</v>
      </c>
      <c r="F434" s="32" t="s">
        <v>379</v>
      </c>
    </row>
    <row r="435" spans="3:6" x14ac:dyDescent="0.2">
      <c r="C435" s="10" t="s">
        <v>12</v>
      </c>
      <c r="F435" s="32" t="s">
        <v>380</v>
      </c>
    </row>
    <row r="436" spans="3:6" x14ac:dyDescent="0.2">
      <c r="C436" s="10" t="s">
        <v>12</v>
      </c>
      <c r="F436" s="32" t="s">
        <v>381</v>
      </c>
    </row>
    <row r="437" spans="3:6" x14ac:dyDescent="0.2">
      <c r="C437" s="10" t="s">
        <v>12</v>
      </c>
      <c r="F437" s="32" t="s">
        <v>382</v>
      </c>
    </row>
    <row r="438" spans="3:6" x14ac:dyDescent="0.2">
      <c r="C438" s="10" t="s">
        <v>12</v>
      </c>
      <c r="F438" s="32" t="s">
        <v>383</v>
      </c>
    </row>
    <row r="439" spans="3:6" x14ac:dyDescent="0.2">
      <c r="C439" s="10" t="s">
        <v>12</v>
      </c>
      <c r="F439" s="32" t="s">
        <v>384</v>
      </c>
    </row>
    <row r="440" spans="3:6" x14ac:dyDescent="0.2">
      <c r="C440" s="10" t="s">
        <v>12</v>
      </c>
      <c r="F440" s="32" t="s">
        <v>385</v>
      </c>
    </row>
    <row r="441" spans="3:6" x14ac:dyDescent="0.2">
      <c r="C441" s="10" t="s">
        <v>12</v>
      </c>
      <c r="F441" s="33" t="s">
        <v>386</v>
      </c>
    </row>
    <row r="442" spans="3:6" x14ac:dyDescent="0.2">
      <c r="C442" s="10" t="s">
        <v>12</v>
      </c>
      <c r="F442" s="32" t="s">
        <v>387</v>
      </c>
    </row>
    <row r="443" spans="3:6" x14ac:dyDescent="0.2">
      <c r="C443" s="10" t="s">
        <v>12</v>
      </c>
      <c r="F443" s="32" t="s">
        <v>388</v>
      </c>
    </row>
    <row r="444" spans="3:6" x14ac:dyDescent="0.2">
      <c r="C444" s="10" t="s">
        <v>12</v>
      </c>
      <c r="F444" s="32" t="s">
        <v>389</v>
      </c>
    </row>
    <row r="445" spans="3:6" x14ac:dyDescent="0.2">
      <c r="C445" s="10" t="s">
        <v>12</v>
      </c>
      <c r="F445" s="32" t="s">
        <v>390</v>
      </c>
    </row>
    <row r="446" spans="3:6" x14ac:dyDescent="0.2">
      <c r="C446" s="25" t="s">
        <v>12</v>
      </c>
      <c r="F446" s="32" t="s">
        <v>391</v>
      </c>
    </row>
    <row r="447" spans="3:6" x14ac:dyDescent="0.2">
      <c r="C447" s="10" t="s">
        <v>12</v>
      </c>
      <c r="F447" s="32" t="s">
        <v>392</v>
      </c>
    </row>
    <row r="448" spans="3:6" x14ac:dyDescent="0.2">
      <c r="F448" s="32"/>
    </row>
    <row r="449" spans="3:6" x14ac:dyDescent="0.2">
      <c r="C449" s="10" t="s">
        <v>12</v>
      </c>
      <c r="F449" s="16" t="s">
        <v>8</v>
      </c>
    </row>
    <row r="450" spans="3:6" x14ac:dyDescent="0.2">
      <c r="C450" s="10" t="s">
        <v>12</v>
      </c>
      <c r="F450" s="16" t="s">
        <v>9</v>
      </c>
    </row>
    <row r="451" spans="3:6" x14ac:dyDescent="0.2">
      <c r="C451" s="10" t="s">
        <v>12</v>
      </c>
      <c r="F451" s="17" t="s">
        <v>96</v>
      </c>
    </row>
    <row r="452" spans="3:6" x14ac:dyDescent="0.2">
      <c r="C452" s="10" t="s">
        <v>12</v>
      </c>
      <c r="F452" s="32" t="s">
        <v>393</v>
      </c>
    </row>
    <row r="453" spans="3:6" x14ac:dyDescent="0.2">
      <c r="C453" s="10" t="s">
        <v>12</v>
      </c>
      <c r="F453" s="32" t="s">
        <v>394</v>
      </c>
    </row>
    <row r="454" spans="3:6" x14ac:dyDescent="0.2">
      <c r="C454" s="10" t="s">
        <v>12</v>
      </c>
      <c r="F454" s="32" t="s">
        <v>395</v>
      </c>
    </row>
    <row r="455" spans="3:6" x14ac:dyDescent="0.2">
      <c r="C455" s="10" t="s">
        <v>12</v>
      </c>
      <c r="F455" s="32" t="s">
        <v>396</v>
      </c>
    </row>
    <row r="456" spans="3:6" x14ac:dyDescent="0.2">
      <c r="C456" s="10" t="s">
        <v>12</v>
      </c>
      <c r="F456" s="32" t="s">
        <v>397</v>
      </c>
    </row>
    <row r="457" spans="3:6" x14ac:dyDescent="0.2">
      <c r="C457" s="10" t="s">
        <v>12</v>
      </c>
      <c r="F457" s="32" t="s">
        <v>398</v>
      </c>
    </row>
    <row r="458" spans="3:6" x14ac:dyDescent="0.2">
      <c r="C458" s="10" t="s">
        <v>12</v>
      </c>
      <c r="F458" s="32" t="s">
        <v>399</v>
      </c>
    </row>
    <row r="459" spans="3:6" x14ac:dyDescent="0.2">
      <c r="C459" s="10" t="s">
        <v>12</v>
      </c>
      <c r="F459" s="32" t="s">
        <v>400</v>
      </c>
    </row>
    <row r="460" spans="3:6" x14ac:dyDescent="0.2">
      <c r="C460" s="10" t="s">
        <v>12</v>
      </c>
      <c r="F460" s="32" t="s">
        <v>401</v>
      </c>
    </row>
    <row r="461" spans="3:6" x14ac:dyDescent="0.2">
      <c r="C461" s="10" t="s">
        <v>12</v>
      </c>
      <c r="F461" s="32" t="s">
        <v>402</v>
      </c>
    </row>
    <row r="462" spans="3:6" x14ac:dyDescent="0.2">
      <c r="C462" s="10" t="s">
        <v>12</v>
      </c>
      <c r="F462" s="32" t="s">
        <v>403</v>
      </c>
    </row>
    <row r="463" spans="3:6" x14ac:dyDescent="0.2">
      <c r="C463" s="10" t="s">
        <v>12</v>
      </c>
      <c r="F463" s="32" t="s">
        <v>404</v>
      </c>
    </row>
    <row r="464" spans="3:6" x14ac:dyDescent="0.2">
      <c r="C464" s="10" t="s">
        <v>12</v>
      </c>
      <c r="F464" s="32" t="s">
        <v>405</v>
      </c>
    </row>
    <row r="465" spans="3:6" x14ac:dyDescent="0.2">
      <c r="C465" s="10" t="s">
        <v>12</v>
      </c>
      <c r="F465" s="32" t="s">
        <v>406</v>
      </c>
    </row>
    <row r="466" spans="3:6" x14ac:dyDescent="0.2">
      <c r="C466" s="10" t="s">
        <v>12</v>
      </c>
      <c r="F466" s="32" t="s">
        <v>407</v>
      </c>
    </row>
    <row r="467" spans="3:6" x14ac:dyDescent="0.2">
      <c r="C467" s="10" t="s">
        <v>12</v>
      </c>
      <c r="F467" s="32" t="s">
        <v>408</v>
      </c>
    </row>
    <row r="468" spans="3:6" x14ac:dyDescent="0.2">
      <c r="C468" s="10" t="s">
        <v>12</v>
      </c>
      <c r="F468" s="32" t="s">
        <v>409</v>
      </c>
    </row>
    <row r="469" spans="3:6" x14ac:dyDescent="0.2">
      <c r="C469" s="10" t="s">
        <v>12</v>
      </c>
      <c r="F469" s="32" t="s">
        <v>410</v>
      </c>
    </row>
    <row r="470" spans="3:6" x14ac:dyDescent="0.2">
      <c r="C470" s="10" t="s">
        <v>12</v>
      </c>
      <c r="F470" s="32" t="s">
        <v>411</v>
      </c>
    </row>
    <row r="471" spans="3:6" x14ac:dyDescent="0.2">
      <c r="C471" s="10" t="s">
        <v>12</v>
      </c>
      <c r="F471" s="32" t="s">
        <v>412</v>
      </c>
    </row>
    <row r="472" spans="3:6" x14ac:dyDescent="0.2">
      <c r="C472" s="10" t="s">
        <v>12</v>
      </c>
      <c r="F472" s="32" t="s">
        <v>413</v>
      </c>
    </row>
    <row r="473" spans="3:6" x14ac:dyDescent="0.2">
      <c r="C473" s="10" t="s">
        <v>12</v>
      </c>
      <c r="F473" s="32" t="s">
        <v>414</v>
      </c>
    </row>
    <row r="474" spans="3:6" x14ac:dyDescent="0.2">
      <c r="C474" s="10" t="s">
        <v>12</v>
      </c>
      <c r="F474" s="32" t="s">
        <v>415</v>
      </c>
    </row>
    <row r="475" spans="3:6" x14ac:dyDescent="0.2">
      <c r="C475" s="10" t="s">
        <v>12</v>
      </c>
      <c r="F475" s="32" t="s">
        <v>416</v>
      </c>
    </row>
    <row r="476" spans="3:6" x14ac:dyDescent="0.2">
      <c r="C476" s="10" t="s">
        <v>12</v>
      </c>
      <c r="F476" s="32" t="s">
        <v>417</v>
      </c>
    </row>
    <row r="477" spans="3:6" x14ac:dyDescent="0.2">
      <c r="C477" s="10" t="s">
        <v>12</v>
      </c>
      <c r="F477" s="32" t="s">
        <v>418</v>
      </c>
    </row>
    <row r="478" spans="3:6" x14ac:dyDescent="0.2">
      <c r="C478" s="10" t="s">
        <v>12</v>
      </c>
      <c r="F478" s="32" t="s">
        <v>419</v>
      </c>
    </row>
    <row r="479" spans="3:6" x14ac:dyDescent="0.2">
      <c r="C479" s="10"/>
    </row>
    <row r="480" spans="3:6" x14ac:dyDescent="0.2">
      <c r="C480" s="10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4" spans="3:3" x14ac:dyDescent="0.2">
      <c r="C484" s="10"/>
    </row>
    <row r="485" spans="3:3" x14ac:dyDescent="0.2">
      <c r="C485" s="10"/>
    </row>
    <row r="486" spans="3:3" x14ac:dyDescent="0.2">
      <c r="C486" s="10"/>
    </row>
    <row r="487" spans="3:3" x14ac:dyDescent="0.2">
      <c r="C487" s="10"/>
    </row>
    <row r="489" spans="3:3" x14ac:dyDescent="0.2">
      <c r="C489" s="25"/>
    </row>
    <row r="490" spans="3:3" x14ac:dyDescent="0.2">
      <c r="C490" s="10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  <row r="510" spans="3:3" x14ac:dyDescent="0.2">
      <c r="C510" s="10"/>
    </row>
    <row r="511" spans="3:3" x14ac:dyDescent="0.2">
      <c r="C511" s="10"/>
    </row>
    <row r="512" spans="3:3" x14ac:dyDescent="0.2">
      <c r="C512" s="10"/>
    </row>
    <row r="513" spans="3:3" x14ac:dyDescent="0.2">
      <c r="C513" s="10"/>
    </row>
    <row r="514" spans="3:3" x14ac:dyDescent="0.2">
      <c r="C514" s="10"/>
    </row>
    <row r="515" spans="3:3" x14ac:dyDescent="0.2">
      <c r="C515" s="10"/>
    </row>
    <row r="516" spans="3:3" x14ac:dyDescent="0.2">
      <c r="C516" s="10"/>
    </row>
    <row r="517" spans="3:3" x14ac:dyDescent="0.2">
      <c r="C517" s="10"/>
    </row>
    <row r="518" spans="3:3" x14ac:dyDescent="0.2">
      <c r="C518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2023-06-05T13:03:39Z</dcterms:modified>
</cp:coreProperties>
</file>