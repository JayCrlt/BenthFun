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9F9120FB-345B-6549-95A6-3C6B6EB30F3B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8" i="1" l="1"/>
  <c r="H608" i="1"/>
  <c r="G605" i="1"/>
  <c r="H605" i="1"/>
  <c r="G602" i="1"/>
  <c r="H602" i="1"/>
  <c r="H594" i="1"/>
  <c r="G594" i="1"/>
  <c r="G597" i="1"/>
  <c r="H597" i="1"/>
  <c r="H591" i="1"/>
  <c r="G591" i="1"/>
  <c r="H586" i="1"/>
  <c r="G586" i="1"/>
  <c r="H611" i="1"/>
  <c r="G611" i="1"/>
  <c r="H600" i="1"/>
  <c r="G600" i="1"/>
  <c r="H589" i="1"/>
  <c r="G589" i="1"/>
  <c r="G575" i="1"/>
  <c r="J575" i="1" s="1"/>
  <c r="K575" i="1" s="1"/>
  <c r="H575" i="1"/>
  <c r="G571" i="1"/>
  <c r="H571" i="1"/>
  <c r="H584" i="1"/>
  <c r="G584" i="1"/>
  <c r="H582" i="1"/>
  <c r="G582" i="1"/>
  <c r="H580" i="1"/>
  <c r="G580" i="1"/>
  <c r="H578" i="1"/>
  <c r="G578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K589" i="1" l="1"/>
  <c r="K602" i="1"/>
  <c r="K608" i="1"/>
  <c r="K586" i="1"/>
  <c r="K597" i="1"/>
  <c r="K594" i="1"/>
  <c r="K600" i="1"/>
  <c r="K605" i="1"/>
  <c r="K591" i="1"/>
  <c r="K611" i="1"/>
  <c r="K584" i="1"/>
  <c r="K582" i="1"/>
  <c r="K580" i="1"/>
  <c r="K578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44" i="1" l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<sst xmlns="http://schemas.openxmlformats.org/spreadsheetml/2006/main" count="1944" uniqueCount="555">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</sst>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2"/>
  <sheetViews>
    <sheetView tabSelected="1" zoomScale="90" zoomScaleNormal="73" workbookViewId="0">
      <pane ySplit="1" topLeftCell="A585" activePane="bottomLeft" state="frozen"/>
      <selection pane="bottomLeft" activeCell="G596" sqref="G596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548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549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550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551</v>
      </c>
    </row>
    <row r="490" spans="1:12" x14ac:dyDescent="0.2">
      <c r="A490" s="9" t="s">
        <v>550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550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550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550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550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550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AVERAGE(E571,E574)</f>
        <v>2700.95</v>
      </c>
      <c r="H571" s="18">
        <f>STDEV(E571,E574)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45097</v>
      </c>
      <c r="C573" s="10" t="s">
        <v>12</v>
      </c>
      <c r="D573" s="5">
        <v>48.88</v>
      </c>
      <c r="E573" s="14">
        <v>2710.48</v>
      </c>
      <c r="F573" s="16" t="s">
        <v>514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48.6</v>
      </c>
      <c r="E574" s="5">
        <v>2700.17</v>
      </c>
      <c r="F574" s="16" t="s">
        <v>552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50.3</v>
      </c>
      <c r="E575" s="14">
        <v>2240.85</v>
      </c>
      <c r="F575" s="16" t="s">
        <v>8</v>
      </c>
      <c r="G575" s="13">
        <f>AVERAGE(E576,E577)</f>
        <v>2235.2750000000001</v>
      </c>
      <c r="H575" s="18">
        <f>STDEV(E576,E577)</f>
        <v>2.7647875144392979</v>
      </c>
      <c r="I575" s="3">
        <v>2226.44</v>
      </c>
      <c r="J575" s="4">
        <f>I575-G575</f>
        <v>-8.8350000000000364</v>
      </c>
      <c r="K575" s="5">
        <f>G575+J575</f>
        <v>2226.44</v>
      </c>
      <c r="L575" s="2" t="s">
        <v>94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51.28</v>
      </c>
      <c r="E576" s="5">
        <v>2233.3200000000002</v>
      </c>
      <c r="F576" s="16" t="s">
        <v>9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50.69</v>
      </c>
      <c r="E577" s="5">
        <v>2237.23</v>
      </c>
      <c r="F577" s="16" t="s">
        <v>96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48.44</v>
      </c>
      <c r="E578" s="5">
        <v>2593.87</v>
      </c>
      <c r="F578" s="16" t="s">
        <v>515</v>
      </c>
      <c r="G578" s="13">
        <f>AVERAGE(E578:E579)</f>
        <v>2595.9299999999998</v>
      </c>
      <c r="H578" s="18">
        <f>STDEV(E578:E579)</f>
        <v>2.9132799384884986</v>
      </c>
      <c r="K578" s="5">
        <f>G578+$J$575</f>
        <v>2587.0949999999998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50.4</v>
      </c>
      <c r="E579" s="5">
        <v>2597.9899999999998</v>
      </c>
      <c r="F579" s="16" t="s">
        <v>516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50.8</v>
      </c>
      <c r="E580" s="5">
        <v>2601.64</v>
      </c>
      <c r="F580" s="16" t="s">
        <v>517</v>
      </c>
      <c r="G580" s="13">
        <f>AVERAGE(E580:E581)</f>
        <v>2599.62</v>
      </c>
      <c r="H580" s="18">
        <f>STDEV(E580:E581)</f>
        <v>2.8567113959936261</v>
      </c>
      <c r="K580" s="5">
        <f>G580+$J$575</f>
        <v>2590.7849999999999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51.91</v>
      </c>
      <c r="E581" s="5">
        <v>2597.6</v>
      </c>
      <c r="F581" s="16" t="s">
        <v>518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51.17</v>
      </c>
      <c r="E582" s="5">
        <v>2555.08</v>
      </c>
      <c r="F582" s="16" t="s">
        <v>519</v>
      </c>
      <c r="G582" s="13">
        <f>AVERAGE(E582:E583)</f>
        <v>2558.5349999999999</v>
      </c>
      <c r="H582" s="18">
        <f>STDEV(E582:E583)</f>
        <v>4.8861078579989403</v>
      </c>
      <c r="K582" s="5">
        <f>G582+$J$575</f>
        <v>2549.6999999999998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51.28</v>
      </c>
      <c r="E583" s="5">
        <v>2561.9899999999998</v>
      </c>
      <c r="F583" s="16" t="s">
        <v>520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51.51</v>
      </c>
      <c r="E584" s="5">
        <v>2684.96</v>
      </c>
      <c r="F584" s="16" t="s">
        <v>521</v>
      </c>
      <c r="G584" s="13">
        <f>AVERAGE(E584:E585)</f>
        <v>2683.2950000000001</v>
      </c>
      <c r="H584" s="18">
        <f>STDEV(E584:E585)</f>
        <v>2.3546655813511519</v>
      </c>
      <c r="K584" s="5">
        <f>G584+$J$575</f>
        <v>2674.46</v>
      </c>
    </row>
    <row r="585" spans="1:11" x14ac:dyDescent="0.2">
      <c r="A585" s="15" t="s">
        <v>11</v>
      </c>
      <c r="B585" s="31">
        <v>45098</v>
      </c>
      <c r="C585" s="10" t="s">
        <v>12</v>
      </c>
      <c r="D585" s="5">
        <v>49.79</v>
      </c>
      <c r="E585" s="5">
        <v>2681.63</v>
      </c>
      <c r="F585" s="16" t="s">
        <v>522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49.98</v>
      </c>
      <c r="E586" s="14">
        <v>2715.04</v>
      </c>
      <c r="F586" s="16" t="s">
        <v>523</v>
      </c>
      <c r="G586" s="13">
        <f>AVERAGE(E587:E588)</f>
        <v>2693.16</v>
      </c>
      <c r="H586" s="18">
        <f>STDEV(E587:E588)</f>
        <v>0.33941125496955571</v>
      </c>
      <c r="K586" s="5">
        <f>G586+$J$575</f>
        <v>2684.3249999999998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50.43</v>
      </c>
      <c r="E587" s="5">
        <v>2692.92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50.15</v>
      </c>
      <c r="E588" s="5">
        <v>2693.4</v>
      </c>
      <c r="F588" s="16" t="s">
        <v>525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50.55</v>
      </c>
      <c r="E589" s="5">
        <v>2686.54</v>
      </c>
      <c r="F589" s="16" t="s">
        <v>526</v>
      </c>
      <c r="G589" s="13">
        <f>AVERAGE(E589:E590)</f>
        <v>2684.17</v>
      </c>
      <c r="H589" s="18">
        <f>STDEV(E589:E590)</f>
        <v>3.3516861428240809</v>
      </c>
      <c r="K589" s="5">
        <f>G589+$J$575</f>
        <v>2675.335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50.75</v>
      </c>
      <c r="E590" s="5">
        <v>2681.8</v>
      </c>
      <c r="F590" s="16" t="s">
        <v>527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49.37</v>
      </c>
      <c r="E591" s="5">
        <v>2538.7600000000002</v>
      </c>
      <c r="F591" s="16" t="s">
        <v>528</v>
      </c>
      <c r="G591" s="13">
        <f>AVERAGE(E591,E593)</f>
        <v>2539.2200000000003</v>
      </c>
      <c r="H591" s="18">
        <f>STDEV(E591,E593)</f>
        <v>0.65053823869135363</v>
      </c>
      <c r="K591" s="5">
        <f>G591+$J$575</f>
        <v>2530.3850000000002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50.21</v>
      </c>
      <c r="E592" s="14">
        <v>2524.25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48.43</v>
      </c>
      <c r="E593" s="5">
        <v>2539.6799999999998</v>
      </c>
      <c r="F593" s="16" t="s">
        <v>530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50.41</v>
      </c>
      <c r="E594" s="14">
        <v>2578.7800000000002</v>
      </c>
      <c r="F594" s="16" t="s">
        <v>531</v>
      </c>
      <c r="G594" s="13">
        <f>AVERAGE(E595:E596)</f>
        <v>2590.33</v>
      </c>
      <c r="H594" s="18">
        <f>STDEV(E595:E596)</f>
        <v>3.0688434303497192</v>
      </c>
      <c r="K594" s="5">
        <f>G594+$J$575</f>
        <v>2581.4949999999999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49.38</v>
      </c>
      <c r="E595" s="5">
        <v>2592.5</v>
      </c>
      <c r="F595" s="16" t="s">
        <v>532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49.42</v>
      </c>
      <c r="E596" s="5">
        <v>2588.16</v>
      </c>
      <c r="F596" s="16" t="s">
        <v>553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51.38</v>
      </c>
      <c r="E597" s="14">
        <v>2545.4299999999998</v>
      </c>
      <c r="F597" s="16" t="s">
        <v>533</v>
      </c>
      <c r="G597" s="13">
        <f>AVERAGE(E598:E599)</f>
        <v>2558.52</v>
      </c>
      <c r="H597" s="18">
        <f>STDEV(E598:E599)</f>
        <v>3.1112698372205521</v>
      </c>
      <c r="K597" s="5">
        <f>G597+$J$575</f>
        <v>2549.6849999999999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51.28</v>
      </c>
      <c r="E598" s="5">
        <v>2560.7199999999998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50.12</v>
      </c>
      <c r="E599" s="5">
        <v>2556.3200000000002</v>
      </c>
      <c r="F599" s="16" t="s">
        <v>535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51.33</v>
      </c>
      <c r="E600" s="5">
        <v>2680.89</v>
      </c>
      <c r="F600" s="16" t="s">
        <v>536</v>
      </c>
      <c r="G600" s="13">
        <f>AVERAGE(E600:E601)</f>
        <v>2678.87</v>
      </c>
      <c r="H600" s="18">
        <f>STDEV(E600:E601)</f>
        <v>2.8567113959936261</v>
      </c>
      <c r="K600" s="5">
        <f>G600+$J$575</f>
        <v>2670.0349999999999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51.22</v>
      </c>
      <c r="E601" s="5">
        <v>2676.85</v>
      </c>
      <c r="F601" s="16" t="s">
        <v>537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53.6</v>
      </c>
      <c r="E602" s="14">
        <v>2626.42</v>
      </c>
      <c r="F602" s="16" t="s">
        <v>538</v>
      </c>
      <c r="G602" s="13">
        <f>AVERAGE(E603:E604)</f>
        <v>2616.3000000000002</v>
      </c>
      <c r="H602" s="18">
        <f>STDEV(E603:E604)</f>
        <v>3.8466608896548569</v>
      </c>
      <c r="K602" s="5">
        <f>G602+$J$575</f>
        <v>2607.4650000000001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51.26</v>
      </c>
      <c r="E603" s="5">
        <v>2613.58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50.69</v>
      </c>
      <c r="E604" s="5">
        <v>2619.02</v>
      </c>
      <c r="F604" s="16" t="s">
        <v>540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53.95</v>
      </c>
      <c r="E605" s="5">
        <v>2543.17</v>
      </c>
      <c r="F605" s="16" t="s">
        <v>541</v>
      </c>
      <c r="G605" s="13">
        <f>AVERAGE(E605,E607)</f>
        <v>2545.9499999999998</v>
      </c>
      <c r="H605" s="18">
        <f>STDEV(E605,E607)</f>
        <v>3.9315137033971657</v>
      </c>
      <c r="K605" s="5">
        <f>G605+$J$575</f>
        <v>2537.1149999999998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51</v>
      </c>
      <c r="E606" s="14">
        <v>2532.25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50.84</v>
      </c>
      <c r="E607" s="5">
        <v>2548.73</v>
      </c>
      <c r="F607" s="16" t="s">
        <v>543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50.39</v>
      </c>
      <c r="E608" s="14">
        <v>2552.04</v>
      </c>
      <c r="F608" s="16" t="s">
        <v>544</v>
      </c>
      <c r="G608" s="13">
        <f>AVERAGE(E609:E610)</f>
        <v>2595.13</v>
      </c>
      <c r="H608" s="18">
        <f>STDEV(E609:E610)</f>
        <v>2.3475945135394536</v>
      </c>
      <c r="K608" s="5">
        <f>G608+$J$575</f>
        <v>2586.2950000000001</v>
      </c>
    </row>
    <row r="609" spans="1:11" x14ac:dyDescent="0.2">
      <c r="A609" s="15" t="s">
        <v>11</v>
      </c>
      <c r="B609" s="31">
        <v>45099</v>
      </c>
      <c r="C609" s="10" t="s">
        <v>12</v>
      </c>
      <c r="D609" s="5">
        <v>49.68</v>
      </c>
      <c r="E609" s="5">
        <v>2593.4699999999998</v>
      </c>
      <c r="F609" s="16" t="s">
        <v>545</v>
      </c>
    </row>
    <row r="610" spans="1:11" x14ac:dyDescent="0.2">
      <c r="A610" s="15" t="s">
        <v>11</v>
      </c>
      <c r="B610" s="31">
        <v>45099</v>
      </c>
      <c r="C610" s="10" t="s">
        <v>12</v>
      </c>
      <c r="D610" s="5">
        <v>50.42</v>
      </c>
      <c r="E610" s="5">
        <v>2596.79</v>
      </c>
      <c r="F610" s="16" t="s">
        <v>554</v>
      </c>
    </row>
    <row r="611" spans="1:11" x14ac:dyDescent="0.2">
      <c r="A611" s="15" t="s">
        <v>11</v>
      </c>
      <c r="B611" s="31">
        <v>45099</v>
      </c>
      <c r="C611" s="10" t="s">
        <v>12</v>
      </c>
      <c r="D611" s="5">
        <v>51.14</v>
      </c>
      <c r="E611" s="5">
        <v>2689.54</v>
      </c>
      <c r="F611" s="16" t="s">
        <v>546</v>
      </c>
      <c r="G611" s="13">
        <f>AVERAGE(E611:E612)</f>
        <v>2687.41</v>
      </c>
      <c r="H611" s="18">
        <f>STDEV(E611:E612)</f>
        <v>3.0122748878545251</v>
      </c>
      <c r="K611" s="5">
        <f>G611+$J$575</f>
        <v>2678.5749999999998</v>
      </c>
    </row>
    <row r="612" spans="1:11" x14ac:dyDescent="0.2">
      <c r="A612" s="15" t="s">
        <v>11</v>
      </c>
      <c r="B612" s="31">
        <v>45099</v>
      </c>
      <c r="C612" s="10" t="s">
        <v>12</v>
      </c>
      <c r="D612" s="5">
        <v>50.5</v>
      </c>
      <c r="E612" s="5">
        <v>2685.28</v>
      </c>
      <c r="F612" s="16" t="s">
        <v>547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2023-06-22T13:34:50Z</dcterms:modified>
</cp:coreProperties>
</file>