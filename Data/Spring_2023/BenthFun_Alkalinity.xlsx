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DAC1ED1B-CDB7-2641-A565-0BA21A99FB0C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65" i="1" l="1"/>
  <c r="G265" i="1"/>
  <c r="H265" i="1"/>
  <c r="H263" i="1"/>
  <c r="G263" i="1"/>
  <c r="G254" i="1"/>
  <c r="H240" i="1"/>
  <c r="H245" i="1"/>
  <c r="G245" i="1"/>
  <c r="G240" i="1"/>
  <c r="H234" i="1"/>
  <c r="G234" i="1"/>
  <c r="G237" i="1"/>
  <c r="H237" i="1"/>
  <c r="H231" i="1"/>
  <c r="G231" i="1"/>
  <c r="H254" i="1"/>
  <c r="H249" i="1"/>
  <c r="G249" i="1"/>
  <c r="H243" i="1"/>
  <c r="G243" i="1"/>
  <c r="H226" i="1"/>
  <c r="G229" i="1"/>
  <c r="H229" i="1"/>
  <c r="G224" i="1"/>
  <c r="H224" i="1"/>
  <c r="H218" i="1"/>
  <c r="G218" i="1"/>
  <c r="J218" i="1" s="1"/>
  <c r="G226" i="1"/>
  <c r="H213" i="1"/>
  <c r="G213" i="1"/>
  <c r="G202" i="1"/>
  <c r="G205" i="1"/>
  <c r="H205" i="1"/>
  <c r="H202" i="1"/>
  <c r="H199" i="1"/>
  <c r="G199" i="1"/>
  <c r="H195" i="1"/>
  <c r="G195" i="1"/>
  <c r="H189" i="1"/>
  <c r="G189" i="1"/>
  <c r="J189" i="1" s="1"/>
  <c r="H211" i="1"/>
  <c r="G211" i="1"/>
  <c r="G177" i="1"/>
  <c r="H177" i="1"/>
  <c r="G174" i="1"/>
  <c r="H180" i="1"/>
  <c r="G180" i="1"/>
  <c r="H184" i="1"/>
  <c r="G184" i="1"/>
  <c r="H171" i="1"/>
  <c r="G171" i="1"/>
  <c r="G166" i="1"/>
  <c r="G169" i="1"/>
  <c r="H169" i="1"/>
  <c r="G163" i="1"/>
  <c r="G160" i="1"/>
  <c r="G157" i="1"/>
  <c r="G155" i="1"/>
  <c r="J155" i="1" s="1"/>
  <c r="H155" i="1"/>
  <c r="H174" i="1"/>
  <c r="H166" i="1"/>
  <c r="H163" i="1"/>
  <c r="H160" i="1"/>
  <c r="H157" i="1"/>
  <c r="H124" i="1"/>
  <c r="G124" i="1"/>
  <c r="J124" i="1" s="1"/>
  <c r="H151" i="1"/>
  <c r="G151" i="1"/>
  <c r="H148" i="1"/>
  <c r="G148" i="1"/>
  <c r="K263" i="1" l="1"/>
  <c r="K245" i="1"/>
  <c r="K240" i="1"/>
  <c r="K243" i="1"/>
  <c r="K249" i="1"/>
  <c r="K254" i="1"/>
  <c r="K213" i="1"/>
  <c r="K205" i="1"/>
  <c r="K195" i="1"/>
  <c r="K202" i="1"/>
  <c r="K189" i="1"/>
  <c r="K211" i="1"/>
  <c r="K199" i="1"/>
  <c r="K151" i="1"/>
  <c r="K160" i="1"/>
  <c r="K157" i="1"/>
  <c r="K163" i="1"/>
  <c r="K148" i="1"/>
  <c r="K166" i="1"/>
  <c r="H140" i="1"/>
  <c r="G140" i="1"/>
  <c r="H143" i="1"/>
  <c r="G143" i="1"/>
  <c r="H135" i="1"/>
  <c r="G135" i="1"/>
  <c r="H138" i="1"/>
  <c r="G138" i="1"/>
  <c r="H133" i="1"/>
  <c r="G133" i="1"/>
  <c r="H130" i="1"/>
  <c r="G130" i="1"/>
  <c r="H127" i="1"/>
  <c r="G127" i="1"/>
  <c r="K218" i="1" l="1"/>
  <c r="K237" i="1"/>
  <c r="K226" i="1"/>
  <c r="K231" i="1"/>
  <c r="K229" i="1"/>
  <c r="K234" i="1"/>
  <c r="K224" i="1"/>
  <c r="K155" i="1"/>
  <c r="K169" i="1"/>
  <c r="G115" i="1"/>
  <c r="H120" i="1"/>
  <c r="G120" i="1"/>
  <c r="G117" i="1"/>
  <c r="H117" i="1"/>
  <c r="G112" i="1"/>
  <c r="H112" i="1"/>
  <c r="H109" i="1"/>
  <c r="G109" i="1"/>
  <c r="G106" i="1"/>
  <c r="H106" i="1"/>
  <c r="H103" i="1"/>
  <c r="G103" i="1"/>
  <c r="H100" i="1"/>
  <c r="G100" i="1"/>
  <c r="G95" i="1"/>
  <c r="H95" i="1"/>
  <c r="H115" i="1"/>
  <c r="H98" i="1"/>
  <c r="G98" i="1"/>
  <c r="G92" i="1"/>
  <c r="H92" i="1"/>
  <c r="J92" i="1" l="1"/>
  <c r="H71" i="1"/>
  <c r="G71" i="1"/>
  <c r="H89" i="1"/>
  <c r="G89" i="1"/>
  <c r="G83" i="1"/>
  <c r="H86" i="1"/>
  <c r="G86" i="1"/>
  <c r="H83" i="1"/>
  <c r="H63" i="1"/>
  <c r="G63" i="1"/>
  <c r="J63" i="1" s="1"/>
  <c r="K63" i="1" s="1"/>
  <c r="K184" i="1" l="1"/>
  <c r="K180" i="1"/>
  <c r="K177" i="1"/>
  <c r="K174" i="1"/>
  <c r="K171" i="1"/>
  <c r="K106" i="1"/>
  <c r="K124" i="1"/>
  <c r="K127" i="1"/>
  <c r="K135" i="1"/>
  <c r="K133" i="1"/>
  <c r="K140" i="1"/>
  <c r="K130" i="1"/>
  <c r="K143" i="1"/>
  <c r="K138" i="1"/>
  <c r="K98" i="1"/>
  <c r="K95" i="1"/>
  <c r="K117" i="1"/>
  <c r="K103" i="1"/>
  <c r="K92" i="1"/>
  <c r="K109" i="1"/>
  <c r="K112" i="1"/>
  <c r="K120" i="1"/>
  <c r="K115" i="1"/>
  <c r="K100" i="1"/>
  <c r="K86" i="1"/>
  <c r="K83" i="1"/>
  <c r="K89" i="1"/>
  <c r="H80" i="1"/>
  <c r="G80" i="1"/>
  <c r="H77" i="1"/>
  <c r="G77" i="1"/>
  <c r="H75" i="1"/>
  <c r="G75" i="1"/>
  <c r="H73" i="1"/>
  <c r="G73" i="1"/>
  <c r="H68" i="1"/>
  <c r="G68" i="1"/>
  <c r="H65" i="1"/>
  <c r="G65" i="1"/>
  <c r="G60" i="1"/>
  <c r="H60" i="1"/>
  <c r="G58" i="1"/>
  <c r="H58" i="1"/>
  <c r="H56" i="1"/>
  <c r="G56" i="1"/>
  <c r="H53" i="1"/>
  <c r="G53" i="1"/>
  <c r="G48" i="1"/>
  <c r="G44" i="1"/>
  <c r="G40" i="1"/>
  <c r="H51" i="1"/>
  <c r="G51" i="1"/>
  <c r="H40" i="1"/>
  <c r="H48" i="1"/>
  <c r="H44" i="1"/>
  <c r="H33" i="1"/>
  <c r="G33" i="1"/>
  <c r="J33" i="1" s="1"/>
  <c r="K60" i="1" l="1"/>
  <c r="K71" i="1"/>
  <c r="K65" i="1"/>
  <c r="K73" i="1"/>
  <c r="K75" i="1"/>
  <c r="K68" i="1"/>
  <c r="K77" i="1"/>
  <c r="K80" i="1"/>
  <c r="K40" i="1"/>
  <c r="K44" i="1"/>
  <c r="K48" i="1"/>
  <c r="K51" i="1"/>
  <c r="K53" i="1"/>
  <c r="K56" i="1"/>
  <c r="K58" i="1"/>
  <c r="K33" i="1"/>
  <c r="H37" i="1"/>
  <c r="G37" i="1"/>
  <c r="H35" i="1"/>
  <c r="G35" i="1"/>
  <c r="H29" i="1" l="1"/>
  <c r="G29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7" i="1" l="1"/>
  <c r="K7" i="1"/>
  <c r="K35" i="1"/>
  <c r="K15" i="1"/>
  <c r="K25" i="1"/>
  <c r="K20" i="1"/>
  <c r="K23" i="1"/>
  <c r="K13" i="1"/>
  <c r="K10" i="1"/>
  <c r="K17" i="1"/>
  <c r="K29" i="1"/>
  <c r="K2" i="1"/>
  <c r="K4" i="1"/>
</calcChain>
</file>

<file path=xl/sharedStrings.xml><?xml version="1.0" encoding="utf-8"?>
<sst xmlns="http://schemas.openxmlformats.org/spreadsheetml/2006/main" count="884" uniqueCount="238">
  <si>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</si>
  <si>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</si>
  <si>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</si>
  <si>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</si>
  <si>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</si>
  <si>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</si>
  <si>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</si>
  <si>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</si>
  <si>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</si>
  <si>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</si>
  <si>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</si>
  <si>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</si>
  <si>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</si>
  <si>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</si>
  <si>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</si>
  <si>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</si>
  <si>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</si>
  <si>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</si>
  <si>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</si>
  <si>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</si>
  <si>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</si>
  <si>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</si>
  <si>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</si>
  <si>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</si>
  <si>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</si>
  <si>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</si>
  <si>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</si>
  <si>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</si>
  <si>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</si>
  <si>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</si>
  <si>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</si>
  <si>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</si>
  <si>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</si>
  <si>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</si>
  <si>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</si>
  <si>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T0_t1_ELOW_tile_06b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</si>
  <si>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</si>
  <si>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</si>
  <si>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</si>
  <si>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</si>
  <si>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</si>
  <si>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</si>
  <si>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</si>
  <si>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</si>
  <si>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</si>
  <si>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</si>
  <si>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</si>
  <si>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</si>
  <si>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</si>
  <si>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</si>
  <si>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</si>
  <si>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</si>
  <si>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</si>
  <si>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</si>
  <si>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</si>
  <si>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</si>
  <si>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</si>
  <si>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</si>
  <si>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</si>
  <si>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</si>
  <si>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</si>
  <si>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</si>
  <si>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</si>
  <si>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</si>
  <si>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</si>
  <si>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</si>
  <si>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T0_t1_LOW_tile_02c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</si>
  <si>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</si>
  <si>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</si>
  <si>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</si>
  <si>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</si>
  <si>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</si>
  <si>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</si>
  <si>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</si>
  <si>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</si>
  <si>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</si>
  <si>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</si>
  <si>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</si>
  <si>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</si>
  <si>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</si>
  <si>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</si>
  <si>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</si>
  <si>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</si>
  <si>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</si>
  <si>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</si>
  <si>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</si>
  <si>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</si>
  <si>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</si>
  <si>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</si>
  <si>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</si>
  <si>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</si>
  <si>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</si>
  <si>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</si>
  <si>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</si>
  <si>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</si>
  <si>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</si>
  <si>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</si>
  <si>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</si>
  <si>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</si>
  <si>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</si>
  <si>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</si>
  <si>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</si>
  <si>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</si>
  <si>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</si>
  <si>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</si>
  <si>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</si>
  <si>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</si>
  <si>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</si>
  <si>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</si>
  <si>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</si>
  <si>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</si>
  <si>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</si>
  <si>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</si>
  <si>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</si>
  <si>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</si>
  <si>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</si>
  <si>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</si>
  <si>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</si>
  <si>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</si>
  <si>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</si>
  <si>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</si>
  <si>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</si>
  <si>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</si>
  <si>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</si>
  <si>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</si>
  <si>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</si>
  <si>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</si>
  <si>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</si>
  <si>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</si>
  <si>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</si>
  <si>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</si>
  <si>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</si>
  <si>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</si>
  <si>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</si>
  <si>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</si>
  <si>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</si>
  <si>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</si>
  <si>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</si>
  <si>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</si>
  <si>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</si>
  <si>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</si>
  <si>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</si>
  <si>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</si>
  <si>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</si>
  <si>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</si>
  <si>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</si>
  <si>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</si>
  <si>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</si>
  <si>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</si>
  <si>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</si>
  <si>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</si>
  <si>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</si>
  <si>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</si>
  <si>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</si>
  <si>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</si>
  <si>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</si>
  <si>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</si>
  <si>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</si>
  <si>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</si>
  <si>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</si>
  <si>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</si>
  <si>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</si>
  <si>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</si>
  <si>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</si>
  <si>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</si>
  <si>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</si>
  <si>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</si>
  <si>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</si>
  <si>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</si>
  <si>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</si>
  <si>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</si>
  <si>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</si>
  <si>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</si>
  <si>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</si>
  <si>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</si>
  <si>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</si>
  <si>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</si>
  <si>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</si>
  <si>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</si>
  <si>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</si>
  <si>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</si>
  <si>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</si>
  <si>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</si>
  <si>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</si>
  <si>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</si>
  <si>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</si>
  <si>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</si>
  <si>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</si>
  <si>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</si>
  <si>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</si>
  <si>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</si>
  <si>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</si>
  <si>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</si>
  <si>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</si>
  <si>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</si>
  <si>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</si>
  <si>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</si>
  <si>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</si>
  <si>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</si>
  <si>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</si>
  <si>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</si>
  <si>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</si>
  <si>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</si>
  <si>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</si>
  <si>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</si>
  <si>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</si>
  <si>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PI_t2_AMB_T0c</t>
  </si>
  <si>
    <t>PI_t3_AMB_T0a</t>
  </si>
  <si>
    <t>PI_t3_AMB_T0b</t>
  </si>
  <si>
    <t>PI_t3_AMB_T0c</t>
  </si>
  <si>
    <t>PI_t4_AMB_T0a</t>
  </si>
  <si>
    <t>PI_t4_AMB_T0b</t>
  </si>
  <si>
    <t>PI_t4_AMB_T0c</t>
  </si>
  <si>
    <t>PI_t6_AMB_T0a</t>
  </si>
  <si>
    <t>PI_t6_AMB_T0b</t>
  </si>
  <si>
    <t>PI_t6_AMB_T0c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</si>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</sst>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3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3"/>
  <sheetViews>
    <sheetView tabSelected="1" zoomScale="90" zoomScaleNormal="73" workbookViewId="0">
      <pane ySplit="1" topLeftCell="A254" activePane="bottomLeft" state="frozen"/>
      <selection pane="bottomLeft" activeCell="N267" sqref="N267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41</v>
      </c>
      <c r="H1" s="6" t="s">
        <v>42</v>
      </c>
      <c r="I1" s="6" t="s">
        <v>97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96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1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1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1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1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1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1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1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1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1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AVERAGE(E27:E28)</f>
        <v>2497.915</v>
      </c>
      <c r="H25" s="13">
        <f>STDEV(E27:E28)</f>
        <v>0.81317279836427248</v>
      </c>
      <c r="I25" s="5"/>
      <c r="J25" s="5"/>
      <c r="K25" s="5">
        <f>G25+$J$2</f>
        <v>2487.5749999999998</v>
      </c>
    </row>
    <row r="26" spans="1:11" x14ac:dyDescent="0.2">
      <c r="A26" s="9" t="s">
        <v>11</v>
      </c>
      <c r="B26" s="10">
        <v>45057</v>
      </c>
      <c r="C26" s="10" t="s">
        <v>12</v>
      </c>
      <c r="D26" s="5">
        <v>52.87</v>
      </c>
      <c r="E26" s="14">
        <v>2467.69</v>
      </c>
      <c r="F26" s="16" t="s">
        <v>35</v>
      </c>
      <c r="G26" s="5"/>
      <c r="H26" s="5"/>
      <c r="I26" s="5"/>
      <c r="J26" s="5"/>
      <c r="K26" s="5"/>
    </row>
    <row r="27" spans="1:11" x14ac:dyDescent="0.2">
      <c r="A27" s="9" t="s">
        <v>11</v>
      </c>
      <c r="B27" s="10">
        <v>45057</v>
      </c>
      <c r="C27" s="10" t="s">
        <v>12</v>
      </c>
      <c r="D27" s="5">
        <v>48.93</v>
      </c>
      <c r="E27" s="5">
        <v>2497.34</v>
      </c>
      <c r="F27" s="16" t="s">
        <v>36</v>
      </c>
      <c r="G27" s="5"/>
      <c r="H27" s="5"/>
      <c r="I27" s="5"/>
      <c r="J27" s="5"/>
      <c r="K27" s="5"/>
    </row>
    <row r="28" spans="1:11" x14ac:dyDescent="0.2">
      <c r="A28" s="9" t="s">
        <v>11</v>
      </c>
      <c r="B28" s="10">
        <v>45057</v>
      </c>
      <c r="C28" s="10" t="s">
        <v>12</v>
      </c>
      <c r="D28" s="5">
        <v>50.14</v>
      </c>
      <c r="E28" s="5">
        <v>2498.4899999999998</v>
      </c>
      <c r="F28" s="16" t="s">
        <v>40</v>
      </c>
      <c r="G28" s="5"/>
      <c r="H28" s="5"/>
      <c r="I28" s="5"/>
      <c r="J28" s="5"/>
      <c r="K28" s="5"/>
    </row>
    <row r="29" spans="1:11" x14ac:dyDescent="0.2">
      <c r="A29" s="9" t="s">
        <v>11</v>
      </c>
      <c r="B29" s="10">
        <v>45057</v>
      </c>
      <c r="C29" s="10" t="s">
        <v>12</v>
      </c>
      <c r="D29" s="5">
        <v>49.87</v>
      </c>
      <c r="E29" s="5">
        <v>2617.66</v>
      </c>
      <c r="F29" s="16" t="s">
        <v>37</v>
      </c>
      <c r="G29" s="13">
        <f>AVERAGE(E29,E31)</f>
        <v>2617.3049999999998</v>
      </c>
      <c r="H29" s="13">
        <f>STDEV(E29,E31)</f>
        <v>0.50204581464247444</v>
      </c>
      <c r="I29" s="5"/>
      <c r="J29" s="5"/>
      <c r="K29" s="5">
        <f>G29+$J$2</f>
        <v>2606.9649999999997</v>
      </c>
    </row>
    <row r="30" spans="1:11" x14ac:dyDescent="0.2">
      <c r="A30" s="9" t="s">
        <v>11</v>
      </c>
      <c r="B30" s="10">
        <v>45057</v>
      </c>
      <c r="C30" s="10" t="s">
        <v>12</v>
      </c>
      <c r="D30" s="5">
        <v>51.76</v>
      </c>
      <c r="E30" s="14">
        <v>2608.98</v>
      </c>
      <c r="F30" s="16" t="s">
        <v>38</v>
      </c>
      <c r="G30" s="5"/>
      <c r="H30" s="5"/>
      <c r="I30" s="5"/>
      <c r="J30" s="5"/>
      <c r="K30" s="5"/>
    </row>
    <row r="31" spans="1:11" x14ac:dyDescent="0.2">
      <c r="A31" s="9" t="s">
        <v>11</v>
      </c>
      <c r="B31" s="10">
        <v>45057</v>
      </c>
      <c r="C31" s="10" t="s">
        <v>12</v>
      </c>
      <c r="D31" s="5">
        <v>51.57</v>
      </c>
      <c r="E31" s="5">
        <v>2616.9499999999998</v>
      </c>
      <c r="F31" s="16" t="s">
        <v>39</v>
      </c>
      <c r="G31" s="5"/>
      <c r="H31" s="5"/>
      <c r="I31" s="5"/>
      <c r="J31" s="5"/>
      <c r="K31" s="5"/>
    </row>
    <row r="32" spans="1:11" x14ac:dyDescent="0.2">
      <c r="A32" s="9"/>
      <c r="B32" s="10"/>
      <c r="C32" s="10"/>
      <c r="F32" s="16"/>
      <c r="G32" s="5"/>
      <c r="H32" s="5"/>
      <c r="I32" s="5"/>
      <c r="J32" s="5"/>
      <c r="K32" s="5"/>
    </row>
    <row r="33" spans="1:12" x14ac:dyDescent="0.2">
      <c r="A33" s="9" t="s">
        <v>11</v>
      </c>
      <c r="B33" s="10">
        <v>45058</v>
      </c>
      <c r="C33" s="10" t="s">
        <v>12</v>
      </c>
      <c r="D33" s="5">
        <v>50.25</v>
      </c>
      <c r="E33" s="5">
        <v>2235.6999999999998</v>
      </c>
      <c r="F33" s="16" t="s">
        <v>8</v>
      </c>
      <c r="G33" s="12">
        <f>AVERAGE(E33:E34)</f>
        <v>2237.1099999999997</v>
      </c>
      <c r="H33" s="13">
        <f>STDEV(E33:E34)</f>
        <v>1.9940411229461796</v>
      </c>
      <c r="I33" s="3">
        <v>2226.44</v>
      </c>
      <c r="J33" s="4">
        <f>I33-G33</f>
        <v>-10.669999999999618</v>
      </c>
      <c r="K33" s="5">
        <f>G33+J33</f>
        <v>2226.44</v>
      </c>
      <c r="L33" s="2" t="s">
        <v>96</v>
      </c>
    </row>
    <row r="34" spans="1:12" x14ac:dyDescent="0.2">
      <c r="A34" s="9" t="s">
        <v>11</v>
      </c>
      <c r="B34" s="10">
        <v>45058</v>
      </c>
      <c r="C34" s="10" t="s">
        <v>12</v>
      </c>
      <c r="D34" s="5">
        <v>49.39</v>
      </c>
      <c r="E34" s="5">
        <v>2238.52</v>
      </c>
      <c r="F34" s="16" t="s">
        <v>9</v>
      </c>
      <c r="G34" s="5"/>
      <c r="H34" s="5"/>
      <c r="I34" s="5"/>
      <c r="J34" s="5"/>
      <c r="K34" s="5"/>
    </row>
    <row r="35" spans="1:12" x14ac:dyDescent="0.2">
      <c r="A35" s="9" t="s">
        <v>11</v>
      </c>
      <c r="B35" s="10">
        <v>45057</v>
      </c>
      <c r="C35" s="10" t="s">
        <v>12</v>
      </c>
      <c r="D35" s="5">
        <v>49.81</v>
      </c>
      <c r="E35" s="5">
        <v>2669.25</v>
      </c>
      <c r="F35" s="16" t="s">
        <v>43</v>
      </c>
      <c r="G35" s="13">
        <f>AVERAGE(E35,E36)</f>
        <v>2668.4349999999999</v>
      </c>
      <c r="H35" s="13">
        <f>STDEV(E35,E36)</f>
        <v>1.1525840533341496</v>
      </c>
      <c r="K35" s="5">
        <f>G35+$J$2</f>
        <v>2658.0949999999998</v>
      </c>
    </row>
    <row r="36" spans="1:12" x14ac:dyDescent="0.2">
      <c r="A36" s="9" t="s">
        <v>11</v>
      </c>
      <c r="B36" s="10">
        <v>45057</v>
      </c>
      <c r="C36" s="10" t="s">
        <v>12</v>
      </c>
      <c r="D36" s="5">
        <v>51.97</v>
      </c>
      <c r="E36" s="5">
        <v>2667.62</v>
      </c>
      <c r="F36" s="16" t="s">
        <v>44</v>
      </c>
    </row>
    <row r="37" spans="1:12" x14ac:dyDescent="0.2">
      <c r="A37" s="9" t="s">
        <v>11</v>
      </c>
      <c r="B37" s="10">
        <v>45057</v>
      </c>
      <c r="C37" s="10" t="s">
        <v>12</v>
      </c>
      <c r="D37" s="5">
        <v>49.83</v>
      </c>
      <c r="E37" s="14">
        <v>2702.72</v>
      </c>
      <c r="F37" s="16" t="s">
        <v>45</v>
      </c>
      <c r="G37" s="13">
        <f>AVERAGE(E36,E39)</f>
        <v>2666.085</v>
      </c>
      <c r="H37" s="13">
        <f>STDEV(E36,E39)</f>
        <v>2.1708178182424951</v>
      </c>
      <c r="K37" s="5">
        <f>G37+$J$2</f>
        <v>2655.7449999999999</v>
      </c>
    </row>
    <row r="38" spans="1:12" x14ac:dyDescent="0.2">
      <c r="A38" s="9" t="s">
        <v>11</v>
      </c>
      <c r="B38" s="10">
        <v>45057</v>
      </c>
      <c r="C38" s="10" t="s">
        <v>12</v>
      </c>
      <c r="D38" s="5">
        <v>50.93</v>
      </c>
      <c r="E38" s="14">
        <v>2690.11</v>
      </c>
      <c r="F38" s="16" t="s">
        <v>46</v>
      </c>
    </row>
    <row r="39" spans="1:12" x14ac:dyDescent="0.2">
      <c r="A39" s="9" t="s">
        <v>11</v>
      </c>
      <c r="B39" s="10">
        <v>45057</v>
      </c>
      <c r="C39" s="10" t="s">
        <v>12</v>
      </c>
      <c r="D39" s="5">
        <v>49.75</v>
      </c>
      <c r="E39" s="5">
        <v>2664.55</v>
      </c>
      <c r="F39" s="16" t="s">
        <v>47</v>
      </c>
    </row>
    <row r="40" spans="1:12" x14ac:dyDescent="0.2">
      <c r="A40" s="9" t="s">
        <v>11</v>
      </c>
      <c r="B40" s="10">
        <v>45058</v>
      </c>
      <c r="C40" s="10" t="s">
        <v>12</v>
      </c>
      <c r="D40" s="5">
        <v>51.18</v>
      </c>
      <c r="E40" s="5">
        <v>2603.65</v>
      </c>
      <c r="F40" s="16" t="s">
        <v>48</v>
      </c>
      <c r="G40" s="13">
        <f>AVERAGE(E40,E43)</f>
        <v>2602.0100000000002</v>
      </c>
      <c r="H40" s="13">
        <f>STDEV(E40,E43)</f>
        <v>2.3193102422920173</v>
      </c>
      <c r="K40" s="5">
        <f>G40+$J$33</f>
        <v>2591.3400000000006</v>
      </c>
    </row>
    <row r="41" spans="1:12" x14ac:dyDescent="0.2">
      <c r="A41" s="9" t="s">
        <v>11</v>
      </c>
      <c r="B41" s="10">
        <v>45058</v>
      </c>
      <c r="C41" s="10" t="s">
        <v>12</v>
      </c>
      <c r="D41" s="5">
        <v>50.52</v>
      </c>
      <c r="E41" s="14">
        <v>2579.64</v>
      </c>
      <c r="F41" s="16" t="s">
        <v>49</v>
      </c>
    </row>
    <row r="42" spans="1:12" x14ac:dyDescent="0.2">
      <c r="A42" s="9" t="s">
        <v>11</v>
      </c>
      <c r="B42" s="10">
        <v>45058</v>
      </c>
      <c r="C42" s="10" t="s">
        <v>12</v>
      </c>
      <c r="D42" s="5">
        <v>49.86</v>
      </c>
      <c r="E42" s="14">
        <v>2565.9699999999998</v>
      </c>
      <c r="F42" s="16" t="s">
        <v>50</v>
      </c>
    </row>
    <row r="43" spans="1:12" x14ac:dyDescent="0.2">
      <c r="A43" s="9" t="s">
        <v>11</v>
      </c>
      <c r="B43" s="10">
        <v>45058</v>
      </c>
      <c r="C43" s="10" t="s">
        <v>12</v>
      </c>
      <c r="D43" s="5">
        <v>49.76</v>
      </c>
      <c r="E43" s="5">
        <v>2600.37</v>
      </c>
      <c r="F43" s="16" t="s">
        <v>68</v>
      </c>
    </row>
    <row r="44" spans="1:12" x14ac:dyDescent="0.2">
      <c r="A44" s="9" t="s">
        <v>11</v>
      </c>
      <c r="B44" s="10">
        <v>45058</v>
      </c>
      <c r="C44" s="10" t="s">
        <v>12</v>
      </c>
      <c r="D44" s="5">
        <v>48.93</v>
      </c>
      <c r="E44" s="14">
        <v>2610.11</v>
      </c>
      <c r="F44" s="16" t="s">
        <v>51</v>
      </c>
      <c r="G44" s="13">
        <f>AVERAGE(E47,E45)</f>
        <v>2587.2650000000003</v>
      </c>
      <c r="H44" s="13">
        <f>STDEV(E47,E45)</f>
        <v>2.4819448019646146</v>
      </c>
      <c r="K44" s="5">
        <f>G44+$J$33</f>
        <v>2576.5950000000007</v>
      </c>
    </row>
    <row r="45" spans="1:12" x14ac:dyDescent="0.2">
      <c r="A45" s="9" t="s">
        <v>11</v>
      </c>
      <c r="B45" s="10">
        <v>45058</v>
      </c>
      <c r="C45" s="10" t="s">
        <v>12</v>
      </c>
      <c r="D45" s="5">
        <v>50.66</v>
      </c>
      <c r="E45" s="5">
        <v>2589.02</v>
      </c>
      <c r="F45" s="16" t="s">
        <v>52</v>
      </c>
    </row>
    <row r="46" spans="1:12" x14ac:dyDescent="0.2">
      <c r="A46" s="9" t="s">
        <v>11</v>
      </c>
      <c r="B46" s="10">
        <v>45058</v>
      </c>
      <c r="C46" s="10" t="s">
        <v>12</v>
      </c>
      <c r="D46" s="5">
        <v>50.01</v>
      </c>
      <c r="E46" s="14">
        <v>2579.36</v>
      </c>
      <c r="F46" s="16" t="s">
        <v>66</v>
      </c>
    </row>
    <row r="47" spans="1:12" x14ac:dyDescent="0.2">
      <c r="A47" s="9" t="s">
        <v>11</v>
      </c>
      <c r="B47" s="10">
        <v>45058</v>
      </c>
      <c r="C47" s="10" t="s">
        <v>12</v>
      </c>
      <c r="D47" s="5">
        <v>49.93</v>
      </c>
      <c r="E47" s="5">
        <v>2585.5100000000002</v>
      </c>
      <c r="F47" s="16" t="s">
        <v>69</v>
      </c>
    </row>
    <row r="48" spans="1:12" x14ac:dyDescent="0.2">
      <c r="A48" s="9" t="s">
        <v>11</v>
      </c>
      <c r="B48" s="10">
        <v>45058</v>
      </c>
      <c r="C48" s="10" t="s">
        <v>12</v>
      </c>
      <c r="D48" s="5">
        <v>49.17</v>
      </c>
      <c r="E48" s="5">
        <v>2593.4899999999998</v>
      </c>
      <c r="F48" s="16" t="s">
        <v>53</v>
      </c>
      <c r="G48" s="13">
        <f>AVERAGE(E50,E48)</f>
        <v>2590.2950000000001</v>
      </c>
      <c r="H48" s="13">
        <f>STDEV(E50,E48)</f>
        <v>4.5184123317819482</v>
      </c>
      <c r="K48" s="5">
        <f>G48+$J$33</f>
        <v>2579.6250000000005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51.35</v>
      </c>
      <c r="E49" s="14">
        <v>2560.08</v>
      </c>
      <c r="F49" s="16" t="s">
        <v>54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49.36</v>
      </c>
      <c r="E50" s="5">
        <v>2587.1</v>
      </c>
      <c r="F50" s="16" t="s">
        <v>67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50.86</v>
      </c>
      <c r="E51" s="5">
        <v>2660.25</v>
      </c>
      <c r="F51" s="16" t="s">
        <v>55</v>
      </c>
      <c r="G51" s="13">
        <f>AVERAGE(E52,E51)</f>
        <v>2660.75</v>
      </c>
      <c r="H51" s="13">
        <f>STDEV(E52,E51)</f>
        <v>0.70710678118654757</v>
      </c>
      <c r="K51" s="5">
        <f>G51+$J$33</f>
        <v>2650.0800000000004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48.98</v>
      </c>
      <c r="E52" s="5">
        <v>2661.25</v>
      </c>
      <c r="F52" s="16" t="s">
        <v>56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50.41</v>
      </c>
      <c r="E53" s="5">
        <v>2569.34</v>
      </c>
      <c r="F53" s="16" t="s">
        <v>57</v>
      </c>
      <c r="G53" s="13">
        <f>AVERAGE(E55,E53)</f>
        <v>2567.355</v>
      </c>
      <c r="H53" s="13">
        <f>STDEV(E55,E53)</f>
        <v>2.8072139213107739</v>
      </c>
      <c r="K53" s="5">
        <f>G53+$J$33</f>
        <v>2556.6850000000004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51.21</v>
      </c>
      <c r="E54" s="14">
        <v>2544.79</v>
      </c>
      <c r="F54" s="16" t="s">
        <v>58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48.63</v>
      </c>
      <c r="E55" s="5">
        <v>2565.37</v>
      </c>
      <c r="F55" s="16" t="s">
        <v>59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50.87</v>
      </c>
      <c r="E56" s="5">
        <v>2541.75</v>
      </c>
      <c r="F56" s="16" t="s">
        <v>60</v>
      </c>
      <c r="G56" s="13">
        <f>AVERAGE(E57,E56)</f>
        <v>2543.48</v>
      </c>
      <c r="H56" s="13">
        <f>STDEV(E57,E56)</f>
        <v>2.4465894629054801</v>
      </c>
      <c r="K56" s="5">
        <f>G56+$J$33</f>
        <v>2532.8100000000004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49.82</v>
      </c>
      <c r="E57" s="5">
        <v>2545.21</v>
      </c>
      <c r="F57" s="16" t="s">
        <v>61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49.91</v>
      </c>
      <c r="E58" s="5">
        <v>2549.7199999999998</v>
      </c>
      <c r="F58" s="16" t="s">
        <v>62</v>
      </c>
      <c r="G58" s="13">
        <f>AVERAGE(E59,E58)</f>
        <v>2551.4399999999996</v>
      </c>
      <c r="H58" s="13">
        <f>STDEV(E59,E58)</f>
        <v>2.4324473272817619</v>
      </c>
      <c r="K58" s="5">
        <f>G58+$J$33</f>
        <v>2540.77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49.93</v>
      </c>
      <c r="E59" s="5">
        <v>2553.16</v>
      </c>
      <c r="F59" s="16" t="s">
        <v>63</v>
      </c>
    </row>
    <row r="60" spans="1:12" x14ac:dyDescent="0.2">
      <c r="A60" s="9" t="s">
        <v>11</v>
      </c>
      <c r="B60" s="10">
        <v>45058</v>
      </c>
      <c r="C60" s="10" t="s">
        <v>12</v>
      </c>
      <c r="D60" s="5">
        <v>50.98</v>
      </c>
      <c r="E60" s="5">
        <v>2644.74</v>
      </c>
      <c r="F60" s="16" t="s">
        <v>64</v>
      </c>
      <c r="G60" s="13">
        <f>AVERAGE(E61,E60)</f>
        <v>2644.4449999999997</v>
      </c>
      <c r="H60" s="13">
        <f>STDEV(E61,E60)</f>
        <v>0.4171930008998444</v>
      </c>
      <c r="K60" s="5">
        <f>G60+$J$33</f>
        <v>2633.7750000000001</v>
      </c>
    </row>
    <row r="61" spans="1:12" x14ac:dyDescent="0.2">
      <c r="A61" s="9" t="s">
        <v>11</v>
      </c>
      <c r="B61" s="10">
        <v>45058</v>
      </c>
      <c r="C61" s="10" t="s">
        <v>12</v>
      </c>
      <c r="D61" s="5">
        <v>48.92</v>
      </c>
      <c r="E61" s="5">
        <v>2644.15</v>
      </c>
      <c r="F61" s="16" t="s">
        <v>65</v>
      </c>
    </row>
    <row r="62" spans="1:12" x14ac:dyDescent="0.2">
      <c r="B62" s="15"/>
    </row>
    <row r="63" spans="1:12" x14ac:dyDescent="0.2">
      <c r="A63" s="9" t="s">
        <v>11</v>
      </c>
      <c r="B63" s="10">
        <v>45059</v>
      </c>
      <c r="C63" s="10" t="s">
        <v>12</v>
      </c>
      <c r="D63" s="5">
        <v>50.51</v>
      </c>
      <c r="E63" s="5">
        <v>2232.81</v>
      </c>
      <c r="F63" s="16" t="s">
        <v>8</v>
      </c>
      <c r="G63" s="12">
        <f>AVERAGE(E63:E64)</f>
        <v>2234.8249999999998</v>
      </c>
      <c r="H63" s="13">
        <f>STDEV(E63:E64)</f>
        <v>2.8496403281819278</v>
      </c>
      <c r="I63" s="3">
        <v>2226.44</v>
      </c>
      <c r="J63" s="4">
        <f>I63-G63</f>
        <v>-8.3849999999997635</v>
      </c>
      <c r="K63" s="5">
        <f>G63+J63</f>
        <v>2226.44</v>
      </c>
      <c r="L63" s="2" t="s">
        <v>96</v>
      </c>
    </row>
    <row r="64" spans="1:12" x14ac:dyDescent="0.2">
      <c r="A64" s="9" t="s">
        <v>11</v>
      </c>
      <c r="B64" s="10">
        <v>45059</v>
      </c>
      <c r="C64" s="10" t="s">
        <v>12</v>
      </c>
      <c r="D64" s="5">
        <v>49.4</v>
      </c>
      <c r="E64" s="5">
        <v>2236.84</v>
      </c>
      <c r="F64" s="16" t="s">
        <v>9</v>
      </c>
      <c r="G64" s="5"/>
      <c r="H64" s="5"/>
      <c r="I64" s="5"/>
      <c r="J64" s="5"/>
      <c r="K64" s="5"/>
    </row>
    <row r="65" spans="1:11" x14ac:dyDescent="0.2">
      <c r="A65" s="9" t="s">
        <v>11</v>
      </c>
      <c r="B65" s="10">
        <v>45058</v>
      </c>
      <c r="C65" s="10" t="s">
        <v>12</v>
      </c>
      <c r="D65" s="5">
        <v>51.23</v>
      </c>
      <c r="E65" s="14">
        <v>2724.44</v>
      </c>
      <c r="F65" s="16" t="s">
        <v>70</v>
      </c>
      <c r="G65" s="13">
        <f>AVERAGE(E66,E67)</f>
        <v>2685.37</v>
      </c>
      <c r="H65" s="13">
        <f>STDEV(E66,E67)</f>
        <v>2.4183051916580438</v>
      </c>
      <c r="K65" s="5">
        <f>G65+$J$33</f>
        <v>2674.7000000000003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50.02</v>
      </c>
      <c r="E66" s="5">
        <v>2687.08</v>
      </c>
      <c r="F66" s="16" t="s">
        <v>71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49.44</v>
      </c>
      <c r="E67" s="5">
        <v>2683.66</v>
      </c>
      <c r="F67" s="16" t="s">
        <v>85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52.2</v>
      </c>
      <c r="E68" s="5">
        <v>2662.94</v>
      </c>
      <c r="F68" s="16" t="s">
        <v>72</v>
      </c>
      <c r="G68" s="13">
        <f>AVERAGE(E68,E70)</f>
        <v>2660.77</v>
      </c>
      <c r="H68" s="13">
        <f>STDEV(E68,E70)</f>
        <v>3.0688434303497192</v>
      </c>
      <c r="K68" s="5">
        <f>G68+$J$33</f>
        <v>2650.1000000000004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51.08</v>
      </c>
      <c r="E69" s="14">
        <v>2635.37</v>
      </c>
      <c r="F69" s="16" t="s">
        <v>73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49.26</v>
      </c>
      <c r="E70" s="5">
        <v>2658.6</v>
      </c>
      <c r="F70" s="16" t="s">
        <v>74</v>
      </c>
    </row>
    <row r="71" spans="1:11" x14ac:dyDescent="0.2">
      <c r="A71" s="9" t="s">
        <v>11</v>
      </c>
      <c r="B71" s="10">
        <v>45058</v>
      </c>
      <c r="C71" s="10" t="s">
        <v>12</v>
      </c>
      <c r="D71" s="15">
        <v>48.42</v>
      </c>
      <c r="E71" s="5">
        <v>2351.7199999999998</v>
      </c>
      <c r="F71" s="16" t="s">
        <v>75</v>
      </c>
      <c r="G71" s="13">
        <f>AVERAGE(E72,E71)</f>
        <v>2353.9499999999998</v>
      </c>
      <c r="H71" s="13">
        <f>STDEV(E71,E72)</f>
        <v>3.1536962440920275</v>
      </c>
      <c r="K71" s="5">
        <f>G71+$J$33</f>
        <v>2343.2800000000002</v>
      </c>
    </row>
    <row r="72" spans="1:11" x14ac:dyDescent="0.2">
      <c r="A72" s="9" t="s">
        <v>11</v>
      </c>
      <c r="B72" s="10">
        <v>45059</v>
      </c>
      <c r="C72" s="10" t="s">
        <v>12</v>
      </c>
      <c r="D72" s="5">
        <v>52.08</v>
      </c>
      <c r="E72" s="5">
        <v>2356.1799999999998</v>
      </c>
      <c r="F72" s="16" t="s">
        <v>95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51.64</v>
      </c>
      <c r="E73" s="5">
        <v>2650.42</v>
      </c>
      <c r="F73" s="16" t="s">
        <v>76</v>
      </c>
      <c r="G73" s="13">
        <f>AVERAGE(E74,E73)</f>
        <v>2652.67</v>
      </c>
      <c r="H73" s="13">
        <f>STDEV(E74,E73)</f>
        <v>3.1819805153394638</v>
      </c>
      <c r="K73" s="5">
        <f>G73+$J$33</f>
        <v>2642.0000000000005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50.46</v>
      </c>
      <c r="E74" s="5">
        <v>2654.92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50.63</v>
      </c>
      <c r="E75" s="5">
        <v>2629.73</v>
      </c>
      <c r="F75" s="16" t="s">
        <v>78</v>
      </c>
      <c r="G75" s="13">
        <f>AVERAGE(E76,E75)</f>
        <v>2631.4349999999999</v>
      </c>
      <c r="H75" s="13">
        <f>STDEV(E76,E75)</f>
        <v>2.411234123846024</v>
      </c>
      <c r="K75" s="5">
        <f>G75+$J$33</f>
        <v>2620.7650000000003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50.92</v>
      </c>
      <c r="E76" s="5">
        <v>2633.14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50.69</v>
      </c>
      <c r="E77" s="5">
        <v>2671.36</v>
      </c>
      <c r="F77" s="16" t="s">
        <v>80</v>
      </c>
      <c r="G77" s="13">
        <f>AVERAGE(E77,E79)</f>
        <v>2673.7550000000001</v>
      </c>
      <c r="H77" s="13">
        <f>STDEV(E77,E79)</f>
        <v>3.387041481883537</v>
      </c>
      <c r="K77" s="5">
        <f>G77+$J$33</f>
        <v>2663.0850000000005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50.94</v>
      </c>
      <c r="E78" s="14">
        <v>2664.62</v>
      </c>
      <c r="F78" s="16" t="s">
        <v>81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49.78</v>
      </c>
      <c r="E79" s="5">
        <v>2676.15</v>
      </c>
      <c r="F79" s="16" t="s">
        <v>86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50.3</v>
      </c>
      <c r="E80" s="5">
        <v>2584.54</v>
      </c>
      <c r="F80" s="16" t="s">
        <v>82</v>
      </c>
      <c r="G80" s="13">
        <f>AVERAGE(E80,E82)</f>
        <v>2587.63</v>
      </c>
      <c r="H80" s="13">
        <f>STDEV(E80,E82)</f>
        <v>4.369919907732748</v>
      </c>
      <c r="K80" s="5">
        <f>G80+$J$33</f>
        <v>2576.9600000000005</v>
      </c>
    </row>
    <row r="81" spans="1:12" x14ac:dyDescent="0.2">
      <c r="A81" s="9" t="s">
        <v>11</v>
      </c>
      <c r="B81" s="10">
        <v>45058</v>
      </c>
      <c r="C81" s="10" t="s">
        <v>12</v>
      </c>
      <c r="D81" s="5">
        <v>50</v>
      </c>
      <c r="E81" s="14">
        <v>2598.9499999999998</v>
      </c>
      <c r="F81" s="16" t="s">
        <v>83</v>
      </c>
    </row>
    <row r="82" spans="1:12" x14ac:dyDescent="0.2">
      <c r="A82" s="9" t="s">
        <v>11</v>
      </c>
      <c r="B82" s="10">
        <v>45058</v>
      </c>
      <c r="C82" s="10" t="s">
        <v>12</v>
      </c>
      <c r="D82" s="5">
        <v>49.66</v>
      </c>
      <c r="E82" s="5">
        <v>2590.7199999999998</v>
      </c>
      <c r="F82" s="16" t="s">
        <v>84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51.6</v>
      </c>
      <c r="E83" s="14">
        <v>2600.5100000000002</v>
      </c>
      <c r="F83" s="16" t="s">
        <v>87</v>
      </c>
      <c r="G83" s="13">
        <f>AVERAGE(E84,E85)</f>
        <v>2592.8200000000002</v>
      </c>
      <c r="H83" s="13">
        <f>STDEV(E84,E85)</f>
        <v>1.7960512242138049</v>
      </c>
      <c r="K83" s="5">
        <f>G83+$J$63</f>
        <v>2584.4350000000004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51.16</v>
      </c>
      <c r="E84" s="5">
        <v>2591.5500000000002</v>
      </c>
      <c r="F84" s="16" t="s">
        <v>90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50.56</v>
      </c>
      <c r="E85" s="5">
        <v>2594.09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50.01</v>
      </c>
      <c r="E86" s="5">
        <v>2563.02</v>
      </c>
      <c r="F86" s="16" t="s">
        <v>92</v>
      </c>
      <c r="G86" s="13">
        <f>AVERAGE(E86,E88)</f>
        <v>2565.895</v>
      </c>
      <c r="H86" s="13">
        <f>STDEV(E86,E88)</f>
        <v>4.0658639918226482</v>
      </c>
      <c r="K86" s="5">
        <f>G86+$J$63</f>
        <v>2557.5100000000002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49.18</v>
      </c>
      <c r="E87" s="14">
        <v>2584.94</v>
      </c>
      <c r="F87" s="16" t="s">
        <v>93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51.78</v>
      </c>
      <c r="E88" s="5">
        <v>2568.77</v>
      </c>
      <c r="F88" s="16" t="s">
        <v>94</v>
      </c>
    </row>
    <row r="89" spans="1:12" x14ac:dyDescent="0.2">
      <c r="A89" s="9" t="s">
        <v>11</v>
      </c>
      <c r="B89" s="10">
        <v>45059</v>
      </c>
      <c r="C89" s="10" t="s">
        <v>12</v>
      </c>
      <c r="D89" s="5">
        <v>51.4</v>
      </c>
      <c r="E89" s="5">
        <v>2661.01</v>
      </c>
      <c r="F89" s="16" t="s">
        <v>88</v>
      </c>
      <c r="G89" s="12">
        <f>AVERAGE(E89:E90)</f>
        <v>2662.76</v>
      </c>
      <c r="H89" s="13">
        <f>STDEV(E89:E90)</f>
        <v>2.4748737341529163</v>
      </c>
      <c r="K89" s="5">
        <f>G89+$J$63</f>
        <v>2654.3750000000005</v>
      </c>
    </row>
    <row r="90" spans="1:12" x14ac:dyDescent="0.2">
      <c r="A90" s="9" t="s">
        <v>11</v>
      </c>
      <c r="B90" s="10">
        <v>45059</v>
      </c>
      <c r="C90" s="10" t="s">
        <v>12</v>
      </c>
      <c r="D90" s="5">
        <v>51.8</v>
      </c>
      <c r="E90" s="5">
        <v>2664.51</v>
      </c>
      <c r="F90" s="16" t="s">
        <v>89</v>
      </c>
    </row>
    <row r="91" spans="1:12" x14ac:dyDescent="0.2">
      <c r="B91" s="15"/>
    </row>
    <row r="92" spans="1:12" x14ac:dyDescent="0.2">
      <c r="A92" s="9" t="s">
        <v>11</v>
      </c>
      <c r="B92" s="10">
        <v>45070</v>
      </c>
      <c r="C92" s="10" t="s">
        <v>12</v>
      </c>
      <c r="D92" s="5">
        <v>48.55</v>
      </c>
      <c r="E92" s="5">
        <v>2252.11</v>
      </c>
      <c r="F92" s="16" t="s">
        <v>8</v>
      </c>
      <c r="G92" s="12">
        <f>AVERAGE(E92,E94)</f>
        <v>2251.09</v>
      </c>
      <c r="H92" s="13">
        <f>STDEV(E92,E94)</f>
        <v>1.4424978336205312</v>
      </c>
      <c r="I92" s="3">
        <v>2226.44</v>
      </c>
      <c r="J92" s="4">
        <f>I92-G92</f>
        <v>-24.650000000000091</v>
      </c>
      <c r="K92" s="5">
        <f>G92+J92</f>
        <v>2226.44</v>
      </c>
      <c r="L92" s="2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47.52</v>
      </c>
      <c r="E93" s="14">
        <v>2245.7600000000002</v>
      </c>
      <c r="F93" s="16" t="s">
        <v>9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48.34</v>
      </c>
      <c r="E94" s="5">
        <v>2250.0700000000002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51.96</v>
      </c>
      <c r="E95" s="5">
        <v>2603.67</v>
      </c>
      <c r="F95" s="16" t="s">
        <v>99</v>
      </c>
      <c r="G95" s="13">
        <f>AVERAGE(E95,E97)</f>
        <v>2602.0950000000003</v>
      </c>
      <c r="H95" s="18">
        <f>STDEV(E95,E97)</f>
        <v>2.2273863607376891</v>
      </c>
      <c r="I95" s="5"/>
      <c r="J95" s="5"/>
      <c r="K95" s="5">
        <f>G95+$J$92</f>
        <v>2577.4450000000002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49.08</v>
      </c>
      <c r="E96" s="14">
        <v>2586.33</v>
      </c>
      <c r="F96" s="16" t="s">
        <v>100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50.05</v>
      </c>
      <c r="E97" s="5">
        <v>2600.52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51.59</v>
      </c>
      <c r="E98" s="5">
        <v>2578.59</v>
      </c>
      <c r="F98" s="16" t="s">
        <v>102</v>
      </c>
      <c r="G98" s="13">
        <f>AVERAGE(E98:E99)</f>
        <v>2579.4549999999999</v>
      </c>
      <c r="H98" s="18">
        <f>STDEV(E98:E99)</f>
        <v>1.22329473145274</v>
      </c>
      <c r="I98" s="5"/>
      <c r="J98" s="5"/>
      <c r="K98" s="5">
        <f>G98+$J$92</f>
        <v>2554.8049999999998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50.52</v>
      </c>
      <c r="E99" s="5">
        <v>2580.3200000000002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51.8</v>
      </c>
      <c r="E100" s="14">
        <v>3004.58</v>
      </c>
      <c r="F100" s="16" t="s">
        <v>104</v>
      </c>
      <c r="G100" s="13">
        <f>AVERAGE(E101:E102)</f>
        <v>3027.23</v>
      </c>
      <c r="H100" s="18">
        <f>STDEV(E101:E102)</f>
        <v>2.390020920410608</v>
      </c>
      <c r="I100" s="5"/>
      <c r="J100" s="5"/>
      <c r="K100" s="5">
        <f>G100+$J$92</f>
        <v>3002.58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51.36</v>
      </c>
      <c r="E101" s="5">
        <v>3025.54</v>
      </c>
      <c r="F101" s="16" t="s">
        <v>105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52.44</v>
      </c>
      <c r="E102" s="5">
        <v>3028.92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49.3</v>
      </c>
      <c r="E103" s="5">
        <v>3016.39</v>
      </c>
      <c r="F103" s="16" t="s">
        <v>107</v>
      </c>
      <c r="G103" s="13">
        <f>AVERAGE(E103,E105)</f>
        <v>3014.8599999999997</v>
      </c>
      <c r="H103" s="18">
        <f>STDEV(E103,E105)</f>
        <v>2.1637467504307968</v>
      </c>
      <c r="I103" s="5"/>
      <c r="J103" s="5"/>
      <c r="K103" s="5">
        <f>G103+$J$92</f>
        <v>2990.2099999999996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51.02</v>
      </c>
      <c r="E104" s="14">
        <v>2995.09</v>
      </c>
      <c r="F104" s="16" t="s">
        <v>108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49.61</v>
      </c>
      <c r="E105" s="5">
        <v>3013.33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52.32</v>
      </c>
      <c r="E106" s="14">
        <v>3010.86</v>
      </c>
      <c r="F106" s="16" t="s">
        <v>110</v>
      </c>
      <c r="G106" s="13">
        <f>AVERAGE(E107:E108)</f>
        <v>3001.3</v>
      </c>
      <c r="H106" s="18">
        <f>STDEV(E107:E108)</f>
        <v>4.879036790187242</v>
      </c>
      <c r="I106" s="5"/>
      <c r="J106" s="5"/>
      <c r="K106" s="5">
        <f>G106+$J$92</f>
        <v>2976.65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49.03</v>
      </c>
      <c r="E107" s="5">
        <v>2997.85</v>
      </c>
      <c r="F107" s="16" t="s">
        <v>111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49.61</v>
      </c>
      <c r="E108" s="5">
        <v>3004.75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47.83</v>
      </c>
      <c r="E109" s="14">
        <v>2696.29</v>
      </c>
      <c r="F109" s="16" t="s">
        <v>113</v>
      </c>
      <c r="G109" s="13">
        <f>AVERAGE(E110:E111)</f>
        <v>2682.9300000000003</v>
      </c>
      <c r="H109" s="18">
        <f>STDEV(E110:E111)</f>
        <v>0.42426406871186417</v>
      </c>
      <c r="I109" s="5"/>
      <c r="J109" s="5"/>
      <c r="K109" s="5">
        <f>G109+$J$92</f>
        <v>2658.28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49.41</v>
      </c>
      <c r="E110" s="5">
        <v>2683.23</v>
      </c>
      <c r="F110" s="16" t="s">
        <v>114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50.51</v>
      </c>
      <c r="E111" s="5">
        <v>2682.63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49.35</v>
      </c>
      <c r="E112" s="14">
        <v>2673.54</v>
      </c>
      <c r="F112" s="16" t="s">
        <v>116</v>
      </c>
      <c r="G112" s="13">
        <f>AVERAGE(E113:E114)</f>
        <v>2666.21</v>
      </c>
      <c r="H112" s="18">
        <f>STDEV(E113:E114)</f>
        <v>3.3658282784481206</v>
      </c>
      <c r="I112" s="5"/>
      <c r="J112" s="5"/>
      <c r="K112" s="5">
        <f>G112+$J$92</f>
        <v>2641.56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51.51</v>
      </c>
      <c r="E113" s="5">
        <v>2663.83</v>
      </c>
      <c r="F113" s="16" t="s">
        <v>117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51.15</v>
      </c>
      <c r="E114" s="5">
        <v>2668.59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52.36</v>
      </c>
      <c r="E115" s="5">
        <v>2674.22</v>
      </c>
      <c r="F115" s="16" t="s">
        <v>119</v>
      </c>
      <c r="G115" s="13">
        <f>AVERAGE(E115:E116)</f>
        <v>2676.22</v>
      </c>
      <c r="H115" s="18">
        <f>STDEV(E115:E116)</f>
        <v>2.8284271247461903</v>
      </c>
      <c r="I115" s="5"/>
      <c r="J115" s="5"/>
      <c r="K115" s="5">
        <f>G115+$J$92</f>
        <v>2651.5699999999997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50.56</v>
      </c>
      <c r="E116" s="5">
        <v>2678.22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49.76</v>
      </c>
      <c r="E117" s="5">
        <v>2672.81</v>
      </c>
      <c r="F117" s="16" t="s">
        <v>121</v>
      </c>
      <c r="G117" s="13">
        <f>AVERAGE(E117,E119)</f>
        <v>2671.2349999999997</v>
      </c>
      <c r="H117" s="18">
        <f>STDEV(E117,E119)</f>
        <v>2.2273863607376891</v>
      </c>
      <c r="I117" s="5"/>
      <c r="J117" s="5"/>
      <c r="K117" s="5">
        <f>G117+$J$92</f>
        <v>2646.5849999999996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49.93</v>
      </c>
      <c r="E118" s="14">
        <v>2644.37</v>
      </c>
      <c r="F118" s="16" t="s">
        <v>122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15">
        <v>50.21</v>
      </c>
      <c r="E119" s="5">
        <v>2669.66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51.39</v>
      </c>
      <c r="E120" s="5">
        <v>2602.8000000000002</v>
      </c>
      <c r="F120" s="16" t="s">
        <v>124</v>
      </c>
      <c r="G120" s="13">
        <f>AVERAGE(E120,E122)</f>
        <v>2602.42</v>
      </c>
      <c r="H120" s="18">
        <f>STDEV(E120,E122)</f>
        <v>0.53740115370193042</v>
      </c>
      <c r="I120" s="5"/>
      <c r="J120" s="5"/>
      <c r="K120" s="5">
        <f>G120+$J$92</f>
        <v>2577.77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49.24</v>
      </c>
      <c r="E121" s="14">
        <v>2621.53</v>
      </c>
      <c r="F121" s="16" t="s">
        <v>125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48.74</v>
      </c>
      <c r="E122" s="5">
        <v>2602.04</v>
      </c>
      <c r="F122" s="16" t="s">
        <v>126</v>
      </c>
    </row>
    <row r="123" spans="1:12" x14ac:dyDescent="0.2">
      <c r="B123" s="15"/>
    </row>
    <row r="124" spans="1:12" x14ac:dyDescent="0.2">
      <c r="A124" s="9" t="s">
        <v>154</v>
      </c>
      <c r="B124" s="10">
        <v>45071</v>
      </c>
      <c r="C124" s="10" t="s">
        <v>12</v>
      </c>
      <c r="D124" s="5">
        <v>48.65</v>
      </c>
      <c r="E124" s="5">
        <v>2243.71</v>
      </c>
      <c r="F124" s="16" t="s">
        <v>8</v>
      </c>
      <c r="G124" s="12">
        <f>AVERAGE(E124,E126)</f>
        <v>2243.3900000000003</v>
      </c>
      <c r="H124" s="13">
        <f>STDEV(E124,E126)</f>
        <v>0.45254833995930038</v>
      </c>
      <c r="I124" s="3">
        <v>2226.44</v>
      </c>
      <c r="J124" s="4">
        <f>I124-G124</f>
        <v>-16.950000000000273</v>
      </c>
      <c r="K124" s="5">
        <f>G124+J124</f>
        <v>2226.44</v>
      </c>
      <c r="L124" s="2" t="s">
        <v>96</v>
      </c>
    </row>
    <row r="125" spans="1:12" x14ac:dyDescent="0.2">
      <c r="A125" s="9" t="s">
        <v>154</v>
      </c>
      <c r="B125" s="10">
        <v>45071</v>
      </c>
      <c r="C125" s="10" t="s">
        <v>12</v>
      </c>
      <c r="D125" s="5">
        <v>52.32</v>
      </c>
      <c r="E125" s="14">
        <v>2236.0300000000002</v>
      </c>
      <c r="F125" s="16" t="s">
        <v>9</v>
      </c>
    </row>
    <row r="126" spans="1:12" x14ac:dyDescent="0.2">
      <c r="A126" s="9" t="s">
        <v>154</v>
      </c>
      <c r="B126" s="10">
        <v>45071</v>
      </c>
      <c r="C126" s="10" t="s">
        <v>12</v>
      </c>
      <c r="D126" s="5">
        <v>49.16</v>
      </c>
      <c r="E126" s="20">
        <v>2243.0700000000002</v>
      </c>
      <c r="F126" s="16" t="s">
        <v>98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50.06</v>
      </c>
      <c r="E127" s="14">
        <v>2581.9299999999998</v>
      </c>
      <c r="F127" s="16" t="s">
        <v>127</v>
      </c>
      <c r="G127" s="13">
        <f>AVERAGE(E128,E129)</f>
        <v>2560.4349999999999</v>
      </c>
      <c r="H127" s="18">
        <f>STDEV(E128,E129)</f>
        <v>1.3788582233136391</v>
      </c>
      <c r="I127" s="5"/>
      <c r="J127" s="5"/>
      <c r="K127" s="5">
        <f>G127+$J$92</f>
        <v>2535.7849999999999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53.5</v>
      </c>
      <c r="E128" s="5">
        <v>2559.46</v>
      </c>
      <c r="F128" s="16" t="s">
        <v>128</v>
      </c>
    </row>
    <row r="129" spans="1:11" x14ac:dyDescent="0.2">
      <c r="A129" s="9" t="s">
        <v>11</v>
      </c>
      <c r="B129" s="10">
        <v>45070</v>
      </c>
      <c r="C129" s="10" t="s">
        <v>12</v>
      </c>
      <c r="D129" s="5">
        <v>49.18</v>
      </c>
      <c r="E129" s="5">
        <v>2561.41</v>
      </c>
      <c r="F129" s="16" t="s">
        <v>129</v>
      </c>
    </row>
    <row r="130" spans="1:11" x14ac:dyDescent="0.2">
      <c r="A130" s="9" t="s">
        <v>11</v>
      </c>
      <c r="B130" s="10">
        <v>45070</v>
      </c>
      <c r="C130" s="10" t="s">
        <v>12</v>
      </c>
      <c r="D130" s="5">
        <v>48.74</v>
      </c>
      <c r="E130" s="14">
        <v>2581.9</v>
      </c>
      <c r="F130" s="16" t="s">
        <v>130</v>
      </c>
      <c r="G130" s="13">
        <f>AVERAGE(E131,E132)</f>
        <v>2565.64</v>
      </c>
      <c r="H130" s="18">
        <f>STDEV(E131,E132)</f>
        <v>3.2102647865869001</v>
      </c>
      <c r="I130" s="5"/>
      <c r="J130" s="5"/>
      <c r="K130" s="5">
        <f>G130+$J$92</f>
        <v>2540.9899999999998</v>
      </c>
    </row>
    <row r="131" spans="1:11" x14ac:dyDescent="0.2">
      <c r="A131" s="9" t="s">
        <v>11</v>
      </c>
      <c r="B131" s="10">
        <v>45070</v>
      </c>
      <c r="C131" s="10" t="s">
        <v>12</v>
      </c>
      <c r="D131" s="5">
        <v>48.46</v>
      </c>
      <c r="E131" s="5">
        <v>2563.37</v>
      </c>
      <c r="F131" s="16" t="s">
        <v>131</v>
      </c>
    </row>
    <row r="132" spans="1:11" x14ac:dyDescent="0.2">
      <c r="A132" s="9" t="s">
        <v>11</v>
      </c>
      <c r="B132" s="10">
        <v>45070</v>
      </c>
      <c r="C132" s="10" t="s">
        <v>12</v>
      </c>
      <c r="D132" s="5">
        <v>51.63</v>
      </c>
      <c r="E132" s="5">
        <v>2567.91</v>
      </c>
      <c r="F132" s="16" t="s">
        <v>152</v>
      </c>
    </row>
    <row r="133" spans="1:11" x14ac:dyDescent="0.2">
      <c r="A133" s="9" t="s">
        <v>11</v>
      </c>
      <c r="B133" s="10">
        <v>45070</v>
      </c>
      <c r="C133" s="10" t="s">
        <v>12</v>
      </c>
      <c r="D133" s="5">
        <v>49.69</v>
      </c>
      <c r="E133" s="5">
        <v>2507.44</v>
      </c>
      <c r="F133" s="16" t="s">
        <v>132</v>
      </c>
      <c r="G133" s="13">
        <f>AVERAGE(E133,E134)</f>
        <v>2509.4250000000002</v>
      </c>
      <c r="H133" s="18">
        <f>STDEV(E133,E134)</f>
        <v>2.8072139213104523</v>
      </c>
      <c r="I133" s="5"/>
      <c r="J133" s="5"/>
      <c r="K133" s="5">
        <f>G133+$J$92</f>
        <v>2484.7750000000001</v>
      </c>
    </row>
    <row r="134" spans="1:11" x14ac:dyDescent="0.2">
      <c r="A134" s="9" t="s">
        <v>11</v>
      </c>
      <c r="B134" s="10">
        <v>45070</v>
      </c>
      <c r="C134" s="10" t="s">
        <v>12</v>
      </c>
      <c r="D134" s="5">
        <v>49.44</v>
      </c>
      <c r="E134" s="5">
        <v>2511.41</v>
      </c>
      <c r="F134" s="16" t="s">
        <v>133</v>
      </c>
    </row>
    <row r="135" spans="1:11" x14ac:dyDescent="0.2">
      <c r="A135" s="9" t="s">
        <v>11</v>
      </c>
      <c r="B135" s="10">
        <v>45070</v>
      </c>
      <c r="C135" s="10" t="s">
        <v>12</v>
      </c>
      <c r="D135" s="5">
        <v>50.55</v>
      </c>
      <c r="E135" s="14">
        <v>2483.41</v>
      </c>
      <c r="F135" s="16" t="s">
        <v>134</v>
      </c>
      <c r="G135" s="13">
        <f>AVERAGE(E136,E137)</f>
        <v>2508.37</v>
      </c>
      <c r="H135" s="18">
        <f>STDEV(E136,E137)</f>
        <v>2.036467529817334</v>
      </c>
      <c r="I135" s="5"/>
      <c r="J135" s="5"/>
      <c r="K135" s="5">
        <f>G135+$J$92</f>
        <v>2483.7199999999998</v>
      </c>
    </row>
    <row r="136" spans="1:11" x14ac:dyDescent="0.2">
      <c r="A136" s="9" t="s">
        <v>11</v>
      </c>
      <c r="B136" s="10">
        <v>45070</v>
      </c>
      <c r="C136" s="10" t="s">
        <v>12</v>
      </c>
      <c r="D136" s="5">
        <v>47.44</v>
      </c>
      <c r="E136" s="5">
        <v>2506.9299999999998</v>
      </c>
      <c r="F136" s="16" t="s">
        <v>135</v>
      </c>
    </row>
    <row r="137" spans="1:11" x14ac:dyDescent="0.2">
      <c r="A137" s="9" t="s">
        <v>11</v>
      </c>
      <c r="B137" s="10">
        <v>45070</v>
      </c>
      <c r="C137" s="10" t="s">
        <v>12</v>
      </c>
      <c r="D137" s="5">
        <v>52.79</v>
      </c>
      <c r="E137" s="5">
        <v>2509.81</v>
      </c>
      <c r="F137" s="16" t="s">
        <v>136</v>
      </c>
    </row>
    <row r="138" spans="1:11" x14ac:dyDescent="0.2">
      <c r="A138" s="9" t="s">
        <v>11</v>
      </c>
      <c r="B138" s="10">
        <v>45070</v>
      </c>
      <c r="C138" s="10" t="s">
        <v>12</v>
      </c>
      <c r="D138" s="5">
        <v>48.3</v>
      </c>
      <c r="E138" s="5">
        <v>2510.2199999999998</v>
      </c>
      <c r="F138" s="16" t="s">
        <v>137</v>
      </c>
      <c r="G138" s="13">
        <f>AVERAGE(E138,E139)</f>
        <v>2513.62</v>
      </c>
      <c r="H138" s="18">
        <f>STDEV(E138,E139)</f>
        <v>4.8083261120686522</v>
      </c>
      <c r="I138" s="5"/>
      <c r="J138" s="5"/>
      <c r="K138" s="5">
        <f>G138+$J$92</f>
        <v>2488.9699999999998</v>
      </c>
    </row>
    <row r="139" spans="1:11" x14ac:dyDescent="0.2">
      <c r="A139" s="9" t="s">
        <v>11</v>
      </c>
      <c r="B139" s="10">
        <v>45070</v>
      </c>
      <c r="C139" s="10" t="s">
        <v>12</v>
      </c>
      <c r="D139" s="5">
        <v>48.44</v>
      </c>
      <c r="E139" s="5">
        <v>2517.02</v>
      </c>
      <c r="F139" s="16" t="s">
        <v>138</v>
      </c>
    </row>
    <row r="140" spans="1:11" x14ac:dyDescent="0.2">
      <c r="A140" s="9" t="s">
        <v>11</v>
      </c>
      <c r="B140" s="10">
        <v>45070</v>
      </c>
      <c r="C140" s="10" t="s">
        <v>12</v>
      </c>
      <c r="D140" s="5">
        <v>49.14</v>
      </c>
      <c r="E140" s="14">
        <v>2572.29</v>
      </c>
      <c r="F140" s="16" t="s">
        <v>139</v>
      </c>
      <c r="G140" s="13">
        <f>AVERAGE(E142,E141)</f>
        <v>2555.61</v>
      </c>
      <c r="H140" s="18">
        <f>STDEV(E142,E141)</f>
        <v>3.5072496346853015</v>
      </c>
      <c r="I140" s="5"/>
      <c r="J140" s="5"/>
      <c r="K140" s="5">
        <f>G140+$J$92</f>
        <v>2530.96</v>
      </c>
    </row>
    <row r="141" spans="1:11" x14ac:dyDescent="0.2">
      <c r="A141" s="9" t="s">
        <v>11</v>
      </c>
      <c r="B141" s="10">
        <v>45070</v>
      </c>
      <c r="C141" s="10" t="s">
        <v>12</v>
      </c>
      <c r="D141" s="5">
        <v>53.79</v>
      </c>
      <c r="E141" s="5">
        <v>2558.09</v>
      </c>
      <c r="F141" s="16" t="s">
        <v>140</v>
      </c>
    </row>
    <row r="142" spans="1:11" x14ac:dyDescent="0.2">
      <c r="A142" s="9" t="s">
        <v>11</v>
      </c>
      <c r="B142" s="10">
        <v>45070</v>
      </c>
      <c r="C142" s="10" t="s">
        <v>12</v>
      </c>
      <c r="D142" s="5">
        <v>48.08</v>
      </c>
      <c r="E142" s="5">
        <v>2553.13</v>
      </c>
      <c r="F142" s="16" t="s">
        <v>141</v>
      </c>
    </row>
    <row r="143" spans="1:11" x14ac:dyDescent="0.2">
      <c r="A143" s="9" t="s">
        <v>11</v>
      </c>
      <c r="B143" s="10">
        <v>45070</v>
      </c>
      <c r="C143" s="10" t="s">
        <v>12</v>
      </c>
      <c r="D143" s="5">
        <v>51.07</v>
      </c>
      <c r="E143" s="5">
        <v>2490.64</v>
      </c>
      <c r="F143" s="16" t="s">
        <v>142</v>
      </c>
      <c r="G143" s="13">
        <f>AVERAGE(E143,E144)</f>
        <v>2490.2249999999999</v>
      </c>
      <c r="H143" s="18">
        <f>STDEV(E143,E144)</f>
        <v>0.58689862838478302</v>
      </c>
      <c r="I143" s="5"/>
      <c r="J143" s="5"/>
      <c r="K143" s="5">
        <f>G143+$J$92</f>
        <v>2465.5749999999998</v>
      </c>
    </row>
    <row r="144" spans="1:11" x14ac:dyDescent="0.2">
      <c r="A144" s="9" t="s">
        <v>11</v>
      </c>
      <c r="B144" s="10">
        <v>45070</v>
      </c>
      <c r="C144" s="10" t="s">
        <v>12</v>
      </c>
      <c r="D144" s="5">
        <v>48.78</v>
      </c>
      <c r="E144" s="5">
        <v>2489.81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155</v>
      </c>
      <c r="E145" s="5" t="s">
        <v>155</v>
      </c>
      <c r="F145" s="16" t="s">
        <v>144</v>
      </c>
      <c r="G145" s="13" t="s">
        <v>155</v>
      </c>
      <c r="H145" s="18" t="s">
        <v>155</v>
      </c>
      <c r="I145" s="5"/>
      <c r="J145" s="5"/>
      <c r="K145" s="5" t="s">
        <v>155</v>
      </c>
      <c r="L145" s="1" t="s">
        <v>184</v>
      </c>
    </row>
    <row r="146" spans="1:12" x14ac:dyDescent="0.2">
      <c r="A146" s="9" t="s">
        <v>11</v>
      </c>
      <c r="B146" s="10">
        <v>45070</v>
      </c>
      <c r="C146" s="10" t="s">
        <v>12</v>
      </c>
      <c r="D146" s="5" t="s">
        <v>155</v>
      </c>
      <c r="E146" s="5" t="s">
        <v>155</v>
      </c>
      <c r="F146" s="16" t="s">
        <v>145</v>
      </c>
    </row>
    <row r="147" spans="1:12" x14ac:dyDescent="0.2">
      <c r="A147" s="9" t="s">
        <v>11</v>
      </c>
      <c r="B147" s="10">
        <v>45070</v>
      </c>
      <c r="C147" s="10" t="s">
        <v>12</v>
      </c>
      <c r="D147" s="5" t="s">
        <v>155</v>
      </c>
      <c r="E147" s="5" t="s">
        <v>155</v>
      </c>
      <c r="F147" s="16" t="s">
        <v>153</v>
      </c>
    </row>
    <row r="148" spans="1:12" x14ac:dyDescent="0.2">
      <c r="A148" s="9" t="s">
        <v>154</v>
      </c>
      <c r="B148" s="10">
        <v>45071</v>
      </c>
      <c r="C148" s="10" t="s">
        <v>12</v>
      </c>
      <c r="D148" s="5">
        <v>51.28</v>
      </c>
      <c r="E148" s="5">
        <v>2508.1</v>
      </c>
      <c r="F148" s="16" t="s">
        <v>146</v>
      </c>
      <c r="G148" s="13">
        <f>AVERAGE(E148,E149)</f>
        <v>2504.9749999999999</v>
      </c>
      <c r="H148" s="18">
        <f>STDEV(E148,E149)</f>
        <v>4.4194173824159222</v>
      </c>
      <c r="I148" s="5"/>
      <c r="J148" s="5"/>
      <c r="K148" s="5">
        <f>G148+$J$124</f>
        <v>2488.0249999999996</v>
      </c>
    </row>
    <row r="149" spans="1:12" x14ac:dyDescent="0.2">
      <c r="A149" s="9" t="s">
        <v>154</v>
      </c>
      <c r="B149" s="10">
        <v>45071</v>
      </c>
      <c r="C149" s="10" t="s">
        <v>12</v>
      </c>
      <c r="D149" s="5">
        <v>48.87</v>
      </c>
      <c r="E149" s="5">
        <v>2501.85</v>
      </c>
      <c r="F149" s="16" t="s">
        <v>147</v>
      </c>
    </row>
    <row r="150" spans="1:12" x14ac:dyDescent="0.2">
      <c r="A150" s="9" t="s">
        <v>154</v>
      </c>
      <c r="B150" s="10">
        <v>45071</v>
      </c>
      <c r="C150" s="10" t="s">
        <v>12</v>
      </c>
      <c r="D150" s="5">
        <v>50.15</v>
      </c>
      <c r="E150" s="14">
        <v>2516.9699999999998</v>
      </c>
      <c r="F150" s="16" t="s">
        <v>148</v>
      </c>
    </row>
    <row r="151" spans="1:12" x14ac:dyDescent="0.2">
      <c r="A151" s="9" t="s">
        <v>154</v>
      </c>
      <c r="B151" s="10">
        <v>45071</v>
      </c>
      <c r="C151" s="10" t="s">
        <v>12</v>
      </c>
      <c r="D151" s="5">
        <v>48.48</v>
      </c>
      <c r="E151" s="5">
        <v>2563.36</v>
      </c>
      <c r="F151" s="16" t="s">
        <v>149</v>
      </c>
      <c r="G151" s="13">
        <f>AVERAGE(E151,E152)</f>
        <v>2562.0500000000002</v>
      </c>
      <c r="H151" s="18">
        <f>STDEV(E151,E152)</f>
        <v>1.852619766708999</v>
      </c>
      <c r="I151" s="5"/>
      <c r="J151" s="5"/>
      <c r="K151" s="5">
        <f>G151+$J$124</f>
        <v>2545.1</v>
      </c>
    </row>
    <row r="152" spans="1:12" x14ac:dyDescent="0.2">
      <c r="A152" s="9" t="s">
        <v>154</v>
      </c>
      <c r="B152" s="10">
        <v>45071</v>
      </c>
      <c r="C152" s="10" t="s">
        <v>12</v>
      </c>
      <c r="D152" s="5">
        <v>48.03</v>
      </c>
      <c r="E152" s="5">
        <v>2560.7399999999998</v>
      </c>
      <c r="F152" s="16" t="s">
        <v>150</v>
      </c>
    </row>
    <row r="153" spans="1:12" x14ac:dyDescent="0.2">
      <c r="A153" s="9" t="s">
        <v>154</v>
      </c>
      <c r="B153" s="10">
        <v>45071</v>
      </c>
      <c r="C153" s="10" t="s">
        <v>12</v>
      </c>
      <c r="D153" s="5">
        <v>48.88</v>
      </c>
      <c r="E153" s="14">
        <v>2577.4</v>
      </c>
      <c r="F153" s="16" t="s">
        <v>151</v>
      </c>
    </row>
    <row r="154" spans="1:12" x14ac:dyDescent="0.2">
      <c r="A154" s="9"/>
      <c r="B154" s="10"/>
      <c r="C154" s="10"/>
      <c r="E154" s="14"/>
      <c r="F154" s="16"/>
    </row>
    <row r="155" spans="1:12" x14ac:dyDescent="0.2">
      <c r="A155" s="9" t="s">
        <v>11</v>
      </c>
      <c r="B155" s="10">
        <v>45072</v>
      </c>
      <c r="C155" s="10" t="s">
        <v>12</v>
      </c>
      <c r="D155" s="5">
        <v>50.92</v>
      </c>
      <c r="E155" s="5">
        <v>2235.3200000000002</v>
      </c>
      <c r="F155" s="16" t="s">
        <v>8</v>
      </c>
      <c r="G155" s="12">
        <f>AVERAGE(E155,E156)</f>
        <v>2233.5550000000003</v>
      </c>
      <c r="H155" s="13">
        <f>STDEV(E155:E156)</f>
        <v>2.4960869375886543</v>
      </c>
      <c r="I155" s="3">
        <v>2226.44</v>
      </c>
      <c r="J155" s="4">
        <f>I155-G155</f>
        <v>-7.1150000000002365</v>
      </c>
      <c r="K155" s="5">
        <f>G155+J155</f>
        <v>2226.44</v>
      </c>
      <c r="L155" s="2" t="s">
        <v>96</v>
      </c>
    </row>
    <row r="156" spans="1:12" x14ac:dyDescent="0.2">
      <c r="A156" s="9" t="s">
        <v>11</v>
      </c>
      <c r="B156" s="10">
        <v>45072</v>
      </c>
      <c r="C156" s="10" t="s">
        <v>12</v>
      </c>
      <c r="D156" s="5">
        <v>48.85</v>
      </c>
      <c r="E156" s="5">
        <v>2231.79</v>
      </c>
      <c r="F156" s="16" t="s">
        <v>9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49.29</v>
      </c>
      <c r="E157" s="14">
        <v>2573.58</v>
      </c>
      <c r="F157" s="16" t="s">
        <v>127</v>
      </c>
      <c r="G157" s="13">
        <f>AVERAGE(E158:E159)</f>
        <v>2559.56</v>
      </c>
      <c r="H157" s="18">
        <f>STDEV(E158:E159)</f>
        <v>3.2668333290817722</v>
      </c>
      <c r="I157" s="5"/>
      <c r="J157" s="5"/>
      <c r="K157" s="5">
        <f>G157+$J$124</f>
        <v>2542.6099999999997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50.59</v>
      </c>
      <c r="E158" s="5">
        <v>2557.25</v>
      </c>
      <c r="F158" s="16" t="s">
        <v>128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48.84</v>
      </c>
      <c r="E159" s="5">
        <v>2561.87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51.03</v>
      </c>
      <c r="E160" s="5">
        <v>2571.7600000000002</v>
      </c>
      <c r="F160" s="16" t="s">
        <v>130</v>
      </c>
      <c r="G160" s="13">
        <f>AVERAGE(E160,E162)</f>
        <v>2571.4499999999998</v>
      </c>
      <c r="H160" s="18">
        <f>STDEV(E160,E162)</f>
        <v>0.43840620433590383</v>
      </c>
      <c r="I160" s="5"/>
      <c r="J160" s="5"/>
      <c r="K160" s="5">
        <f>G160+$J$124</f>
        <v>2554.4999999999995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48.02</v>
      </c>
      <c r="E161" s="14">
        <v>2641.36</v>
      </c>
      <c r="F161" s="16" t="s">
        <v>131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51.38</v>
      </c>
      <c r="E162" s="5">
        <v>2571.14</v>
      </c>
      <c r="F162" s="16" t="s">
        <v>152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51.09</v>
      </c>
      <c r="E163" s="14">
        <v>2509.6999999999998</v>
      </c>
      <c r="F163" s="16" t="s">
        <v>132</v>
      </c>
      <c r="G163" s="13">
        <f>AVERAGE(E164:E165)</f>
        <v>2489.66</v>
      </c>
      <c r="H163" s="18">
        <f>STDEV(E164:E165)</f>
        <v>2.9698484809836927</v>
      </c>
      <c r="I163" s="5"/>
      <c r="J163" s="5"/>
      <c r="K163" s="5">
        <f>G163+$J$124</f>
        <v>2472.7099999999996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51.1</v>
      </c>
      <c r="E164" s="5">
        <v>2491.7600000000002</v>
      </c>
      <c r="F164" s="16" t="s">
        <v>133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52.26</v>
      </c>
      <c r="E165" s="5">
        <v>2487.56</v>
      </c>
      <c r="F165" s="16" t="s">
        <v>156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50.99</v>
      </c>
      <c r="E166" s="5">
        <v>2526.11</v>
      </c>
      <c r="F166" s="16" t="s">
        <v>134</v>
      </c>
      <c r="G166" s="13">
        <f>AVERAGE(E166,E168)</f>
        <v>2526.5600000000004</v>
      </c>
      <c r="H166" s="18">
        <f>STDEV(E166,E168)</f>
        <v>0.63639610306795713</v>
      </c>
      <c r="I166" s="5"/>
      <c r="J166" s="5"/>
      <c r="K166" s="5">
        <f>G166+$J$124</f>
        <v>2509.61</v>
      </c>
    </row>
    <row r="167" spans="1:11" x14ac:dyDescent="0.2">
      <c r="A167" s="9" t="s">
        <v>11</v>
      </c>
      <c r="B167" s="10">
        <v>45071</v>
      </c>
      <c r="C167" s="10" t="s">
        <v>12</v>
      </c>
      <c r="D167" s="5">
        <v>52.82</v>
      </c>
      <c r="E167" s="14">
        <v>2520.5100000000002</v>
      </c>
      <c r="F167" s="16" t="s">
        <v>135</v>
      </c>
    </row>
    <row r="168" spans="1:11" x14ac:dyDescent="0.2">
      <c r="A168" s="9" t="s">
        <v>11</v>
      </c>
      <c r="B168" s="10">
        <v>45071</v>
      </c>
      <c r="C168" s="10" t="s">
        <v>12</v>
      </c>
      <c r="D168" s="5">
        <v>50.85</v>
      </c>
      <c r="E168" s="5">
        <v>2527.0100000000002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50.49</v>
      </c>
      <c r="E169" s="5">
        <v>2523.5</v>
      </c>
      <c r="F169" s="16" t="s">
        <v>137</v>
      </c>
      <c r="G169" s="13">
        <f>AVERAGE(E169:E170)</f>
        <v>2521.355</v>
      </c>
      <c r="H169" s="18">
        <f>STDEV(E169:E170)</f>
        <v>3.0334880912902631</v>
      </c>
      <c r="I169" s="5"/>
      <c r="J169" s="5"/>
      <c r="K169" s="5">
        <f>G169+$J$155</f>
        <v>2514.2399999999998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49.11</v>
      </c>
      <c r="E170" s="5">
        <v>2519.21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52.28</v>
      </c>
      <c r="E171" s="5">
        <v>2573.4699999999998</v>
      </c>
      <c r="F171" s="16" t="s">
        <v>139</v>
      </c>
      <c r="G171" s="13">
        <f>AVERAGE(E171,E173)</f>
        <v>2574.1499999999996</v>
      </c>
      <c r="H171" s="18">
        <f>STDEV(E171,E173)</f>
        <v>0.96166522241379471</v>
      </c>
      <c r="I171" s="5"/>
      <c r="J171" s="5"/>
      <c r="K171" s="5">
        <f>G171+$J$92</f>
        <v>2549.4999999999995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50.12</v>
      </c>
      <c r="E172" s="14">
        <v>2568.59</v>
      </c>
      <c r="F172" s="16" t="s">
        <v>140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51.85</v>
      </c>
      <c r="E173" s="5">
        <v>2574.83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50.5</v>
      </c>
      <c r="E174" s="5">
        <v>2499.33</v>
      </c>
      <c r="F174" s="16" t="s">
        <v>142</v>
      </c>
      <c r="G174" s="13">
        <f>AVERAGE(E175:E176)</f>
        <v>2508.4300000000003</v>
      </c>
      <c r="H174" s="18">
        <f>STDEV(E175:E176)</f>
        <v>3.2526911934580545</v>
      </c>
      <c r="I174" s="5"/>
      <c r="J174" s="5"/>
      <c r="K174" s="5">
        <f>G174+$J$92</f>
        <v>2483.7800000000002</v>
      </c>
    </row>
    <row r="175" spans="1:11" x14ac:dyDescent="0.2">
      <c r="A175" s="9" t="s">
        <v>11</v>
      </c>
      <c r="B175" s="10">
        <v>45072</v>
      </c>
      <c r="C175" s="10" t="s">
        <v>12</v>
      </c>
      <c r="D175" s="5">
        <v>51.34</v>
      </c>
      <c r="E175" s="5">
        <v>2510.73</v>
      </c>
      <c r="F175" s="16" t="s">
        <v>143</v>
      </c>
    </row>
    <row r="176" spans="1:11" x14ac:dyDescent="0.2">
      <c r="A176" s="9" t="s">
        <v>11</v>
      </c>
      <c r="B176" s="10">
        <v>45072</v>
      </c>
      <c r="C176" s="10" t="s">
        <v>12</v>
      </c>
      <c r="D176" s="5">
        <v>49.8</v>
      </c>
      <c r="E176" s="5">
        <v>2506.13</v>
      </c>
      <c r="F176" s="16" t="s">
        <v>157</v>
      </c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50.04</v>
      </c>
      <c r="E177" s="26">
        <v>2464.9499999999998</v>
      </c>
      <c r="F177" s="27" t="s">
        <v>144</v>
      </c>
      <c r="G177" s="13">
        <f>AVERAGE(E177:E178)</f>
        <v>2466.8249999999998</v>
      </c>
      <c r="H177" s="18">
        <f>STDEV(E177:E178)</f>
        <v>2.6516504294495533</v>
      </c>
      <c r="I177" s="26"/>
      <c r="J177" s="26"/>
      <c r="K177" s="26">
        <f>G177+$J$92</f>
        <v>2442.1749999999997</v>
      </c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48.8</v>
      </c>
      <c r="E178" s="26">
        <v>2468.6999999999998</v>
      </c>
      <c r="F178" s="27" t="s">
        <v>145</v>
      </c>
      <c r="G178" s="29"/>
      <c r="H178" s="29"/>
      <c r="I178" s="29"/>
      <c r="J178" s="29"/>
      <c r="K178" s="29"/>
    </row>
    <row r="179" spans="1:12" s="28" customFormat="1" x14ac:dyDescent="0.2">
      <c r="A179" s="24" t="s">
        <v>11</v>
      </c>
      <c r="B179" s="25">
        <v>45072</v>
      </c>
      <c r="C179" s="25" t="s">
        <v>12</v>
      </c>
      <c r="D179" s="26">
        <v>49.87</v>
      </c>
      <c r="E179" s="30">
        <v>2431.39</v>
      </c>
      <c r="F179" s="27" t="s">
        <v>153</v>
      </c>
      <c r="G179" s="29"/>
      <c r="H179" s="29"/>
      <c r="I179" s="29"/>
      <c r="J179" s="29"/>
      <c r="K179" s="29"/>
    </row>
    <row r="180" spans="1:12" s="28" customFormat="1" x14ac:dyDescent="0.2">
      <c r="A180" s="24" t="s">
        <v>11</v>
      </c>
      <c r="B180" s="25">
        <v>45072</v>
      </c>
      <c r="C180" s="25" t="s">
        <v>12</v>
      </c>
      <c r="D180" s="26">
        <v>50.49</v>
      </c>
      <c r="E180" s="30">
        <v>2513.27</v>
      </c>
      <c r="F180" s="27" t="s">
        <v>146</v>
      </c>
      <c r="G180" s="13">
        <f>AVERAGE(E181,E183)</f>
        <v>2479.6350000000002</v>
      </c>
      <c r="H180" s="18">
        <f>STDEV(E181,E183)</f>
        <v>0.68589357775080961</v>
      </c>
      <c r="I180" s="5"/>
      <c r="J180" s="5"/>
      <c r="K180" s="5">
        <f>G180+$J$92</f>
        <v>2454.9850000000001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5">
        <v>49</v>
      </c>
      <c r="E181" s="5">
        <v>2480.12</v>
      </c>
      <c r="F181" s="23" t="s">
        <v>147</v>
      </c>
      <c r="G181" s="1"/>
      <c r="H181" s="1"/>
      <c r="I181" s="1"/>
      <c r="J181" s="1"/>
      <c r="K181" s="1"/>
    </row>
    <row r="182" spans="1:12" x14ac:dyDescent="0.2">
      <c r="A182" s="9" t="s">
        <v>11</v>
      </c>
      <c r="B182" s="10">
        <v>45072</v>
      </c>
      <c r="C182" s="10" t="s">
        <v>12</v>
      </c>
      <c r="D182" s="22">
        <v>49.92</v>
      </c>
      <c r="E182" s="14">
        <v>2459.21</v>
      </c>
      <c r="F182" s="23" t="s">
        <v>148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22">
        <v>51.03</v>
      </c>
      <c r="E183" s="5">
        <v>2479.15</v>
      </c>
      <c r="F183" s="23" t="s">
        <v>159</v>
      </c>
    </row>
    <row r="184" spans="1:12" x14ac:dyDescent="0.2">
      <c r="A184" s="9" t="s">
        <v>11</v>
      </c>
      <c r="B184" s="10">
        <v>45072</v>
      </c>
      <c r="C184" s="10" t="s">
        <v>12</v>
      </c>
      <c r="D184" s="22">
        <v>52.74</v>
      </c>
      <c r="E184" s="14">
        <v>2554.25</v>
      </c>
      <c r="F184" s="21" t="s">
        <v>149</v>
      </c>
      <c r="G184" s="13">
        <f>AVERAGE(E186:E187)</f>
        <v>2569.605</v>
      </c>
      <c r="H184" s="18">
        <f>STDEV(E186:E187)</f>
        <v>4.0092954493277757</v>
      </c>
      <c r="I184" s="5"/>
      <c r="J184" s="5"/>
      <c r="K184" s="5">
        <f>G184+$J$92</f>
        <v>2544.9549999999999</v>
      </c>
      <c r="L184" s="28"/>
    </row>
    <row r="185" spans="1:12" x14ac:dyDescent="0.2">
      <c r="A185" s="9" t="s">
        <v>11</v>
      </c>
      <c r="B185" s="10">
        <v>45072</v>
      </c>
      <c r="C185" s="10" t="s">
        <v>12</v>
      </c>
      <c r="D185" s="22">
        <v>47.48</v>
      </c>
      <c r="E185" s="14">
        <v>2588.33</v>
      </c>
      <c r="F185" s="21" t="s">
        <v>150</v>
      </c>
      <c r="G185" s="1"/>
      <c r="H185" s="1"/>
      <c r="I185" s="1"/>
      <c r="J185" s="1"/>
      <c r="K185" s="1"/>
    </row>
    <row r="186" spans="1:12" x14ac:dyDescent="0.2">
      <c r="A186" s="9" t="s">
        <v>11</v>
      </c>
      <c r="B186" s="10">
        <v>45072</v>
      </c>
      <c r="C186" s="10" t="s">
        <v>12</v>
      </c>
      <c r="D186" s="5">
        <v>48.88</v>
      </c>
      <c r="E186" s="5">
        <v>2572.44</v>
      </c>
      <c r="F186" s="21" t="s">
        <v>151</v>
      </c>
    </row>
    <row r="187" spans="1:12" x14ac:dyDescent="0.2">
      <c r="A187" s="9" t="s">
        <v>11</v>
      </c>
      <c r="B187" s="10">
        <v>45072</v>
      </c>
      <c r="C187" s="10" t="s">
        <v>12</v>
      </c>
      <c r="D187" s="5">
        <v>48.88</v>
      </c>
      <c r="E187" s="5">
        <v>2566.77</v>
      </c>
      <c r="F187" s="21" t="s">
        <v>158</v>
      </c>
    </row>
    <row r="188" spans="1:12" x14ac:dyDescent="0.2">
      <c r="B188" s="15"/>
    </row>
    <row r="189" spans="1:12" x14ac:dyDescent="0.2">
      <c r="A189" s="15" t="s">
        <v>154</v>
      </c>
      <c r="B189" s="31">
        <v>45076</v>
      </c>
      <c r="C189" s="25" t="s">
        <v>12</v>
      </c>
      <c r="D189" s="5">
        <v>52.53</v>
      </c>
      <c r="E189" s="14">
        <v>2209.06</v>
      </c>
      <c r="F189" s="16" t="s">
        <v>8</v>
      </c>
      <c r="G189" s="13">
        <f>AVERAGE(E190:E191)</f>
        <v>2235.2600000000002</v>
      </c>
      <c r="H189" s="18">
        <f>STDEV(E190:E191)</f>
        <v>4.3274935008619151</v>
      </c>
      <c r="I189" s="3">
        <v>2226.44</v>
      </c>
      <c r="J189" s="4">
        <f>I189-G189</f>
        <v>-8.8200000000001637</v>
      </c>
      <c r="K189" s="5">
        <f>G189+J189</f>
        <v>2226.44</v>
      </c>
      <c r="L189" s="2" t="s">
        <v>96</v>
      </c>
    </row>
    <row r="190" spans="1:12" x14ac:dyDescent="0.2">
      <c r="A190" s="15" t="s">
        <v>154</v>
      </c>
      <c r="B190" s="31">
        <v>45076</v>
      </c>
      <c r="C190" s="10" t="s">
        <v>12</v>
      </c>
      <c r="D190" s="5">
        <v>51.3</v>
      </c>
      <c r="E190" s="5">
        <v>2232.1999999999998</v>
      </c>
      <c r="F190" s="16" t="s">
        <v>9</v>
      </c>
    </row>
    <row r="191" spans="1:12" x14ac:dyDescent="0.2">
      <c r="A191" s="15" t="s">
        <v>154</v>
      </c>
      <c r="B191" s="31">
        <v>45076</v>
      </c>
      <c r="C191" s="10" t="s">
        <v>12</v>
      </c>
      <c r="D191" s="5">
        <v>51.63</v>
      </c>
      <c r="E191" s="5">
        <v>2238.3200000000002</v>
      </c>
      <c r="F191" s="17" t="s">
        <v>98</v>
      </c>
    </row>
    <row r="192" spans="1:12" x14ac:dyDescent="0.2">
      <c r="A192" s="15" t="s">
        <v>154</v>
      </c>
      <c r="B192" s="31">
        <v>45076</v>
      </c>
      <c r="C192" s="10" t="s">
        <v>12</v>
      </c>
      <c r="D192" s="5" t="s">
        <v>155</v>
      </c>
      <c r="E192" s="5" t="s">
        <v>155</v>
      </c>
      <c r="F192" s="32" t="s">
        <v>160</v>
      </c>
      <c r="G192" s="5" t="s">
        <v>155</v>
      </c>
      <c r="H192" s="5" t="s">
        <v>155</v>
      </c>
      <c r="K192" s="5" t="s">
        <v>155</v>
      </c>
      <c r="L192" s="1" t="s">
        <v>184</v>
      </c>
    </row>
    <row r="193" spans="1:12" x14ac:dyDescent="0.2">
      <c r="A193" s="15" t="s">
        <v>154</v>
      </c>
      <c r="B193" s="31">
        <v>45076</v>
      </c>
      <c r="C193" s="10" t="s">
        <v>12</v>
      </c>
      <c r="D193" s="5" t="s">
        <v>155</v>
      </c>
      <c r="E193" s="5" t="s">
        <v>155</v>
      </c>
      <c r="F193" s="32" t="s">
        <v>161</v>
      </c>
    </row>
    <row r="194" spans="1:12" x14ac:dyDescent="0.2">
      <c r="A194" s="15" t="s">
        <v>154</v>
      </c>
      <c r="B194" s="31">
        <v>45076</v>
      </c>
      <c r="C194" s="10" t="s">
        <v>12</v>
      </c>
      <c r="D194" s="5" t="s">
        <v>155</v>
      </c>
      <c r="E194" s="5" t="s">
        <v>155</v>
      </c>
      <c r="F194" s="32" t="s">
        <v>162</v>
      </c>
    </row>
    <row r="195" spans="1:12" x14ac:dyDescent="0.2">
      <c r="A195" s="15" t="s">
        <v>154</v>
      </c>
      <c r="B195" s="31">
        <v>45076</v>
      </c>
      <c r="C195" s="10" t="s">
        <v>12</v>
      </c>
      <c r="D195" s="5">
        <v>49.99</v>
      </c>
      <c r="E195" s="14">
        <v>2615.17</v>
      </c>
      <c r="F195" s="17" t="s">
        <v>163</v>
      </c>
      <c r="G195" s="13">
        <f>AVERAGE(E197:E198)</f>
        <v>2584.4350000000004</v>
      </c>
      <c r="H195" s="18">
        <f>STDEV(E197:E198)</f>
        <v>3.3446150750123826</v>
      </c>
      <c r="K195" s="5">
        <f>G195+$J$189</f>
        <v>2575.6150000000002</v>
      </c>
    </row>
    <row r="196" spans="1:12" x14ac:dyDescent="0.2">
      <c r="A196" s="15" t="s">
        <v>154</v>
      </c>
      <c r="B196" s="31">
        <v>45076</v>
      </c>
      <c r="C196" s="10" t="s">
        <v>12</v>
      </c>
      <c r="D196" s="5">
        <v>52.91</v>
      </c>
      <c r="E196" s="14">
        <v>2627.78</v>
      </c>
      <c r="F196" s="17" t="s">
        <v>164</v>
      </c>
    </row>
    <row r="197" spans="1:12" x14ac:dyDescent="0.2">
      <c r="A197" s="15" t="s">
        <v>154</v>
      </c>
      <c r="B197" s="31">
        <v>45076</v>
      </c>
      <c r="C197" s="25" t="s">
        <v>12</v>
      </c>
      <c r="D197" s="5">
        <v>52.49</v>
      </c>
      <c r="E197" s="5">
        <v>2582.0700000000002</v>
      </c>
      <c r="F197" s="17" t="s">
        <v>165</v>
      </c>
    </row>
    <row r="198" spans="1:12" x14ac:dyDescent="0.2">
      <c r="A198" s="15" t="s">
        <v>154</v>
      </c>
      <c r="B198" s="31">
        <v>45076</v>
      </c>
      <c r="C198" s="25" t="s">
        <v>12</v>
      </c>
      <c r="D198" s="5">
        <v>49.24</v>
      </c>
      <c r="E198" s="5">
        <v>2586.8000000000002</v>
      </c>
      <c r="F198" s="17" t="s">
        <v>183</v>
      </c>
    </row>
    <row r="199" spans="1:12" x14ac:dyDescent="0.2">
      <c r="A199" s="15" t="s">
        <v>154</v>
      </c>
      <c r="B199" s="31">
        <v>45076</v>
      </c>
      <c r="C199" s="10" t="s">
        <v>12</v>
      </c>
      <c r="D199" s="5">
        <v>49.64</v>
      </c>
      <c r="E199" s="14">
        <v>2619.5100000000002</v>
      </c>
      <c r="F199" s="17" t="s">
        <v>166</v>
      </c>
      <c r="G199" s="13">
        <f>AVERAGE(E200:E201)</f>
        <v>2567.4549999999999</v>
      </c>
      <c r="H199" s="18">
        <f>STDEV(E200:E201)</f>
        <v>2.4960869375883328</v>
      </c>
      <c r="K199" s="5">
        <f>G199+$J$189</f>
        <v>2558.6349999999998</v>
      </c>
    </row>
    <row r="200" spans="1:12" x14ac:dyDescent="0.2">
      <c r="A200" s="15" t="s">
        <v>154</v>
      </c>
      <c r="B200" s="31">
        <v>45076</v>
      </c>
      <c r="C200" s="10" t="s">
        <v>12</v>
      </c>
      <c r="D200" s="15">
        <v>51.56</v>
      </c>
      <c r="E200" s="5">
        <v>2569.2199999999998</v>
      </c>
      <c r="F200" s="17" t="s">
        <v>167</v>
      </c>
    </row>
    <row r="201" spans="1:12" x14ac:dyDescent="0.2">
      <c r="A201" s="15" t="s">
        <v>154</v>
      </c>
      <c r="B201" s="31">
        <v>45076</v>
      </c>
      <c r="C201" s="10" t="s">
        <v>12</v>
      </c>
      <c r="D201" s="15">
        <v>51.69</v>
      </c>
      <c r="E201" s="5">
        <v>2565.69</v>
      </c>
      <c r="F201" s="17" t="s">
        <v>168</v>
      </c>
    </row>
    <row r="202" spans="1:12" x14ac:dyDescent="0.2">
      <c r="A202" s="9" t="s">
        <v>11</v>
      </c>
      <c r="B202" s="31">
        <v>45078</v>
      </c>
      <c r="C202" s="10" t="s">
        <v>12</v>
      </c>
      <c r="D202" s="15">
        <v>49.93</v>
      </c>
      <c r="E202" s="5">
        <v>2591.6</v>
      </c>
      <c r="F202" s="17" t="s">
        <v>169</v>
      </c>
      <c r="G202" s="13">
        <f>AVERAGE(E202,E204)</f>
        <v>2592.14</v>
      </c>
      <c r="H202" s="18">
        <f>STDEV(E202,E204)</f>
        <v>0.76367532368141988</v>
      </c>
      <c r="K202" s="5">
        <f>G202+$J$189</f>
        <v>2583.3199999999997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51.28</v>
      </c>
      <c r="E203" s="14">
        <v>2584.85</v>
      </c>
      <c r="F203" s="17" t="s">
        <v>170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49.04</v>
      </c>
      <c r="E204" s="5">
        <v>2592.6799999999998</v>
      </c>
      <c r="F204" s="17" t="s">
        <v>171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51.95</v>
      </c>
      <c r="E205" s="5">
        <v>2607.3000000000002</v>
      </c>
      <c r="F205" s="17" t="s">
        <v>172</v>
      </c>
      <c r="G205" s="13">
        <f>AVERAGE(E205,E207)</f>
        <v>2603.8000000000002</v>
      </c>
      <c r="H205" s="18">
        <f>STDEV(E205,E207)</f>
        <v>4.9497474683058327</v>
      </c>
      <c r="K205" s="5">
        <f>G205+$J$189</f>
        <v>2594.98</v>
      </c>
    </row>
    <row r="206" spans="1:12" x14ac:dyDescent="0.2">
      <c r="A206" s="9" t="s">
        <v>11</v>
      </c>
      <c r="B206" s="31">
        <v>45078</v>
      </c>
      <c r="C206" s="25" t="s">
        <v>12</v>
      </c>
      <c r="D206" s="5">
        <v>49.09</v>
      </c>
      <c r="E206" s="14">
        <v>2591.3200000000002</v>
      </c>
      <c r="F206" s="17" t="s">
        <v>173</v>
      </c>
    </row>
    <row r="207" spans="1:12" x14ac:dyDescent="0.2">
      <c r="A207" s="9" t="s">
        <v>11</v>
      </c>
      <c r="B207" s="31">
        <v>45078</v>
      </c>
      <c r="C207" s="10" t="s">
        <v>12</v>
      </c>
      <c r="D207" s="5">
        <v>50.44</v>
      </c>
      <c r="E207" s="5">
        <v>2600.3000000000002</v>
      </c>
      <c r="F207" s="17" t="s">
        <v>174</v>
      </c>
    </row>
    <row r="208" spans="1:12" x14ac:dyDescent="0.2">
      <c r="A208" s="9" t="s">
        <v>11</v>
      </c>
      <c r="B208" s="31">
        <v>45078</v>
      </c>
      <c r="C208" s="10" t="s">
        <v>12</v>
      </c>
      <c r="D208" s="5" t="s">
        <v>155</v>
      </c>
      <c r="E208" s="5" t="s">
        <v>155</v>
      </c>
      <c r="F208" s="32" t="s">
        <v>175</v>
      </c>
      <c r="G208" s="5" t="s">
        <v>155</v>
      </c>
      <c r="H208" s="5" t="s">
        <v>155</v>
      </c>
      <c r="K208" s="5" t="s">
        <v>155</v>
      </c>
      <c r="L208" s="1" t="s">
        <v>184</v>
      </c>
    </row>
    <row r="209" spans="1:12" x14ac:dyDescent="0.2">
      <c r="A209" s="9" t="s">
        <v>11</v>
      </c>
      <c r="B209" s="31">
        <v>45078</v>
      </c>
      <c r="C209" s="10" t="s">
        <v>12</v>
      </c>
      <c r="D209" s="5" t="s">
        <v>155</v>
      </c>
      <c r="E209" s="5" t="s">
        <v>155</v>
      </c>
      <c r="F209" s="32" t="s">
        <v>176</v>
      </c>
    </row>
    <row r="210" spans="1:12" x14ac:dyDescent="0.2">
      <c r="A210" s="24" t="s">
        <v>11</v>
      </c>
      <c r="B210" s="31">
        <v>45078</v>
      </c>
      <c r="C210" s="10" t="s">
        <v>12</v>
      </c>
      <c r="D210" s="5" t="s">
        <v>155</v>
      </c>
      <c r="E210" s="5" t="s">
        <v>155</v>
      </c>
      <c r="F210" s="32" t="s">
        <v>177</v>
      </c>
    </row>
    <row r="211" spans="1:12" x14ac:dyDescent="0.2">
      <c r="A211" s="24" t="s">
        <v>11</v>
      </c>
      <c r="B211" s="31">
        <v>45078</v>
      </c>
      <c r="C211" s="10" t="s">
        <v>12</v>
      </c>
      <c r="D211" s="5">
        <v>50.3</v>
      </c>
      <c r="E211" s="5">
        <v>2570.9</v>
      </c>
      <c r="F211" s="17" t="s">
        <v>178</v>
      </c>
      <c r="G211" s="13">
        <f>AVERAGE(E211:E212)</f>
        <v>2573.395</v>
      </c>
      <c r="H211" s="18">
        <f>STDEV(E211:E212)</f>
        <v>3.5284628381207179</v>
      </c>
      <c r="K211" s="5">
        <f>G211+$J$189</f>
        <v>2564.5749999999998</v>
      </c>
    </row>
    <row r="212" spans="1:12" x14ac:dyDescent="0.2">
      <c r="A212" s="24" t="s">
        <v>11</v>
      </c>
      <c r="B212" s="31">
        <v>45078</v>
      </c>
      <c r="C212" s="10" t="s">
        <v>12</v>
      </c>
      <c r="D212" s="5">
        <v>51.38</v>
      </c>
      <c r="E212" s="5">
        <v>2575.89</v>
      </c>
      <c r="F212" s="17" t="s">
        <v>179</v>
      </c>
    </row>
    <row r="213" spans="1:12" x14ac:dyDescent="0.2">
      <c r="A213" s="9" t="s">
        <v>11</v>
      </c>
      <c r="B213" s="31">
        <v>45078</v>
      </c>
      <c r="C213" s="25" t="s">
        <v>12</v>
      </c>
      <c r="D213" s="5">
        <v>50.34</v>
      </c>
      <c r="E213" s="14">
        <v>2586.64</v>
      </c>
      <c r="F213" s="17" t="s">
        <v>180</v>
      </c>
      <c r="G213" s="13">
        <f>AVERAGE(E215:E216)</f>
        <v>2561.395</v>
      </c>
      <c r="H213" s="18">
        <f>STDEV(E215:E216)</f>
        <v>0.26162950903894538</v>
      </c>
      <c r="K213" s="5">
        <f>G213+$J$189</f>
        <v>2552.5749999999998</v>
      </c>
    </row>
    <row r="214" spans="1:12" x14ac:dyDescent="0.2">
      <c r="A214" s="9" t="s">
        <v>11</v>
      </c>
      <c r="B214" s="31">
        <v>45078</v>
      </c>
      <c r="C214" s="10" t="s">
        <v>12</v>
      </c>
      <c r="D214" s="5">
        <v>50.32</v>
      </c>
      <c r="E214" s="14">
        <v>2576.13</v>
      </c>
      <c r="F214" s="17" t="s">
        <v>181</v>
      </c>
    </row>
    <row r="215" spans="1:12" x14ac:dyDescent="0.2">
      <c r="A215" s="9" t="s">
        <v>11</v>
      </c>
      <c r="B215" s="31">
        <v>45078</v>
      </c>
      <c r="C215" s="10" t="s">
        <v>12</v>
      </c>
      <c r="D215" s="5">
        <v>49.38</v>
      </c>
      <c r="E215" s="5">
        <v>2561.21</v>
      </c>
      <c r="F215" s="17" t="s">
        <v>182</v>
      </c>
    </row>
    <row r="216" spans="1:12" x14ac:dyDescent="0.2">
      <c r="A216" s="9" t="s">
        <v>11</v>
      </c>
      <c r="B216" s="31">
        <v>45078</v>
      </c>
      <c r="C216" s="10" t="s">
        <v>12</v>
      </c>
      <c r="D216" s="5">
        <v>49.46</v>
      </c>
      <c r="E216" s="5">
        <v>2561.58</v>
      </c>
      <c r="F216" s="17" t="s">
        <v>185</v>
      </c>
      <c r="J216" s="5"/>
    </row>
    <row r="217" spans="1:12" x14ac:dyDescent="0.2">
      <c r="A217" s="9"/>
      <c r="B217" s="15"/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50.53</v>
      </c>
      <c r="E218" s="14">
        <v>2247.13</v>
      </c>
      <c r="F218" s="16" t="s">
        <v>8</v>
      </c>
      <c r="G218" s="13">
        <f>AVERAGE(E219:E220)</f>
        <v>2237.33</v>
      </c>
      <c r="H218" s="18">
        <f>STDEV(E219:E220)</f>
        <v>1.7677669529663689</v>
      </c>
      <c r="I218" s="3">
        <v>2226.44</v>
      </c>
      <c r="J218" s="4">
        <f>I218-G218</f>
        <v>-10.889999999999873</v>
      </c>
      <c r="K218" s="5">
        <f>G218+J218</f>
        <v>2226.44</v>
      </c>
      <c r="L218" s="2" t="s">
        <v>96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49.82</v>
      </c>
      <c r="E219" s="5">
        <v>2236.08</v>
      </c>
      <c r="F219" s="16" t="s">
        <v>9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50.01</v>
      </c>
      <c r="E220" s="5">
        <v>2238.58</v>
      </c>
      <c r="F220" s="17" t="s">
        <v>98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 t="s">
        <v>155</v>
      </c>
      <c r="E221" s="5" t="s">
        <v>155</v>
      </c>
      <c r="F221" s="17" t="s">
        <v>237</v>
      </c>
      <c r="G221" s="5" t="s">
        <v>155</v>
      </c>
      <c r="H221" s="5" t="s">
        <v>155</v>
      </c>
      <c r="K221" s="5" t="s">
        <v>155</v>
      </c>
      <c r="L221" s="1" t="s">
        <v>234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 t="s">
        <v>155</v>
      </c>
      <c r="E222" s="5" t="s">
        <v>155</v>
      </c>
      <c r="F222" s="17" t="s">
        <v>236</v>
      </c>
      <c r="G222" s="1"/>
      <c r="H222" s="1"/>
      <c r="I222" s="1"/>
      <c r="J222" s="1"/>
      <c r="K222" s="1"/>
    </row>
    <row r="223" spans="1:12" x14ac:dyDescent="0.2">
      <c r="A223" s="9" t="s">
        <v>11</v>
      </c>
      <c r="B223" s="31">
        <v>45079</v>
      </c>
      <c r="C223" s="10" t="s">
        <v>12</v>
      </c>
      <c r="D223" s="5" t="s">
        <v>155</v>
      </c>
      <c r="E223" s="5" t="s">
        <v>155</v>
      </c>
      <c r="F223" s="17" t="s">
        <v>235</v>
      </c>
      <c r="G223" s="1"/>
      <c r="H223" s="1"/>
      <c r="I223" s="1"/>
      <c r="J223" s="1"/>
      <c r="K223" s="1"/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50.4</v>
      </c>
      <c r="E224" s="5">
        <v>2568.9899999999998</v>
      </c>
      <c r="F224" s="17" t="s">
        <v>186</v>
      </c>
      <c r="G224" s="13">
        <f>AVERAGE(E224:E225)</f>
        <v>2569.0649999999996</v>
      </c>
      <c r="H224" s="18">
        <f>STDEV(E224:E225)</f>
        <v>0.10606601717804644</v>
      </c>
      <c r="K224" s="5">
        <f>G224+$J$218</f>
        <v>2558.1749999999997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50.8</v>
      </c>
      <c r="E225" s="5">
        <v>2569.14</v>
      </c>
      <c r="F225" s="17" t="s">
        <v>187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48.18</v>
      </c>
      <c r="E226" s="5">
        <v>2573.29</v>
      </c>
      <c r="F226" s="17" t="s">
        <v>188</v>
      </c>
      <c r="G226" s="13">
        <f>AVERAGE(E227:E228)</f>
        <v>2568.3900000000003</v>
      </c>
      <c r="H226" s="18">
        <f>STDEV(E226,E228)</f>
        <v>0.77781745930513801</v>
      </c>
      <c r="K226" s="5">
        <f>G226+$J$218</f>
        <v>2557.5000000000005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50.08</v>
      </c>
      <c r="E227" s="14">
        <v>2564.59</v>
      </c>
      <c r="F227" s="17" t="s">
        <v>189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50.64</v>
      </c>
      <c r="E228" s="5">
        <v>2572.19</v>
      </c>
      <c r="F228" s="17" t="s">
        <v>190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51.27</v>
      </c>
      <c r="E229" s="5">
        <v>2569.29</v>
      </c>
      <c r="F229" s="17" t="s">
        <v>191</v>
      </c>
      <c r="G229" s="13">
        <f>AVERAGE(E229:E230)</f>
        <v>2570.1350000000002</v>
      </c>
      <c r="H229" s="18">
        <f>STDEV(E229:E230)</f>
        <v>1.195010460205304</v>
      </c>
      <c r="K229" s="5">
        <f>G229+$J$218</f>
        <v>2559.2450000000003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49.89</v>
      </c>
      <c r="E230" s="5">
        <v>2570.98</v>
      </c>
      <c r="F230" s="17" t="s">
        <v>192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50.77</v>
      </c>
      <c r="E231" s="14">
        <v>2578.58</v>
      </c>
      <c r="F231" s="17" t="s">
        <v>193</v>
      </c>
      <c r="G231" s="13">
        <f>AVERAGE(E232:E233)</f>
        <v>2563.94</v>
      </c>
      <c r="H231" s="18">
        <f>STDEV(E232:E233)</f>
        <v>2.0081832585698978</v>
      </c>
      <c r="K231" s="5">
        <f>G231+$J$218</f>
        <v>2553.0500000000002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51.5</v>
      </c>
      <c r="E232" s="5">
        <v>2562.52</v>
      </c>
      <c r="F232" s="17" t="s">
        <v>194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50.94</v>
      </c>
      <c r="E233" s="5">
        <v>2565.36</v>
      </c>
      <c r="F233" s="17" t="s">
        <v>195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49.65</v>
      </c>
      <c r="E234" s="5">
        <v>2587.7399999999998</v>
      </c>
      <c r="F234" s="32" t="s">
        <v>196</v>
      </c>
      <c r="G234" s="13">
        <f>AVERAGE(E234,E236)</f>
        <v>2586.5</v>
      </c>
      <c r="H234" s="18">
        <f>STDEV(E234,E236)</f>
        <v>1.7536248173423292</v>
      </c>
      <c r="K234" s="5">
        <f>G234+$J$218</f>
        <v>2575.61</v>
      </c>
    </row>
    <row r="235" spans="1:11" x14ac:dyDescent="0.2">
      <c r="A235" s="9" t="s">
        <v>11</v>
      </c>
      <c r="B235" s="31">
        <v>45079</v>
      </c>
      <c r="C235" s="10" t="s">
        <v>12</v>
      </c>
      <c r="D235" s="5">
        <v>49.82</v>
      </c>
      <c r="E235" s="14">
        <v>2575.98</v>
      </c>
      <c r="F235" s="32" t="s">
        <v>197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49.37</v>
      </c>
      <c r="E236" s="5">
        <v>2585.2600000000002</v>
      </c>
      <c r="F236" s="32" t="s">
        <v>198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50.38</v>
      </c>
      <c r="E237" s="5">
        <v>2571.42</v>
      </c>
      <c r="F237" s="17" t="s">
        <v>199</v>
      </c>
      <c r="G237" s="13">
        <f>AVERAGE(E237:E238)</f>
        <v>2572.7600000000002</v>
      </c>
      <c r="H237" s="18">
        <f>STDEV(E237:E238)</f>
        <v>1.8950461735798316</v>
      </c>
      <c r="K237" s="5">
        <f>G237+$J$218</f>
        <v>2561.8700000000003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48.94</v>
      </c>
      <c r="E238" s="5">
        <v>2574.1</v>
      </c>
      <c r="F238" s="17" t="s">
        <v>200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51.96</v>
      </c>
      <c r="E240" s="14">
        <v>2589.33</v>
      </c>
      <c r="F240" s="17" t="s">
        <v>201</v>
      </c>
      <c r="G240" s="13">
        <f>AVERAGE(E241:E242)</f>
        <v>2607.5250000000001</v>
      </c>
      <c r="H240" s="18">
        <f>STDEV(E241:E242)</f>
        <v>4.9143921292463766</v>
      </c>
      <c r="K240" s="5">
        <f>G240+$J$218</f>
        <v>2596.6350000000002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51.12</v>
      </c>
      <c r="E241" s="5">
        <v>2604.0500000000002</v>
      </c>
      <c r="F241" s="17" t="s">
        <v>202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50.19</v>
      </c>
      <c r="E242" s="5">
        <v>2611</v>
      </c>
      <c r="F242" s="17" t="s">
        <v>203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50.01</v>
      </c>
      <c r="E243" s="22">
        <v>2587.63</v>
      </c>
      <c r="F243" s="17" t="s">
        <v>204</v>
      </c>
      <c r="G243" s="13">
        <f>AVERAGE(E243:E244)</f>
        <v>2585.4450000000002</v>
      </c>
      <c r="H243" s="18">
        <f>STDEV(E243:E244)</f>
        <v>3.0900566337851356</v>
      </c>
      <c r="K243" s="5">
        <f>G243+$J$218</f>
        <v>2574.5550000000003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50.78</v>
      </c>
      <c r="E244" s="5">
        <v>2583.2600000000002</v>
      </c>
      <c r="F244" s="17" t="s">
        <v>205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48.04</v>
      </c>
      <c r="E245" s="14">
        <v>3171.62</v>
      </c>
      <c r="F245" s="17" t="s">
        <v>207</v>
      </c>
      <c r="G245" s="13">
        <f>AVERAGE(E246,E248)</f>
        <v>2583.4250000000002</v>
      </c>
      <c r="H245" s="18">
        <f>STDEV(E244,E246)</f>
        <v>0.16263455967259724</v>
      </c>
      <c r="K245" s="5">
        <f>G245+$J$218</f>
        <v>2572.5350000000003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50.59</v>
      </c>
      <c r="E246" s="5">
        <v>2583.4899999999998</v>
      </c>
      <c r="F246" s="17" t="s">
        <v>208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>
        <v>50.55</v>
      </c>
      <c r="E247" s="14">
        <v>2598.48</v>
      </c>
      <c r="F247" s="17" t="s">
        <v>209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>
        <v>49.51</v>
      </c>
      <c r="E248" s="5">
        <v>2583.36</v>
      </c>
      <c r="F248" s="17" t="s">
        <v>219</v>
      </c>
    </row>
    <row r="249" spans="1:12" x14ac:dyDescent="0.2">
      <c r="A249" s="9" t="s">
        <v>11</v>
      </c>
      <c r="B249" s="31">
        <v>45079</v>
      </c>
      <c r="C249" s="10" t="s">
        <v>12</v>
      </c>
      <c r="D249" s="5">
        <v>50.07</v>
      </c>
      <c r="E249" s="5">
        <v>2576</v>
      </c>
      <c r="F249" s="17" t="s">
        <v>210</v>
      </c>
      <c r="G249" s="13">
        <f>AVERAGE(E249:E250)</f>
        <v>2578.415</v>
      </c>
      <c r="H249" s="18">
        <f>STDEV(E249:E250)</f>
        <v>3.4153257531309733</v>
      </c>
      <c r="K249" s="5">
        <f>G249+$J$218</f>
        <v>2567.5250000000001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48.8</v>
      </c>
      <c r="E250" s="5">
        <v>2580.83</v>
      </c>
      <c r="F250" s="17" t="s">
        <v>211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 t="s">
        <v>155</v>
      </c>
      <c r="E251" s="5" t="s">
        <v>155</v>
      </c>
      <c r="F251" s="17" t="s">
        <v>231</v>
      </c>
      <c r="G251" s="5" t="s">
        <v>155</v>
      </c>
      <c r="H251" s="5" t="s">
        <v>155</v>
      </c>
      <c r="K251" s="5" t="s">
        <v>155</v>
      </c>
      <c r="L251" s="1" t="s">
        <v>234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155</v>
      </c>
      <c r="E252" s="5" t="s">
        <v>155</v>
      </c>
      <c r="F252" s="17" t="s">
        <v>232</v>
      </c>
      <c r="G252" s="1"/>
      <c r="H252" s="1"/>
      <c r="I252" s="1"/>
      <c r="J252" s="1"/>
      <c r="K252" s="1"/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155</v>
      </c>
      <c r="E253" s="5" t="s">
        <v>155</v>
      </c>
      <c r="F253" s="17" t="s">
        <v>233</v>
      </c>
      <c r="G253" s="1"/>
      <c r="H253" s="1"/>
      <c r="I253" s="1"/>
      <c r="J253" s="1"/>
      <c r="K253" s="1"/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51.69</v>
      </c>
      <c r="E254" s="5">
        <v>2593.9299999999998</v>
      </c>
      <c r="F254" s="32" t="s">
        <v>213</v>
      </c>
      <c r="G254" s="13">
        <f>AVERAGE(E254:E255)</f>
        <v>2591.4899999999998</v>
      </c>
      <c r="H254" s="18">
        <f>STDEV(E254:E255)</f>
        <v>3.4506810921901074</v>
      </c>
      <c r="K254" s="5">
        <f>G254+$J$218</f>
        <v>2580.6</v>
      </c>
    </row>
    <row r="255" spans="1:12" x14ac:dyDescent="0.2">
      <c r="A255" s="9" t="s">
        <v>11</v>
      </c>
      <c r="B255" s="31">
        <v>45079</v>
      </c>
      <c r="C255" s="10" t="s">
        <v>12</v>
      </c>
      <c r="D255" s="5">
        <v>51.1</v>
      </c>
      <c r="E255" s="5">
        <v>2589.0500000000002</v>
      </c>
      <c r="F255" s="32" t="s">
        <v>214</v>
      </c>
    </row>
    <row r="256" spans="1:12" x14ac:dyDescent="0.2">
      <c r="A256" s="9" t="s">
        <v>11</v>
      </c>
      <c r="B256" s="31">
        <v>45079</v>
      </c>
      <c r="C256" s="10" t="s">
        <v>12</v>
      </c>
      <c r="D256" s="5">
        <v>50.57</v>
      </c>
      <c r="E256" s="5" t="s">
        <v>155</v>
      </c>
      <c r="F256" s="17" t="s">
        <v>216</v>
      </c>
      <c r="G256" s="5" t="s">
        <v>155</v>
      </c>
      <c r="H256" s="5" t="s">
        <v>155</v>
      </c>
      <c r="K256" s="5" t="s">
        <v>155</v>
      </c>
      <c r="L256" s="1" t="s">
        <v>184</v>
      </c>
    </row>
    <row r="257" spans="1:11" x14ac:dyDescent="0.2">
      <c r="A257" s="9" t="s">
        <v>11</v>
      </c>
      <c r="B257" s="31">
        <v>45079</v>
      </c>
      <c r="C257" s="10" t="s">
        <v>12</v>
      </c>
      <c r="D257" s="5">
        <v>50.9</v>
      </c>
      <c r="E257" s="5" t="s">
        <v>155</v>
      </c>
      <c r="F257" s="17" t="s">
        <v>217</v>
      </c>
    </row>
    <row r="258" spans="1:11" x14ac:dyDescent="0.2">
      <c r="A258" s="9" t="s">
        <v>11</v>
      </c>
      <c r="B258" s="31">
        <v>45079</v>
      </c>
      <c r="C258" s="10" t="s">
        <v>12</v>
      </c>
      <c r="D258" s="5">
        <v>50.92</v>
      </c>
      <c r="E258" s="5" t="s">
        <v>155</v>
      </c>
      <c r="F258" s="17" t="s">
        <v>218</v>
      </c>
    </row>
    <row r="259" spans="1:11" x14ac:dyDescent="0.2">
      <c r="E259" s="14"/>
      <c r="F259" s="1"/>
    </row>
    <row r="260" spans="1:11" x14ac:dyDescent="0.2">
      <c r="A260" s="9" t="s">
        <v>11</v>
      </c>
      <c r="B260" s="31">
        <v>45080</v>
      </c>
      <c r="C260" s="25" t="s">
        <v>12</v>
      </c>
      <c r="F260" s="16" t="s">
        <v>8</v>
      </c>
    </row>
    <row r="261" spans="1:11" x14ac:dyDescent="0.2">
      <c r="A261" s="9" t="s">
        <v>11</v>
      </c>
      <c r="B261" s="31">
        <v>45080</v>
      </c>
      <c r="C261" s="10" t="s">
        <v>12</v>
      </c>
      <c r="F261" s="16" t="s">
        <v>9</v>
      </c>
    </row>
    <row r="262" spans="1:11" x14ac:dyDescent="0.2">
      <c r="A262" s="9" t="s">
        <v>11</v>
      </c>
      <c r="B262" s="31">
        <v>45080</v>
      </c>
      <c r="C262" s="10" t="s">
        <v>12</v>
      </c>
      <c r="F262" s="17" t="s">
        <v>98</v>
      </c>
    </row>
    <row r="263" spans="1:11" x14ac:dyDescent="0.2">
      <c r="A263" s="9" t="s">
        <v>11</v>
      </c>
      <c r="B263" s="31">
        <v>45079</v>
      </c>
      <c r="C263" s="10" t="s">
        <v>12</v>
      </c>
      <c r="D263" s="5">
        <v>49.18</v>
      </c>
      <c r="E263" s="5">
        <v>2690.49</v>
      </c>
      <c r="F263" s="32" t="s">
        <v>220</v>
      </c>
      <c r="G263" s="13">
        <f>AVERAGE(E263:E264)</f>
        <v>2690.89</v>
      </c>
      <c r="H263" s="18">
        <f>STDEV(E263:E264)</f>
        <v>0.56568542494936658</v>
      </c>
      <c r="K263" s="5">
        <f>G263+$J$218</f>
        <v>2680</v>
      </c>
    </row>
    <row r="264" spans="1:11" x14ac:dyDescent="0.2">
      <c r="A264" s="9" t="s">
        <v>11</v>
      </c>
      <c r="B264" s="31">
        <v>45079</v>
      </c>
      <c r="C264" s="10" t="s">
        <v>12</v>
      </c>
      <c r="D264" s="5">
        <v>51.14</v>
      </c>
      <c r="E264" s="5">
        <v>2691.29</v>
      </c>
      <c r="F264" s="32" t="s">
        <v>221</v>
      </c>
    </row>
    <row r="265" spans="1:11" x14ac:dyDescent="0.2">
      <c r="A265" s="9" t="s">
        <v>11</v>
      </c>
      <c r="B265" s="31">
        <v>45079</v>
      </c>
      <c r="C265" s="10" t="s">
        <v>12</v>
      </c>
      <c r="D265" s="5">
        <v>50.77</v>
      </c>
      <c r="E265" s="14">
        <v>2851.54</v>
      </c>
      <c r="F265" s="32" t="s">
        <v>222</v>
      </c>
      <c r="G265" s="13">
        <f>AVERAGE(E266:E267)</f>
        <v>2834.8150000000001</v>
      </c>
      <c r="H265" s="18">
        <f>STDEV(E266:E267)</f>
        <v>4.3345645686736134</v>
      </c>
      <c r="K265" s="5">
        <f>G265+$J$218</f>
        <v>2823.9250000000002</v>
      </c>
    </row>
    <row r="266" spans="1:11" x14ac:dyDescent="0.2">
      <c r="A266" s="9" t="s">
        <v>11</v>
      </c>
      <c r="B266" s="31">
        <v>45079</v>
      </c>
      <c r="C266" s="10" t="s">
        <v>12</v>
      </c>
      <c r="D266" s="5">
        <v>49.14</v>
      </c>
      <c r="E266" s="5">
        <v>2837.88</v>
      </c>
      <c r="F266" s="32" t="s">
        <v>223</v>
      </c>
    </row>
    <row r="267" spans="1:11" x14ac:dyDescent="0.2">
      <c r="A267" s="9" t="s">
        <v>11</v>
      </c>
      <c r="B267" s="31">
        <v>45079</v>
      </c>
      <c r="C267" s="10" t="s">
        <v>12</v>
      </c>
      <c r="D267" s="5">
        <v>49.79</v>
      </c>
      <c r="E267" s="5">
        <v>2831.75</v>
      </c>
      <c r="F267" s="32" t="s">
        <v>224</v>
      </c>
    </row>
    <row r="268" spans="1:11" x14ac:dyDescent="0.2">
      <c r="A268" s="9" t="s">
        <v>11</v>
      </c>
      <c r="B268" s="31">
        <v>45080</v>
      </c>
      <c r="C268" s="10" t="s">
        <v>12</v>
      </c>
      <c r="F268" s="32" t="s">
        <v>225</v>
      </c>
    </row>
    <row r="269" spans="1:11" x14ac:dyDescent="0.2">
      <c r="A269" s="9" t="s">
        <v>11</v>
      </c>
      <c r="B269" s="31">
        <v>45080</v>
      </c>
      <c r="C269" s="10" t="s">
        <v>12</v>
      </c>
      <c r="F269" s="32" t="s">
        <v>226</v>
      </c>
    </row>
    <row r="270" spans="1:11" x14ac:dyDescent="0.2">
      <c r="A270" s="9" t="s">
        <v>11</v>
      </c>
      <c r="B270" s="31">
        <v>45080</v>
      </c>
      <c r="C270" s="10" t="s">
        <v>12</v>
      </c>
      <c r="F270" s="32" t="s">
        <v>227</v>
      </c>
    </row>
    <row r="271" spans="1:11" x14ac:dyDescent="0.2">
      <c r="A271" s="9" t="s">
        <v>11</v>
      </c>
      <c r="B271" s="31">
        <v>45080</v>
      </c>
      <c r="C271" s="10" t="s">
        <v>12</v>
      </c>
      <c r="F271" s="32" t="s">
        <v>228</v>
      </c>
    </row>
    <row r="272" spans="1:11" x14ac:dyDescent="0.2">
      <c r="A272" s="9" t="s">
        <v>11</v>
      </c>
      <c r="B272" s="31">
        <v>45080</v>
      </c>
      <c r="C272" s="10" t="s">
        <v>12</v>
      </c>
      <c r="F272" s="32" t="s">
        <v>229</v>
      </c>
    </row>
    <row r="273" spans="1:6" x14ac:dyDescent="0.2">
      <c r="A273" s="9" t="s">
        <v>11</v>
      </c>
      <c r="B273" s="31">
        <v>45080</v>
      </c>
      <c r="C273" s="10" t="s">
        <v>12</v>
      </c>
      <c r="F273" s="32" t="s">
        <v>230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882B6-30B5-6742-81C6-39D5A67D008A}">
  <dimension ref="A1:A18"/>
  <sheetViews>
    <sheetView workbookViewId="0">
      <selection sqref="A1:A18"/>
    </sheetView>
  </sheetViews>
  <sheetFormatPr baseColWidth="10" defaultRowHeight="15" x14ac:dyDescent="0.2"/>
  <sheetData>
    <row r="1" spans="1:1" x14ac:dyDescent="0.2">
      <c r="A1" s="17" t="s">
        <v>201</v>
      </c>
    </row>
    <row r="2" spans="1:1" x14ac:dyDescent="0.2">
      <c r="A2" s="17" t="s">
        <v>202</v>
      </c>
    </row>
    <row r="3" spans="1:1" x14ac:dyDescent="0.2">
      <c r="A3" s="17" t="s">
        <v>203</v>
      </c>
    </row>
    <row r="4" spans="1:1" x14ac:dyDescent="0.2">
      <c r="A4" s="17" t="s">
        <v>204</v>
      </c>
    </row>
    <row r="5" spans="1:1" x14ac:dyDescent="0.2">
      <c r="A5" s="17" t="s">
        <v>205</v>
      </c>
    </row>
    <row r="6" spans="1:1" x14ac:dyDescent="0.2">
      <c r="A6" s="17" t="s">
        <v>206</v>
      </c>
    </row>
    <row r="7" spans="1:1" x14ac:dyDescent="0.2">
      <c r="A7" s="17" t="s">
        <v>207</v>
      </c>
    </row>
    <row r="8" spans="1:1" x14ac:dyDescent="0.2">
      <c r="A8" s="17" t="s">
        <v>208</v>
      </c>
    </row>
    <row r="9" spans="1:1" x14ac:dyDescent="0.2">
      <c r="A9" s="17" t="s">
        <v>209</v>
      </c>
    </row>
    <row r="10" spans="1:1" x14ac:dyDescent="0.2">
      <c r="A10" s="17" t="s">
        <v>210</v>
      </c>
    </row>
    <row r="11" spans="1:1" x14ac:dyDescent="0.2">
      <c r="A11" s="17" t="s">
        <v>211</v>
      </c>
    </row>
    <row r="12" spans="1:1" x14ac:dyDescent="0.2">
      <c r="A12" s="17" t="s">
        <v>212</v>
      </c>
    </row>
    <row r="13" spans="1:1" x14ac:dyDescent="0.2">
      <c r="A13" s="32" t="s">
        <v>213</v>
      </c>
    </row>
    <row r="14" spans="1:1" x14ac:dyDescent="0.2">
      <c r="A14" s="32" t="s">
        <v>214</v>
      </c>
    </row>
    <row r="15" spans="1:1" x14ac:dyDescent="0.2">
      <c r="A15" s="32" t="s">
        <v>215</v>
      </c>
    </row>
    <row r="16" spans="1:1" x14ac:dyDescent="0.2">
      <c r="A16" s="17" t="s">
        <v>216</v>
      </c>
    </row>
    <row r="17" spans="1:1" x14ac:dyDescent="0.2">
      <c r="A17" s="17" t="s">
        <v>217</v>
      </c>
    </row>
    <row r="18" spans="1:1" x14ac:dyDescent="0.2">
      <c r="A18" s="17" t="s">
        <v>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2023-06-02T16:13:01Z</dcterms:modified>
</cp:coreProperties>
</file>