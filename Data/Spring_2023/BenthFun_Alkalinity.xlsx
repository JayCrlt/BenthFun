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8A63CF2E-2D98-E44F-B4B1-5B9AD360B02B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1" i="1" l="1"/>
  <c r="G231" i="1"/>
  <c r="G234" i="1"/>
  <c r="H234" i="1"/>
  <c r="H228" i="1"/>
  <c r="G228" i="1"/>
  <c r="H252" i="1"/>
  <c r="G252" i="1"/>
  <c r="K252" i="1" s="1"/>
  <c r="H249" i="1"/>
  <c r="G249" i="1"/>
  <c r="H246" i="1"/>
  <c r="G246" i="1"/>
  <c r="K246" i="1" s="1"/>
  <c r="H243" i="1"/>
  <c r="G243" i="1"/>
  <c r="K243" i="1" s="1"/>
  <c r="H240" i="1"/>
  <c r="G240" i="1"/>
  <c r="K240" i="1" s="1"/>
  <c r="H237" i="1"/>
  <c r="G237" i="1"/>
  <c r="K237" i="1" s="1"/>
  <c r="H223" i="1"/>
  <c r="G226" i="1"/>
  <c r="H226" i="1"/>
  <c r="G221" i="1"/>
  <c r="H221" i="1"/>
  <c r="H218" i="1"/>
  <c r="G218" i="1"/>
  <c r="J218" i="1" s="1"/>
  <c r="G223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49" i="1" l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4" i="1"/>
  <c r="K223" i="1"/>
  <c r="K228" i="1"/>
  <c r="K226" i="1"/>
  <c r="K231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<sst xmlns="http://schemas.openxmlformats.org/spreadsheetml/2006/main" count="803" uniqueCount="220">
  <si>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</si>
  <si>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</si>
  <si>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</si>
  <si>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</si>
  <si>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</si>
  <si>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</si>
  <si>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</si>
  <si>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</si>
  <si>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</si>
  <si>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</si>
  <si>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</si>
  <si>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</si>
  <si>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</si>
  <si>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</si>
  <si>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</si>
  <si>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</si>
  <si>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</si>
  <si>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</si>
  <si>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</si>
  <si>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</si>
  <si>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</si>
  <si>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</si>
  <si>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</si>
  <si>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</si>
  <si>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</si>
  <si>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</si>
  <si>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</si>
  <si>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</si>
  <si>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</si>
  <si>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</si>
  <si>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</si>
  <si>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</si>
  <si>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</si>
  <si>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</si>
  <si>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</si>
  <si>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</si>
  <si>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</si>
  <si>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</si>
  <si>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</si>
  <si>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</si>
  <si>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</si>
  <si>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</si>
  <si>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</si>
  <si>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</si>
  <si>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</si>
  <si>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</si>
  <si>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</si>
  <si>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</si>
  <si>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</si>
  <si>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</si>
  <si>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</si>
  <si>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</si>
  <si>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</si>
  <si>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</si>
  <si>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</si>
  <si>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</si>
  <si>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</si>
  <si>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</si>
  <si>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</si>
  <si>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</si>
  <si>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</si>
  <si>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</si>
  <si>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</si>
  <si>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</si>
  <si>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</si>
  <si>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</si>
  <si>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</si>
  <si>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</si>
  <si>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</si>
  <si>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</si>
  <si>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</si>
  <si>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</si>
  <si>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</si>
  <si>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</si>
  <si>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</si>
  <si>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</si>
  <si>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</si>
  <si>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</si>
  <si>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</si>
  <si>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</si>
  <si>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</si>
  <si>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</si>
  <si>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</si>
  <si>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</si>
  <si>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</si>
  <si>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</si>
  <si>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</si>
  <si>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</si>
  <si>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</si>
  <si>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</si>
  <si>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</si>
  <si>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</si>
  <si>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</si>
  <si>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</si>
  <si>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</si>
  <si>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</si>
  <si>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</si>
  <si>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</si>
  <si>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</si>
  <si>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</si>
  <si>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</si>
  <si>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</si>
  <si>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</si>
  <si>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</si>
  <si>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</si>
  <si>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</si>
  <si>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</si>
  <si>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</si>
  <si>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</si>
  <si>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</si>
  <si>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</si>
  <si>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</si>
  <si>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</si>
  <si>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</si>
  <si>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</si>
  <si>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</si>
  <si>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</si>
  <si>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</si>
  <si>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</si>
  <si>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</si>
  <si>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</si>
  <si>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</si>
  <si>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</si>
  <si>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</si>
  <si>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</si>
  <si>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</si>
  <si>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</si>
  <si>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</si>
  <si>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</si>
  <si>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</si>
  <si>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</si>
  <si>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</si>
  <si>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</si>
  <si>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</si>
  <si>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</si>
  <si>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</si>
  <si>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</si>
  <si>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</si>
  <si>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</si>
  <si>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</si>
  <si>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</si>
  <si>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</si>
  <si>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</si>
  <si>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</si>
  <si>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</si>
  <si>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</si>
  <si>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</si>
  <si>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</si>
  <si>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</si>
  <si>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</si>
  <si>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</si>
  <si>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</si>
  <si>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</si>
  <si>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</si>
  <si>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</si>
  <si>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</si>
  <si>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</si>
  <si>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</si>
  <si>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</si>
  <si>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</si>
  <si>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bottle fell and broke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</si>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</sst>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4"/>
  <sheetViews>
    <sheetView tabSelected="1" zoomScale="86" zoomScaleNormal="73" workbookViewId="0">
      <pane ySplit="1" topLeftCell="A216" activePane="bottomLeft" state="frozen"/>
      <selection pane="bottomLeft" activeCell="L226" sqref="L226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160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161</v>
      </c>
      <c r="G192" s="5" t="s">
        <v>155</v>
      </c>
      <c r="H192" s="5" t="s">
        <v>155</v>
      </c>
      <c r="K192" s="5" t="s">
        <v>155</v>
      </c>
      <c r="L192" s="1" t="s">
        <v>185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162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163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164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165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166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184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167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168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169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170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171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173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174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175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176</v>
      </c>
      <c r="G208" s="5" t="s">
        <v>155</v>
      </c>
      <c r="H208" s="5" t="s">
        <v>155</v>
      </c>
      <c r="K208" s="5" t="s">
        <v>155</v>
      </c>
      <c r="L208" s="1" t="s">
        <v>185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177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178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179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180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181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182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183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186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E221" s="5">
        <v>2568.9899999999998</v>
      </c>
      <c r="F221" s="17" t="s">
        <v>187</v>
      </c>
      <c r="G221" s="13">
        <f>AVERAGE(E221:E222)</f>
        <v>2569.0649999999996</v>
      </c>
      <c r="H221" s="18">
        <f>STDEV(E221:E222)</f>
        <v>0.10606601717804644</v>
      </c>
      <c r="K221" s="5">
        <f>G221+$J$218</f>
        <v>2558.1749999999997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E222" s="5">
        <v>2569.14</v>
      </c>
      <c r="F222" s="17" t="s">
        <v>188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48.18</v>
      </c>
      <c r="E223" s="5">
        <v>2573.29</v>
      </c>
      <c r="F223" s="17" t="s">
        <v>189</v>
      </c>
      <c r="G223" s="13">
        <f>AVERAGE(E224:E225)</f>
        <v>2568.3900000000003</v>
      </c>
      <c r="H223" s="18">
        <f>STDEV(E223,E225)</f>
        <v>0.77781745930513801</v>
      </c>
      <c r="K223" s="5">
        <f>G223+$J$218</f>
        <v>2557.5000000000005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50.08</v>
      </c>
      <c r="E224" s="14">
        <v>2564.59</v>
      </c>
      <c r="F224" s="17" t="s">
        <v>190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50.64</v>
      </c>
      <c r="E225" s="5">
        <v>2572.19</v>
      </c>
      <c r="F225" s="17" t="s">
        <v>191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51.27</v>
      </c>
      <c r="E226" s="5">
        <v>2569.29</v>
      </c>
      <c r="F226" s="17" t="s">
        <v>192</v>
      </c>
      <c r="G226" s="13">
        <f>AVERAGE(E226:E227)</f>
        <v>2570.1350000000002</v>
      </c>
      <c r="H226" s="18">
        <f>STDEV(E226:E227)</f>
        <v>1.195010460205304</v>
      </c>
      <c r="K226" s="5">
        <f>G226+$J$218</f>
        <v>2559.2450000000003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49.89</v>
      </c>
      <c r="E227" s="5">
        <v>2570.98</v>
      </c>
      <c r="F227" s="17" t="s">
        <v>193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50.77</v>
      </c>
      <c r="E228" s="14">
        <v>2578.58</v>
      </c>
      <c r="F228" s="17" t="s">
        <v>194</v>
      </c>
      <c r="G228" s="13">
        <f>AVERAGE(E229:E230)</f>
        <v>2563.94</v>
      </c>
      <c r="H228" s="18">
        <f>STDEV(E229:E230)</f>
        <v>2.0081832585698978</v>
      </c>
      <c r="K228" s="5">
        <f>G228+$J$218</f>
        <v>2553.0500000000002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51.5</v>
      </c>
      <c r="E229" s="5">
        <v>2562.52</v>
      </c>
      <c r="F229" s="17" t="s">
        <v>195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50.94</v>
      </c>
      <c r="E230" s="5">
        <v>2565.36</v>
      </c>
      <c r="F230" s="17" t="s">
        <v>196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49.65</v>
      </c>
      <c r="E231" s="5">
        <v>2587.7399999999998</v>
      </c>
      <c r="F231" s="32" t="s">
        <v>197</v>
      </c>
      <c r="G231" s="13">
        <f>AVERAGE(E231,E233)</f>
        <v>2586.5</v>
      </c>
      <c r="H231" s="18">
        <f>STDEV(E231,E233)</f>
        <v>1.7536248173423292</v>
      </c>
      <c r="K231" s="5">
        <f>G231+$J$218</f>
        <v>2575.61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49.82</v>
      </c>
      <c r="E232" s="14">
        <v>2575.98</v>
      </c>
      <c r="F232" s="32" t="s">
        <v>198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49.37</v>
      </c>
      <c r="E233" s="5">
        <v>2585.2600000000002</v>
      </c>
      <c r="F233" s="32" t="s">
        <v>199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50.38</v>
      </c>
      <c r="E234" s="5">
        <v>2571.42</v>
      </c>
      <c r="F234" s="17" t="s">
        <v>200</v>
      </c>
      <c r="G234" s="13">
        <f>AVERAGE(E234:E235)</f>
        <v>2572.7600000000002</v>
      </c>
      <c r="H234" s="18">
        <f>STDEV(E234:E235)</f>
        <v>1.8950461735798316</v>
      </c>
      <c r="K234" s="5">
        <f>G234+$J$218</f>
        <v>2561.8700000000003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48.94</v>
      </c>
      <c r="E235" s="5">
        <v>2574.1</v>
      </c>
      <c r="F235" s="17" t="s">
        <v>201</v>
      </c>
    </row>
    <row r="237" spans="1:11" x14ac:dyDescent="0.2">
      <c r="A237" s="9" t="s">
        <v>11</v>
      </c>
      <c r="B237" s="31">
        <v>45079</v>
      </c>
      <c r="C237" s="10" t="s">
        <v>12</v>
      </c>
      <c r="F237" s="17" t="s">
        <v>202</v>
      </c>
      <c r="G237" s="13" t="e">
        <f>AVERAGE(E237:E238)</f>
        <v>#DIV/0!</v>
      </c>
      <c r="H237" s="18" t="e">
        <f>STDEV(E237:E238)</f>
        <v>#DIV/0!</v>
      </c>
      <c r="K237" s="5" t="e">
        <f>G237+$J$218</f>
        <v>#DIV/0!</v>
      </c>
    </row>
    <row r="238" spans="1:11" x14ac:dyDescent="0.2">
      <c r="A238" s="9" t="s">
        <v>11</v>
      </c>
      <c r="B238" s="31">
        <v>45079</v>
      </c>
      <c r="C238" s="10" t="s">
        <v>12</v>
      </c>
      <c r="F238" s="17" t="s">
        <v>203</v>
      </c>
    </row>
    <row r="239" spans="1:11" x14ac:dyDescent="0.2">
      <c r="A239" s="9" t="s">
        <v>11</v>
      </c>
      <c r="B239" s="31">
        <v>45079</v>
      </c>
      <c r="C239" s="10" t="s">
        <v>12</v>
      </c>
      <c r="F239" s="17" t="s">
        <v>204</v>
      </c>
    </row>
    <row r="240" spans="1:11" x14ac:dyDescent="0.2">
      <c r="A240" s="9" t="s">
        <v>11</v>
      </c>
      <c r="B240" s="31">
        <v>45079</v>
      </c>
      <c r="C240" s="10" t="s">
        <v>12</v>
      </c>
      <c r="E240" s="14"/>
      <c r="F240" s="17" t="s">
        <v>205</v>
      </c>
      <c r="G240" s="13" t="e">
        <f>AVERAGE(E240:E241)</f>
        <v>#DIV/0!</v>
      </c>
      <c r="H240" s="18" t="e">
        <f>STDEV(E240:E241)</f>
        <v>#DIV/0!</v>
      </c>
      <c r="K240" s="5" t="e">
        <f>G240+$J$218</f>
        <v>#DIV/0!</v>
      </c>
    </row>
    <row r="241" spans="1:11" x14ac:dyDescent="0.2">
      <c r="A241" s="9" t="s">
        <v>11</v>
      </c>
      <c r="B241" s="31">
        <v>45079</v>
      </c>
      <c r="C241" s="10" t="s">
        <v>12</v>
      </c>
      <c r="F241" s="17" t="s">
        <v>206</v>
      </c>
    </row>
    <row r="242" spans="1:11" x14ac:dyDescent="0.2">
      <c r="A242" s="9" t="s">
        <v>11</v>
      </c>
      <c r="B242" s="31">
        <v>45079</v>
      </c>
      <c r="C242" s="10" t="s">
        <v>12</v>
      </c>
      <c r="F242" s="17" t="s">
        <v>207</v>
      </c>
    </row>
    <row r="243" spans="1:11" x14ac:dyDescent="0.2">
      <c r="A243" s="9" t="s">
        <v>11</v>
      </c>
      <c r="B243" s="31">
        <v>45079</v>
      </c>
      <c r="C243" s="10" t="s">
        <v>12</v>
      </c>
      <c r="F243" s="17" t="s">
        <v>208</v>
      </c>
      <c r="G243" s="13" t="e">
        <f>AVERAGE(E243:E244)</f>
        <v>#DIV/0!</v>
      </c>
      <c r="H243" s="18" t="e">
        <f>STDEV(E243:E244)</f>
        <v>#DIV/0!</v>
      </c>
      <c r="K243" s="5" t="e">
        <f>G243+$J$218</f>
        <v>#DIV/0!</v>
      </c>
    </row>
    <row r="244" spans="1:11" x14ac:dyDescent="0.2">
      <c r="A244" s="9" t="s">
        <v>11</v>
      </c>
      <c r="B244" s="31">
        <v>45079</v>
      </c>
      <c r="C244" s="10" t="s">
        <v>12</v>
      </c>
      <c r="F244" s="17" t="s">
        <v>209</v>
      </c>
    </row>
    <row r="245" spans="1:11" x14ac:dyDescent="0.2">
      <c r="A245" s="9" t="s">
        <v>11</v>
      </c>
      <c r="B245" s="31">
        <v>45079</v>
      </c>
      <c r="C245" s="10" t="s">
        <v>12</v>
      </c>
      <c r="F245" s="17" t="s">
        <v>210</v>
      </c>
    </row>
    <row r="246" spans="1:11" x14ac:dyDescent="0.2">
      <c r="A246" s="9" t="s">
        <v>11</v>
      </c>
      <c r="B246" s="31">
        <v>45079</v>
      </c>
      <c r="C246" s="10" t="s">
        <v>12</v>
      </c>
      <c r="F246" s="17" t="s">
        <v>211</v>
      </c>
      <c r="G246" s="13" t="e">
        <f>AVERAGE(E246:E247)</f>
        <v>#DIV/0!</v>
      </c>
      <c r="H246" s="18" t="e">
        <f>STDEV(E246:E247)</f>
        <v>#DIV/0!</v>
      </c>
      <c r="K246" s="5" t="e">
        <f>G246+$J$218</f>
        <v>#DIV/0!</v>
      </c>
    </row>
    <row r="247" spans="1:11" x14ac:dyDescent="0.2">
      <c r="A247" s="9" t="s">
        <v>11</v>
      </c>
      <c r="B247" s="31">
        <v>45079</v>
      </c>
      <c r="C247" s="10" t="s">
        <v>12</v>
      </c>
      <c r="F247" s="17" t="s">
        <v>212</v>
      </c>
    </row>
    <row r="248" spans="1:11" x14ac:dyDescent="0.2">
      <c r="A248" s="9" t="s">
        <v>11</v>
      </c>
      <c r="B248" s="31">
        <v>45079</v>
      </c>
      <c r="C248" s="10" t="s">
        <v>12</v>
      </c>
      <c r="F248" s="17" t="s">
        <v>213</v>
      </c>
    </row>
    <row r="249" spans="1:11" x14ac:dyDescent="0.2">
      <c r="A249" s="9" t="s">
        <v>11</v>
      </c>
      <c r="B249" s="31">
        <v>45079</v>
      </c>
      <c r="C249" s="10" t="s">
        <v>12</v>
      </c>
      <c r="F249" s="32" t="s">
        <v>214</v>
      </c>
      <c r="G249" s="13" t="e">
        <f>AVERAGE(E249:E250)</f>
        <v>#DIV/0!</v>
      </c>
      <c r="H249" s="18" t="e">
        <f>STDEV(E249:E250)</f>
        <v>#DIV/0!</v>
      </c>
      <c r="K249" s="5" t="e">
        <f>G249+$J$218</f>
        <v>#DIV/0!</v>
      </c>
    </row>
    <row r="250" spans="1:11" x14ac:dyDescent="0.2">
      <c r="A250" s="9" t="s">
        <v>11</v>
      </c>
      <c r="B250" s="31">
        <v>45079</v>
      </c>
      <c r="C250" s="10" t="s">
        <v>12</v>
      </c>
      <c r="F250" s="32" t="s">
        <v>215</v>
      </c>
    </row>
    <row r="251" spans="1:11" x14ac:dyDescent="0.2">
      <c r="A251" s="9" t="s">
        <v>11</v>
      </c>
      <c r="B251" s="31">
        <v>45079</v>
      </c>
      <c r="C251" s="10" t="s">
        <v>12</v>
      </c>
      <c r="F251" s="32" t="s">
        <v>216</v>
      </c>
    </row>
    <row r="252" spans="1:11" x14ac:dyDescent="0.2">
      <c r="A252" s="9" t="s">
        <v>11</v>
      </c>
      <c r="B252" s="31">
        <v>45079</v>
      </c>
      <c r="C252" s="10" t="s">
        <v>12</v>
      </c>
      <c r="F252" s="17" t="s">
        <v>217</v>
      </c>
      <c r="G252" s="13" t="e">
        <f>AVERAGE(E252:E253)</f>
        <v>#DIV/0!</v>
      </c>
      <c r="H252" s="18" t="e">
        <f>STDEV(E252:E253)</f>
        <v>#DIV/0!</v>
      </c>
      <c r="K252" s="5" t="e">
        <f>G252+$J$218</f>
        <v>#DIV/0!</v>
      </c>
    </row>
    <row r="253" spans="1:11" x14ac:dyDescent="0.2">
      <c r="A253" s="9" t="s">
        <v>11</v>
      </c>
      <c r="B253" s="31">
        <v>45079</v>
      </c>
      <c r="C253" s="10" t="s">
        <v>12</v>
      </c>
      <c r="F253" s="17" t="s">
        <v>218</v>
      </c>
    </row>
    <row r="254" spans="1:11" x14ac:dyDescent="0.2">
      <c r="A254" s="9" t="s">
        <v>11</v>
      </c>
      <c r="B254" s="31">
        <v>45079</v>
      </c>
      <c r="C254" s="10" t="s">
        <v>12</v>
      </c>
      <c r="F254" s="17" t="s">
        <v>219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202</v>
      </c>
    </row>
    <row r="2" spans="1:1" x14ac:dyDescent="0.2">
      <c r="A2" s="17" t="s">
        <v>203</v>
      </c>
    </row>
    <row r="3" spans="1:1" x14ac:dyDescent="0.2">
      <c r="A3" s="17" t="s">
        <v>204</v>
      </c>
    </row>
    <row r="4" spans="1:1" x14ac:dyDescent="0.2">
      <c r="A4" s="17" t="s">
        <v>205</v>
      </c>
    </row>
    <row r="5" spans="1:1" x14ac:dyDescent="0.2">
      <c r="A5" s="17" t="s">
        <v>206</v>
      </c>
    </row>
    <row r="6" spans="1:1" x14ac:dyDescent="0.2">
      <c r="A6" s="17" t="s">
        <v>207</v>
      </c>
    </row>
    <row r="7" spans="1:1" x14ac:dyDescent="0.2">
      <c r="A7" s="17" t="s">
        <v>208</v>
      </c>
    </row>
    <row r="8" spans="1:1" x14ac:dyDescent="0.2">
      <c r="A8" s="17" t="s">
        <v>209</v>
      </c>
    </row>
    <row r="9" spans="1:1" x14ac:dyDescent="0.2">
      <c r="A9" s="17" t="s">
        <v>210</v>
      </c>
    </row>
    <row r="10" spans="1:1" x14ac:dyDescent="0.2">
      <c r="A10" s="17" t="s">
        <v>211</v>
      </c>
    </row>
    <row r="11" spans="1:1" x14ac:dyDescent="0.2">
      <c r="A11" s="17" t="s">
        <v>212</v>
      </c>
    </row>
    <row r="12" spans="1:1" x14ac:dyDescent="0.2">
      <c r="A12" s="17" t="s">
        <v>213</v>
      </c>
    </row>
    <row r="13" spans="1:1" x14ac:dyDescent="0.2">
      <c r="A13" s="32" t="s">
        <v>214</v>
      </c>
    </row>
    <row r="14" spans="1:1" x14ac:dyDescent="0.2">
      <c r="A14" s="32" t="s">
        <v>215</v>
      </c>
    </row>
    <row r="15" spans="1:1" x14ac:dyDescent="0.2">
      <c r="A15" s="32" t="s">
        <v>216</v>
      </c>
    </row>
    <row r="16" spans="1:1" x14ac:dyDescent="0.2">
      <c r="A16" s="17" t="s">
        <v>217</v>
      </c>
    </row>
    <row r="17" spans="1:1" x14ac:dyDescent="0.2">
      <c r="A17" s="17" t="s">
        <v>218</v>
      </c>
    </row>
    <row r="18" spans="1:1" x14ac:dyDescent="0.2">
      <c r="A18" s="17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2023-06-02T11:34:56Z</dcterms:modified>
</cp:coreProperties>
</file>