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C04F3CD3-41F7-9E4C-AA76-99F0124165FD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8" i="1" l="1"/>
  <c r="G298" i="1"/>
  <c r="K298" i="1" s="1"/>
  <c r="H295" i="1"/>
  <c r="G295" i="1"/>
  <c r="K295" i="1" s="1"/>
  <c r="H292" i="1"/>
  <c r="G292" i="1"/>
  <c r="K292" i="1" s="1"/>
  <c r="H289" i="1"/>
  <c r="G289" i="1"/>
  <c r="K289" i="1" s="1"/>
  <c r="H286" i="1"/>
  <c r="G286" i="1"/>
  <c r="K286" i="1" s="1"/>
  <c r="H283" i="1"/>
  <c r="G283" i="1"/>
  <c r="K283" i="1" s="1"/>
  <c r="H280" i="1"/>
  <c r="G280" i="1"/>
  <c r="K280" i="1" s="1"/>
  <c r="H277" i="1"/>
  <c r="G277" i="1"/>
  <c r="K277" i="1" s="1"/>
  <c r="H274" i="1"/>
  <c r="G274" i="1"/>
  <c r="K274" i="1" s="1"/>
  <c r="H271" i="1"/>
  <c r="G271" i="1"/>
  <c r="K271" i="1" s="1"/>
  <c r="K268" i="1"/>
  <c r="H268" i="1"/>
  <c r="G268" i="1"/>
  <c r="G260" i="1"/>
  <c r="H260" i="1"/>
  <c r="G265" i="1"/>
  <c r="H265" i="1"/>
  <c r="H263" i="1"/>
  <c r="G263" i="1"/>
  <c r="G254" i="1"/>
  <c r="H240" i="1"/>
  <c r="H245" i="1"/>
  <c r="G245" i="1"/>
  <c r="G240" i="1"/>
  <c r="H234" i="1"/>
  <c r="G234" i="1"/>
  <c r="G237" i="1"/>
  <c r="H237" i="1"/>
  <c r="H231" i="1"/>
  <c r="G231" i="1"/>
  <c r="H254" i="1"/>
  <c r="H249" i="1"/>
  <c r="G249" i="1"/>
  <c r="H243" i="1"/>
  <c r="G243" i="1"/>
  <c r="H226" i="1"/>
  <c r="G229" i="1"/>
  <c r="H229" i="1"/>
  <c r="G224" i="1"/>
  <c r="H224" i="1"/>
  <c r="H218" i="1"/>
  <c r="G218" i="1"/>
  <c r="J218" i="1" s="1"/>
  <c r="G226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J260" i="1" l="1"/>
  <c r="K260" i="1" s="1"/>
  <c r="K265" i="1"/>
  <c r="K263" i="1"/>
  <c r="K245" i="1"/>
  <c r="K240" i="1"/>
  <c r="K243" i="1"/>
  <c r="K249" i="1"/>
  <c r="K254" i="1"/>
  <c r="K213" i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18" i="1" l="1"/>
  <c r="K237" i="1"/>
  <c r="K226" i="1"/>
  <c r="K231" i="1"/>
  <c r="K229" i="1"/>
  <c r="K234" i="1"/>
  <c r="K224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<sst xmlns="http://schemas.openxmlformats.org/spreadsheetml/2006/main" count="1200" uniqueCount="428">
  <si>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</si>
  <si>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</si>
  <si>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</si>
  <si>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</si>
  <si>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</si>
  <si>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</si>
  <si>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</si>
  <si>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</si>
  <si>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</si>
  <si>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</si>
  <si>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</si>
  <si>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</si>
  <si>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</si>
  <si>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</si>
  <si>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</si>
  <si>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</si>
  <si>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</si>
  <si>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</si>
  <si>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</si>
  <si>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</si>
  <si>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</si>
  <si>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</si>
  <si>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</si>
  <si>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</si>
  <si>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</si>
  <si>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</si>
  <si>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</si>
  <si>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</si>
  <si>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</si>
  <si>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</si>
  <si>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</si>
  <si>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</si>
  <si>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</si>
  <si>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</si>
  <si>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</si>
  <si>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</si>
  <si>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</si>
  <si>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</si>
  <si>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</si>
  <si>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</si>
  <si>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</si>
  <si>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</si>
  <si>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</si>
  <si>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</si>
  <si>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</si>
  <si>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</si>
  <si>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</si>
  <si>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</si>
  <si>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</si>
  <si>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</si>
  <si>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</si>
  <si>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</si>
  <si>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</si>
  <si>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</si>
  <si>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</si>
  <si>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</si>
  <si>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</si>
  <si>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</si>
  <si>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</si>
  <si>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</si>
  <si>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</si>
  <si>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</si>
  <si>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</si>
  <si>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</si>
  <si>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</si>
  <si>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</si>
  <si>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</si>
  <si>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</si>
  <si>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</si>
  <si>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</si>
  <si>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</si>
  <si>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</si>
  <si>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</si>
  <si>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</si>
  <si>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</si>
  <si>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</si>
  <si>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</si>
  <si>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</si>
  <si>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</si>
  <si>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</si>
  <si>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</si>
  <si>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</si>
  <si>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</si>
  <si>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</si>
  <si>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</si>
  <si>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</si>
  <si>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</si>
  <si>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</si>
  <si>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</si>
  <si>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</si>
  <si>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</si>
  <si>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</si>
  <si>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</si>
  <si>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</si>
  <si>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</si>
  <si>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</si>
  <si>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</si>
  <si>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</si>
  <si>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</si>
  <si>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</si>
  <si>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</si>
  <si>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</si>
  <si>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</si>
  <si>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</si>
  <si>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</si>
  <si>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</si>
  <si>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</si>
  <si>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</si>
  <si>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</si>
  <si>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</si>
  <si>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</si>
  <si>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</si>
  <si>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</si>
  <si>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</si>
  <si>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</si>
  <si>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</si>
  <si>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</si>
  <si>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</si>
  <si>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</si>
  <si>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</si>
  <si>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</si>
  <si>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</si>
  <si>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</si>
  <si>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</si>
  <si>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</si>
  <si>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</si>
  <si>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</si>
  <si>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</si>
  <si>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</si>
  <si>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</si>
  <si>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</si>
  <si>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</si>
  <si>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</si>
  <si>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</si>
  <si>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</si>
  <si>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</si>
  <si>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</si>
  <si>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</si>
  <si>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</si>
  <si>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</si>
  <si>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</si>
  <si>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</si>
  <si>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</si>
  <si>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</si>
  <si>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</si>
  <si>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</si>
  <si>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</si>
  <si>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</si>
  <si>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</si>
  <si>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</si>
  <si>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</si>
  <si>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</si>
  <si>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</si>
  <si>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</si>
  <si>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</si>
  <si>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</si>
  <si>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</si>
  <si>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</si>
  <si>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</si>
  <si>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</si>
  <si>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</si>
  <si>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</si>
  <si>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</si>
  <si>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</si>
  <si>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</si>
  <si>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</si>
  <si>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</si>
  <si>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</si>
  <si>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</si>
  <si>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</si>
  <si>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</si>
  <si>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</si>
  <si>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</si>
  <si>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</si>
  <si>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</si>
  <si>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</si>
  <si>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</si>
  <si>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</si>
  <si>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</si>
  <si>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</si>
  <si>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</si>
  <si>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</si>
  <si>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</si>
  <si>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</si>
  <si>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</si>
  <si>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</si>
  <si>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</si>
  <si>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</si>
  <si>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</si>
  <si>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</si>
  <si>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</si>
  <si>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</si>
  <si>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</si>
  <si>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</si>
  <si>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</si>
  <si>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</si>
  <si>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</si>
  <si>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</si>
  <si>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</si>
  <si>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</si>
  <si>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</si>
  <si>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</si>
  <si>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</si>
  <si>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</si>
  <si>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</si>
  <si>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</si>
  <si>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</si>
  <si>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</si>
  <si>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</si>
  <si>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</si>
  <si>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</si>
  <si>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</si>
  <si>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</si>
  <si>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</si>
  <si>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</si>
  <si>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</si>
  <si>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</si>
  <si>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</si>
  <si>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</si>
  <si>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</si>
  <si>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</si>
  <si>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</si>
  <si>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</si>
  <si>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</si>
  <si>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</si>
  <si>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</si>
  <si>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</si>
  <si>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</si>
  <si>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</si>
  <si>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</si>
  <si>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</si>
  <si>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</si>
  <si>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</si>
  <si>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</si>
  <si>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</si>
  <si>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</si>
  <si>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</si>
  <si>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</si>
  <si>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</si>
  <si>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PI_t2_ELOW_Tile_2c</t>
  </si>
  <si>
    <t>PI_t2_ELOW_Tile_3a</t>
  </si>
  <si>
    <t>PI_t2_ELOW_Tile_3b</t>
  </si>
  <si>
    <t>PI_t2_ELOW_Tile_3c</t>
  </si>
  <si>
    <t>PI_t3_ELOW_Tile_1a</t>
  </si>
  <si>
    <t>PI_t3_ELOW_Tile_1b</t>
  </si>
  <si>
    <t>PI_t3_ELOW_Tile_2a</t>
  </si>
  <si>
    <t>PI_t3_ELOW_Tile_2b</t>
  </si>
  <si>
    <t>PI_t3_ELOW_Tile_2c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</si>
  <si>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</si>
  <si>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</si>
  <si>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</si>
  <si>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</si>
  <si>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</si>
  <si>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</si>
  <si>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</si>
  <si>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</si>
  <si>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PI_t4_ELOW_Tile_3a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</si>
  <si>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</si>
  <si>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</si>
  <si>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</si>
  <si>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</si>
  <si>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</si>
  <si>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</si>
  <si>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</si>
  <si>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</si>
  <si>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</si>
  <si>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</si>
  <si>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</si>
  <si>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PI_t3_ELOW_Tile_1c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</si>
  <si>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</si>
  <si>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</si>
  <si>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</si>
  <si>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</si>
  <si>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</si>
  <si>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</si>
  <si>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</si>
  <si>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</si>
  <si>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</si>
  <si>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</si>
  <si>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PI_t6_ELOW_Tile_3c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</si>
  <si>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</si>
  <si>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</si>
  <si>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</si>
  <si>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</si>
  <si>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</si>
  <si>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</si>
  <si>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</si>
  <si>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</si>
  <si>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PI_t7_ELOW_Tile_3c</t>
  </si>
  <si>
    <t>PI_t8_ELOW_Tile_1a</t>
  </si>
  <si>
    <t>PI_t8_ELOW_Tile_1b</t>
  </si>
  <si>
    <t>PI_t8_ELOW_Tile_1c</t>
  </si>
  <si>
    <t>PI_t8_ELOW_Tile_2a</t>
  </si>
  <si>
    <t>PI_t8_ELOW_Tile_2b</t>
  </si>
  <si>
    <t>PI_t8_ELOW_Tile_2c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</si>
  <si>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</si>
  <si>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</si>
  <si>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</si>
  <si>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</si>
  <si>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</si>
  <si>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</si>
  <si>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PI_t1_LOW_Tile_2b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</si>
  <si>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</si>
  <si>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</si>
  <si>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</si>
  <si>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</si>
  <si>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</si>
  <si>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</si>
  <si>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</si>
  <si>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</si>
  <si>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</si>
  <si>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PI_t2_LOW_Tile_1c</t>
  </si>
  <si>
    <t>PI_t2_LOW_Tile_2a</t>
  </si>
  <si>
    <t>PI_t2_LOW_Tile_2b</t>
  </si>
  <si>
    <t>PI_t2_LOW_Tile_2c</t>
  </si>
  <si>
    <t>PI_t2_LOW_Tile_3a</t>
  </si>
  <si>
    <t>PI_t2_LOW_Tile_3b</t>
  </si>
  <si>
    <t>PI_t2_LOW_Tile_3c</t>
  </si>
  <si>
    <t>PI_t3_LOW_Tile_1a</t>
  </si>
  <si>
    <t>PI_t3_LOW_Tile_1b</t>
  </si>
  <si>
    <t>PI_t3_LOW_Tile_1c</t>
  </si>
  <si>
    <t>PI_t3_LOW_Tile_2a</t>
  </si>
  <si>
    <t>PI_t3_LOW_Tile_2b</t>
  </si>
  <si>
    <t>PI_t3_LOW_Tile_2c</t>
  </si>
  <si>
    <t>PI_t3_LOW_Tile_3a</t>
  </si>
  <si>
    <t>PI_t3_LOW_Tile_3b</t>
  </si>
  <si>
    <t>PI_t3_LOW_Tile_3c</t>
  </si>
  <si>
    <t>PI_t4_LOW_Tile_1a</t>
  </si>
  <si>
    <t>PI_t4_LOW_Tile_1b</t>
  </si>
  <si>
    <t>PI_t4_LOW_Tile_1c</t>
  </si>
  <si>
    <t>PI_t4_LOW_Tile_2a</t>
  </si>
  <si>
    <t>PI_t4_LOW_Tile_2b</t>
  </si>
  <si>
    <t>PI_t4_LOW_Tile_2c</t>
  </si>
  <si>
    <t>PI_t4_LOW_Tile_3a</t>
  </si>
  <si>
    <t>PI_t4_LOW_Tile_3b</t>
  </si>
  <si>
    <t>PI_t4_LOW_Tile_3c</t>
  </si>
  <si>
    <t>PI_t5_LOW_Tile_1a</t>
  </si>
  <si>
    <t>PI_t5_LOW_Tile_1b</t>
  </si>
  <si>
    <t>PI_t5_LOW_Tile_1c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</si>
  <si>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</si>
  <si>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</si>
  <si>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</si>
  <si>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</si>
  <si>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</si>
  <si>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</si>
  <si>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</si>
  <si>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</si>
  <si>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</si>
  <si>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</si>
  <si>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</si>
  <si>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PI_t6_LOW_Tile_2c</t>
  </si>
  <si>
    <t>PI_t6_LOW_Tile_3a</t>
  </si>
  <si>
    <t>PI_t6_LOW_Tile_3b</t>
  </si>
  <si>
    <t>PI_t6_LOW_Tile_3c</t>
  </si>
  <si>
    <t>PI_t7_LOW_Tile_1a</t>
  </si>
  <si>
    <t>PI_t7_LOW_Tile_1b</t>
  </si>
  <si>
    <t>PI_t7_LOW_Tile_1c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</si>
  <si>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</si>
  <si>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</si>
  <si>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</si>
  <si>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</si>
  <si>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</si>
  <si>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</si>
  <si>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</si>
  <si>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</si>
  <si>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</si>
  <si>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</si>
  <si>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PI_t1_AMB_Tile_2c</t>
  </si>
  <si>
    <t>PI_t1_AMB_Tile_3a</t>
  </si>
  <si>
    <t>PI_t1_AMB_Tile_3b</t>
  </si>
  <si>
    <t>PI_t1_AMB_Tile_3c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</si>
  <si>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</si>
  <si>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</si>
  <si>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</si>
  <si>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</si>
  <si>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</si>
  <si>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</si>
  <si>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</si>
  <si>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</si>
  <si>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PI_t2_AMB_Tile_2c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</si>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</sst>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86"/>
  <sheetViews>
    <sheetView tabSelected="1" zoomScale="90" zoomScaleNormal="73" workbookViewId="0">
      <pane ySplit="1" topLeftCell="A245" activePane="bottomLeft" state="frozen"/>
      <selection pane="bottomLeft" activeCell="D274" sqref="D274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184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160</v>
      </c>
      <c r="G192" s="5" t="s">
        <v>155</v>
      </c>
      <c r="H192" s="5" t="s">
        <v>155</v>
      </c>
      <c r="K192" s="5" t="s">
        <v>155</v>
      </c>
      <c r="L192" s="1" t="s">
        <v>184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161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162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163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164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165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183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166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167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168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169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170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171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172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173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174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175</v>
      </c>
      <c r="G208" s="5" t="s">
        <v>155</v>
      </c>
      <c r="H208" s="5" t="s">
        <v>155</v>
      </c>
      <c r="K208" s="5" t="s">
        <v>155</v>
      </c>
      <c r="L208" s="1" t="s">
        <v>184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176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177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178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179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180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181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182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185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 t="s">
        <v>155</v>
      </c>
      <c r="E221" s="5" t="s">
        <v>155</v>
      </c>
      <c r="F221" s="17" t="s">
        <v>234</v>
      </c>
      <c r="G221" s="5" t="s">
        <v>155</v>
      </c>
      <c r="H221" s="5" t="s">
        <v>155</v>
      </c>
      <c r="K221" s="5" t="s">
        <v>155</v>
      </c>
      <c r="L221" s="1" t="s">
        <v>231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 t="s">
        <v>155</v>
      </c>
      <c r="E222" s="5" t="s">
        <v>155</v>
      </c>
      <c r="F222" s="17" t="s">
        <v>233</v>
      </c>
      <c r="G222" s="1"/>
      <c r="H222" s="1"/>
      <c r="I222" s="1"/>
      <c r="J222" s="1"/>
      <c r="K222" s="1"/>
    </row>
    <row r="223" spans="1:12" x14ac:dyDescent="0.2">
      <c r="A223" s="9" t="s">
        <v>11</v>
      </c>
      <c r="B223" s="31">
        <v>45079</v>
      </c>
      <c r="C223" s="10" t="s">
        <v>12</v>
      </c>
      <c r="D223" s="5" t="s">
        <v>155</v>
      </c>
      <c r="E223" s="5" t="s">
        <v>155</v>
      </c>
      <c r="F223" s="17" t="s">
        <v>232</v>
      </c>
      <c r="G223" s="1"/>
      <c r="H223" s="1"/>
      <c r="I223" s="1"/>
      <c r="J223" s="1"/>
      <c r="K223" s="1"/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50.4</v>
      </c>
      <c r="E224" s="5">
        <v>2568.9899999999998</v>
      </c>
      <c r="F224" s="17" t="s">
        <v>186</v>
      </c>
      <c r="G224" s="13">
        <f>AVERAGE(E224:E225)</f>
        <v>2569.0649999999996</v>
      </c>
      <c r="H224" s="18">
        <f>STDEV(E224:E225)</f>
        <v>0.10606601717804644</v>
      </c>
      <c r="K224" s="5">
        <f>G224+$J$218</f>
        <v>2558.1749999999997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50.8</v>
      </c>
      <c r="E225" s="5">
        <v>2569.14</v>
      </c>
      <c r="F225" s="17" t="s">
        <v>187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48.18</v>
      </c>
      <c r="E226" s="5">
        <v>2573.29</v>
      </c>
      <c r="F226" s="17" t="s">
        <v>188</v>
      </c>
      <c r="G226" s="13">
        <f>AVERAGE(E227:E228)</f>
        <v>2568.3900000000003</v>
      </c>
      <c r="H226" s="18">
        <f>STDEV(E226,E228)</f>
        <v>0.77781745930513801</v>
      </c>
      <c r="K226" s="5">
        <f>G226+$J$218</f>
        <v>2557.5000000000005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50.08</v>
      </c>
      <c r="E227" s="14">
        <v>2564.59</v>
      </c>
      <c r="F227" s="17" t="s">
        <v>189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50.64</v>
      </c>
      <c r="E228" s="5">
        <v>2572.19</v>
      </c>
      <c r="F228" s="17" t="s">
        <v>190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51.27</v>
      </c>
      <c r="E229" s="5">
        <v>2569.29</v>
      </c>
      <c r="F229" s="17" t="s">
        <v>191</v>
      </c>
      <c r="G229" s="13">
        <f>AVERAGE(E229:E230)</f>
        <v>2570.1350000000002</v>
      </c>
      <c r="H229" s="18">
        <f>STDEV(E229:E230)</f>
        <v>1.195010460205304</v>
      </c>
      <c r="K229" s="5">
        <f>G229+$J$218</f>
        <v>2559.2450000000003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49.89</v>
      </c>
      <c r="E230" s="5">
        <v>2570.98</v>
      </c>
      <c r="F230" s="17" t="s">
        <v>192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50.77</v>
      </c>
      <c r="E231" s="14">
        <v>2578.58</v>
      </c>
      <c r="F231" s="17" t="s">
        <v>193</v>
      </c>
      <c r="G231" s="13">
        <f>AVERAGE(E232:E233)</f>
        <v>2563.94</v>
      </c>
      <c r="H231" s="18">
        <f>STDEV(E232:E233)</f>
        <v>2.0081832585698978</v>
      </c>
      <c r="K231" s="5">
        <f>G231+$J$218</f>
        <v>2553.0500000000002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51.5</v>
      </c>
      <c r="E232" s="5">
        <v>2562.52</v>
      </c>
      <c r="F232" s="17" t="s">
        <v>194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50.94</v>
      </c>
      <c r="E233" s="5">
        <v>2565.36</v>
      </c>
      <c r="F233" s="17" t="s">
        <v>195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49.65</v>
      </c>
      <c r="E234" s="5">
        <v>2587.7399999999998</v>
      </c>
      <c r="F234" s="32" t="s">
        <v>196</v>
      </c>
      <c r="G234" s="13">
        <f>AVERAGE(E234,E236)</f>
        <v>2586.5</v>
      </c>
      <c r="H234" s="18">
        <f>STDEV(E234,E236)</f>
        <v>1.7536248173423292</v>
      </c>
      <c r="K234" s="5">
        <f>G234+$J$218</f>
        <v>2575.61</v>
      </c>
    </row>
    <row r="235" spans="1:11" x14ac:dyDescent="0.2">
      <c r="A235" s="9" t="s">
        <v>11</v>
      </c>
      <c r="B235" s="31">
        <v>45079</v>
      </c>
      <c r="C235" s="10" t="s">
        <v>12</v>
      </c>
      <c r="D235" s="5">
        <v>49.82</v>
      </c>
      <c r="E235" s="14">
        <v>2575.98</v>
      </c>
      <c r="F235" s="32" t="s">
        <v>197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49.37</v>
      </c>
      <c r="E236" s="5">
        <v>2585.2600000000002</v>
      </c>
      <c r="F236" s="32" t="s">
        <v>198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50.38</v>
      </c>
      <c r="E237" s="5">
        <v>2571.42</v>
      </c>
      <c r="F237" s="17" t="s">
        <v>199</v>
      </c>
      <c r="G237" s="13">
        <f>AVERAGE(E237:E238)</f>
        <v>2572.7600000000002</v>
      </c>
      <c r="H237" s="18">
        <f>STDEV(E237:E238)</f>
        <v>1.8950461735798316</v>
      </c>
      <c r="K237" s="5">
        <f>G237+$J$218</f>
        <v>2561.8700000000003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48.94</v>
      </c>
      <c r="E238" s="5">
        <v>2574.1</v>
      </c>
      <c r="F238" s="17" t="s">
        <v>200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51.96</v>
      </c>
      <c r="E240" s="14">
        <v>2589.33</v>
      </c>
      <c r="F240" s="17" t="s">
        <v>201</v>
      </c>
      <c r="G240" s="13">
        <f>AVERAGE(E241:E242)</f>
        <v>2607.5250000000001</v>
      </c>
      <c r="H240" s="18">
        <f>STDEV(E241:E242)</f>
        <v>4.9143921292463766</v>
      </c>
      <c r="K240" s="5">
        <f>G240+$J$218</f>
        <v>2596.6350000000002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51.12</v>
      </c>
      <c r="E241" s="5">
        <v>2604.0500000000002</v>
      </c>
      <c r="F241" s="17" t="s">
        <v>202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50.19</v>
      </c>
      <c r="E242" s="5">
        <v>2611</v>
      </c>
      <c r="F242" s="17" t="s">
        <v>203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50.01</v>
      </c>
      <c r="E243" s="22">
        <v>2587.63</v>
      </c>
      <c r="F243" s="17" t="s">
        <v>204</v>
      </c>
      <c r="G243" s="13">
        <f>AVERAGE(E243:E244)</f>
        <v>2585.4450000000002</v>
      </c>
      <c r="H243" s="18">
        <f>STDEV(E243:E244)</f>
        <v>3.0900566337851356</v>
      </c>
      <c r="K243" s="5">
        <f>G243+$J$218</f>
        <v>2574.5550000000003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50.78</v>
      </c>
      <c r="E244" s="5">
        <v>2583.2600000000002</v>
      </c>
      <c r="F244" s="17" t="s">
        <v>205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48.04</v>
      </c>
      <c r="E245" s="14">
        <v>3171.62</v>
      </c>
      <c r="F245" s="17" t="s">
        <v>206</v>
      </c>
      <c r="G245" s="13">
        <f>AVERAGE(E246,E248)</f>
        <v>2583.4250000000002</v>
      </c>
      <c r="H245" s="18">
        <f>STDEV(E244,E246)</f>
        <v>0.16263455967259724</v>
      </c>
      <c r="K245" s="5">
        <f>G245+$J$218</f>
        <v>2572.5350000000003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50.59</v>
      </c>
      <c r="E246" s="5">
        <v>2583.4899999999998</v>
      </c>
      <c r="F246" s="17" t="s">
        <v>207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>
        <v>50.55</v>
      </c>
      <c r="E247" s="14">
        <v>2598.48</v>
      </c>
      <c r="F247" s="17" t="s">
        <v>208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>
        <v>49.51</v>
      </c>
      <c r="E248" s="5">
        <v>2583.36</v>
      </c>
      <c r="F248" s="17" t="s">
        <v>216</v>
      </c>
    </row>
    <row r="249" spans="1:12" x14ac:dyDescent="0.2">
      <c r="A249" s="9" t="s">
        <v>11</v>
      </c>
      <c r="B249" s="31">
        <v>45079</v>
      </c>
      <c r="C249" s="10" t="s">
        <v>12</v>
      </c>
      <c r="D249" s="5">
        <v>50.07</v>
      </c>
      <c r="E249" s="5">
        <v>2576</v>
      </c>
      <c r="F249" s="17" t="s">
        <v>209</v>
      </c>
      <c r="G249" s="13">
        <f>AVERAGE(E249:E250)</f>
        <v>2578.415</v>
      </c>
      <c r="H249" s="18">
        <f>STDEV(E249:E250)</f>
        <v>3.4153257531309733</v>
      </c>
      <c r="K249" s="5">
        <f>G249+$J$218</f>
        <v>2567.5250000000001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48.8</v>
      </c>
      <c r="E250" s="5">
        <v>2580.83</v>
      </c>
      <c r="F250" s="17" t="s">
        <v>210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 t="s">
        <v>155</v>
      </c>
      <c r="E251" s="5" t="s">
        <v>155</v>
      </c>
      <c r="F251" s="17" t="s">
        <v>228</v>
      </c>
      <c r="G251" s="5" t="s">
        <v>155</v>
      </c>
      <c r="H251" s="5" t="s">
        <v>155</v>
      </c>
      <c r="K251" s="5" t="s">
        <v>155</v>
      </c>
      <c r="L251" s="1" t="s">
        <v>231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155</v>
      </c>
      <c r="E252" s="5" t="s">
        <v>155</v>
      </c>
      <c r="F252" s="17" t="s">
        <v>229</v>
      </c>
      <c r="G252" s="1"/>
      <c r="H252" s="1"/>
      <c r="I252" s="1"/>
      <c r="J252" s="1"/>
      <c r="K252" s="1"/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155</v>
      </c>
      <c r="E253" s="5" t="s">
        <v>155</v>
      </c>
      <c r="F253" s="17" t="s">
        <v>230</v>
      </c>
      <c r="G253" s="1"/>
      <c r="H253" s="1"/>
      <c r="I253" s="1"/>
      <c r="J253" s="1"/>
      <c r="K253" s="1"/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51.69</v>
      </c>
      <c r="E254" s="5">
        <v>2593.9299999999998</v>
      </c>
      <c r="F254" s="32" t="s">
        <v>211</v>
      </c>
      <c r="G254" s="13">
        <f>AVERAGE(E254:E255)</f>
        <v>2591.4899999999998</v>
      </c>
      <c r="H254" s="18">
        <f>STDEV(E254:E255)</f>
        <v>3.4506810921901074</v>
      </c>
      <c r="K254" s="5">
        <f>G254+$J$218</f>
        <v>2580.6</v>
      </c>
    </row>
    <row r="255" spans="1:12" x14ac:dyDescent="0.2">
      <c r="A255" s="9" t="s">
        <v>11</v>
      </c>
      <c r="B255" s="31">
        <v>45079</v>
      </c>
      <c r="C255" s="10" t="s">
        <v>12</v>
      </c>
      <c r="D255" s="5">
        <v>51.1</v>
      </c>
      <c r="E255" s="5">
        <v>2589.0500000000002</v>
      </c>
      <c r="F255" s="32" t="s">
        <v>212</v>
      </c>
    </row>
    <row r="256" spans="1:12" x14ac:dyDescent="0.2">
      <c r="A256" s="9" t="s">
        <v>11</v>
      </c>
      <c r="B256" s="31">
        <v>45079</v>
      </c>
      <c r="C256" s="10" t="s">
        <v>12</v>
      </c>
      <c r="D256" s="5">
        <v>50.57</v>
      </c>
      <c r="E256" s="5" t="s">
        <v>155</v>
      </c>
      <c r="F256" s="17" t="s">
        <v>213</v>
      </c>
      <c r="G256" s="5" t="s">
        <v>155</v>
      </c>
      <c r="H256" s="5" t="s">
        <v>155</v>
      </c>
      <c r="K256" s="5" t="s">
        <v>155</v>
      </c>
      <c r="L256" s="1" t="s">
        <v>184</v>
      </c>
    </row>
    <row r="257" spans="1:12" x14ac:dyDescent="0.2">
      <c r="A257" s="9" t="s">
        <v>11</v>
      </c>
      <c r="B257" s="31">
        <v>45079</v>
      </c>
      <c r="C257" s="10" t="s">
        <v>12</v>
      </c>
      <c r="D257" s="5">
        <v>50.9</v>
      </c>
      <c r="E257" s="5" t="s">
        <v>155</v>
      </c>
      <c r="F257" s="17" t="s">
        <v>214</v>
      </c>
    </row>
    <row r="258" spans="1:12" x14ac:dyDescent="0.2">
      <c r="A258" s="9" t="s">
        <v>11</v>
      </c>
      <c r="B258" s="31">
        <v>45079</v>
      </c>
      <c r="C258" s="10" t="s">
        <v>12</v>
      </c>
      <c r="D258" s="5">
        <v>50.92</v>
      </c>
      <c r="E258" s="5" t="s">
        <v>155</v>
      </c>
      <c r="F258" s="17" t="s">
        <v>215</v>
      </c>
    </row>
    <row r="259" spans="1:12" x14ac:dyDescent="0.2">
      <c r="E259" s="14"/>
      <c r="F259" s="1"/>
    </row>
    <row r="260" spans="1:12" x14ac:dyDescent="0.2">
      <c r="A260" s="9" t="s">
        <v>11</v>
      </c>
      <c r="B260" s="31">
        <v>45080</v>
      </c>
      <c r="C260" s="25" t="s">
        <v>12</v>
      </c>
      <c r="D260" s="5">
        <v>49.53</v>
      </c>
      <c r="E260" s="5">
        <v>2239.6799999999998</v>
      </c>
      <c r="F260" s="16" t="s">
        <v>8</v>
      </c>
      <c r="G260" s="13">
        <f>AVERAGE(E260,E262)</f>
        <v>2236.9849999999997</v>
      </c>
      <c r="H260" s="18">
        <f>STDEV(E260,E262)</f>
        <v>3.8113055505954012</v>
      </c>
      <c r="I260" s="3">
        <v>2226.44</v>
      </c>
      <c r="J260" s="4">
        <f>I260-G260</f>
        <v>-10.544999999999618</v>
      </c>
      <c r="K260" s="5">
        <f>G260+J260</f>
        <v>2226.44</v>
      </c>
      <c r="L260" s="2" t="s">
        <v>96</v>
      </c>
    </row>
    <row r="261" spans="1:12" x14ac:dyDescent="0.2">
      <c r="A261" s="9" t="s">
        <v>11</v>
      </c>
      <c r="B261" s="31">
        <v>45080</v>
      </c>
      <c r="C261" s="10" t="s">
        <v>12</v>
      </c>
      <c r="D261" s="5">
        <v>49.91</v>
      </c>
      <c r="E261" s="5">
        <v>2246.6</v>
      </c>
      <c r="F261" s="16" t="s">
        <v>9</v>
      </c>
    </row>
    <row r="262" spans="1:12" x14ac:dyDescent="0.2">
      <c r="A262" s="9" t="s">
        <v>11</v>
      </c>
      <c r="B262" s="31">
        <v>45080</v>
      </c>
      <c r="C262" s="10" t="s">
        <v>12</v>
      </c>
      <c r="D262" s="5">
        <v>50.71</v>
      </c>
      <c r="E262" s="5">
        <v>2234.29</v>
      </c>
      <c r="F262" s="17" t="s">
        <v>98</v>
      </c>
    </row>
    <row r="263" spans="1:12" x14ac:dyDescent="0.2">
      <c r="A263" s="9" t="s">
        <v>11</v>
      </c>
      <c r="B263" s="31">
        <v>45079</v>
      </c>
      <c r="C263" s="10" t="s">
        <v>12</v>
      </c>
      <c r="D263" s="5">
        <v>49.18</v>
      </c>
      <c r="E263" s="5">
        <v>2690.49</v>
      </c>
      <c r="F263" s="32" t="s">
        <v>217</v>
      </c>
      <c r="G263" s="13">
        <f>AVERAGE(E263:E264)</f>
        <v>2690.89</v>
      </c>
      <c r="H263" s="18">
        <f>STDEV(E263:E264)</f>
        <v>0.56568542494936658</v>
      </c>
      <c r="K263" s="5">
        <f>G263+$J$218</f>
        <v>2680</v>
      </c>
    </row>
    <row r="264" spans="1:12" x14ac:dyDescent="0.2">
      <c r="A264" s="9" t="s">
        <v>11</v>
      </c>
      <c r="B264" s="31">
        <v>45079</v>
      </c>
      <c r="C264" s="10" t="s">
        <v>12</v>
      </c>
      <c r="D264" s="5">
        <v>51.14</v>
      </c>
      <c r="E264" s="5">
        <v>2691.29</v>
      </c>
      <c r="F264" s="32" t="s">
        <v>218</v>
      </c>
    </row>
    <row r="265" spans="1:12" x14ac:dyDescent="0.2">
      <c r="A265" s="9" t="s">
        <v>11</v>
      </c>
      <c r="B265" s="31">
        <v>45079</v>
      </c>
      <c r="C265" s="10" t="s">
        <v>12</v>
      </c>
      <c r="D265" s="5">
        <v>50.77</v>
      </c>
      <c r="E265" s="14">
        <v>2851.54</v>
      </c>
      <c r="F265" s="32" t="s">
        <v>219</v>
      </c>
      <c r="G265" s="13">
        <f>AVERAGE(E266:E267)</f>
        <v>2834.8150000000001</v>
      </c>
      <c r="H265" s="18">
        <f>STDEV(E266:E267)</f>
        <v>4.3345645686736134</v>
      </c>
      <c r="K265" s="5">
        <f>G265+$J$218</f>
        <v>2823.9250000000002</v>
      </c>
    </row>
    <row r="266" spans="1:12" x14ac:dyDescent="0.2">
      <c r="A266" s="9" t="s">
        <v>11</v>
      </c>
      <c r="B266" s="31">
        <v>45079</v>
      </c>
      <c r="C266" s="10" t="s">
        <v>12</v>
      </c>
      <c r="D266" s="5">
        <v>49.14</v>
      </c>
      <c r="E266" s="5">
        <v>2837.88</v>
      </c>
      <c r="F266" s="32" t="s">
        <v>220</v>
      </c>
    </row>
    <row r="267" spans="1:12" x14ac:dyDescent="0.2">
      <c r="A267" s="9" t="s">
        <v>11</v>
      </c>
      <c r="B267" s="31">
        <v>45079</v>
      </c>
      <c r="C267" s="10" t="s">
        <v>12</v>
      </c>
      <c r="D267" s="5">
        <v>49.79</v>
      </c>
      <c r="E267" s="5">
        <v>2831.75</v>
      </c>
      <c r="F267" s="32" t="s">
        <v>221</v>
      </c>
    </row>
    <row r="268" spans="1:12" x14ac:dyDescent="0.2">
      <c r="A268" s="9" t="s">
        <v>11</v>
      </c>
      <c r="B268" s="31">
        <v>45080</v>
      </c>
      <c r="C268" s="10" t="s">
        <v>12</v>
      </c>
      <c r="D268" s="5">
        <v>50.99</v>
      </c>
      <c r="F268" s="32" t="s">
        <v>222</v>
      </c>
      <c r="G268" s="13" t="e">
        <f>AVERAGE(E269:E270)</f>
        <v>#DIV/0!</v>
      </c>
      <c r="H268" s="18" t="e">
        <f>STDEV(E269:E270)</f>
        <v>#DIV/0!</v>
      </c>
      <c r="K268" s="5" t="e">
        <f>G268+$J$260</f>
        <v>#DIV/0!</v>
      </c>
    </row>
    <row r="269" spans="1:12" x14ac:dyDescent="0.2">
      <c r="A269" s="9" t="s">
        <v>11</v>
      </c>
      <c r="B269" s="31">
        <v>45080</v>
      </c>
      <c r="C269" s="10" t="s">
        <v>12</v>
      </c>
      <c r="D269" s="5">
        <v>51.23</v>
      </c>
      <c r="F269" s="32" t="s">
        <v>223</v>
      </c>
    </row>
    <row r="270" spans="1:12" x14ac:dyDescent="0.2">
      <c r="A270" s="9" t="s">
        <v>11</v>
      </c>
      <c r="B270" s="31">
        <v>45080</v>
      </c>
      <c r="C270" s="10" t="s">
        <v>12</v>
      </c>
      <c r="D270" s="5">
        <v>49.15</v>
      </c>
      <c r="F270" s="32" t="s">
        <v>224</v>
      </c>
    </row>
    <row r="271" spans="1:12" x14ac:dyDescent="0.2">
      <c r="A271" s="9" t="s">
        <v>11</v>
      </c>
      <c r="B271" s="31">
        <v>45080</v>
      </c>
      <c r="C271" s="10" t="s">
        <v>12</v>
      </c>
      <c r="D271" s="5">
        <v>49.81</v>
      </c>
      <c r="F271" s="32" t="s">
        <v>225</v>
      </c>
      <c r="G271" s="13" t="e">
        <f>AVERAGE(E272:E273)</f>
        <v>#DIV/0!</v>
      </c>
      <c r="H271" s="18" t="e">
        <f>STDEV(E272:E273)</f>
        <v>#DIV/0!</v>
      </c>
      <c r="K271" s="5" t="e">
        <f>G271+$J$260</f>
        <v>#DIV/0!</v>
      </c>
    </row>
    <row r="272" spans="1:12" x14ac:dyDescent="0.2">
      <c r="A272" s="9" t="s">
        <v>11</v>
      </c>
      <c r="B272" s="31">
        <v>45080</v>
      </c>
      <c r="C272" s="10" t="s">
        <v>12</v>
      </c>
      <c r="D272" s="5">
        <v>48.54</v>
      </c>
      <c r="F272" s="32" t="s">
        <v>226</v>
      </c>
    </row>
    <row r="273" spans="1:11" x14ac:dyDescent="0.2">
      <c r="A273" s="9" t="s">
        <v>11</v>
      </c>
      <c r="B273" s="31">
        <v>45080</v>
      </c>
      <c r="C273" s="10" t="s">
        <v>12</v>
      </c>
      <c r="D273" s="5">
        <v>49.29</v>
      </c>
      <c r="F273" s="32" t="s">
        <v>227</v>
      </c>
    </row>
    <row r="274" spans="1:11" x14ac:dyDescent="0.2">
      <c r="A274" s="9" t="s">
        <v>11</v>
      </c>
      <c r="B274" s="31">
        <v>45081</v>
      </c>
      <c r="C274" s="10" t="s">
        <v>12</v>
      </c>
      <c r="F274" s="32" t="s">
        <v>235</v>
      </c>
      <c r="G274" s="13" t="e">
        <f>AVERAGE(E275:E276)</f>
        <v>#DIV/0!</v>
      </c>
      <c r="H274" s="18" t="e">
        <f>STDEV(E275:E276)</f>
        <v>#DIV/0!</v>
      </c>
      <c r="K274" s="5" t="e">
        <f>G274+$J$260</f>
        <v>#DIV/0!</v>
      </c>
    </row>
    <row r="275" spans="1:11" x14ac:dyDescent="0.2">
      <c r="A275" s="9" t="s">
        <v>11</v>
      </c>
      <c r="B275" s="31">
        <v>45081</v>
      </c>
      <c r="C275" s="10" t="s">
        <v>12</v>
      </c>
      <c r="F275" s="32" t="s">
        <v>236</v>
      </c>
    </row>
    <row r="276" spans="1:11" x14ac:dyDescent="0.2">
      <c r="A276" s="9" t="s">
        <v>11</v>
      </c>
      <c r="B276" s="31">
        <v>45081</v>
      </c>
      <c r="C276" s="10" t="s">
        <v>12</v>
      </c>
      <c r="F276" s="32" t="s">
        <v>267</v>
      </c>
    </row>
    <row r="277" spans="1:11" x14ac:dyDescent="0.2">
      <c r="A277" s="9" t="s">
        <v>11</v>
      </c>
      <c r="B277" s="31">
        <v>45081</v>
      </c>
      <c r="C277" s="10" t="s">
        <v>12</v>
      </c>
      <c r="F277" s="32" t="s">
        <v>237</v>
      </c>
      <c r="G277" s="13" t="e">
        <f>AVERAGE(E278:E279)</f>
        <v>#DIV/0!</v>
      </c>
      <c r="H277" s="18" t="e">
        <f>STDEV(E278:E279)</f>
        <v>#DIV/0!</v>
      </c>
      <c r="K277" s="5" t="e">
        <f>G277+$J$260</f>
        <v>#DIV/0!</v>
      </c>
    </row>
    <row r="278" spans="1:11" x14ac:dyDescent="0.2">
      <c r="A278" s="9" t="s">
        <v>11</v>
      </c>
      <c r="B278" s="31">
        <v>45081</v>
      </c>
      <c r="C278" s="10" t="s">
        <v>12</v>
      </c>
      <c r="F278" s="32" t="s">
        <v>238</v>
      </c>
    </row>
    <row r="279" spans="1:11" x14ac:dyDescent="0.2">
      <c r="A279" s="9" t="s">
        <v>11</v>
      </c>
      <c r="B279" s="31">
        <v>45081</v>
      </c>
      <c r="C279" s="10" t="s">
        <v>12</v>
      </c>
      <c r="F279" s="32" t="s">
        <v>239</v>
      </c>
    </row>
    <row r="280" spans="1:11" x14ac:dyDescent="0.2">
      <c r="A280" s="9" t="s">
        <v>11</v>
      </c>
      <c r="B280" s="31">
        <v>45081</v>
      </c>
      <c r="C280" s="10" t="s">
        <v>12</v>
      </c>
      <c r="F280" s="32" t="s">
        <v>240</v>
      </c>
      <c r="G280" s="13" t="e">
        <f>AVERAGE(E281:E282)</f>
        <v>#DIV/0!</v>
      </c>
      <c r="H280" s="18" t="e">
        <f>STDEV(E281:E282)</f>
        <v>#DIV/0!</v>
      </c>
      <c r="K280" s="5" t="e">
        <f>G280+$J$260</f>
        <v>#DIV/0!</v>
      </c>
    </row>
    <row r="281" spans="1:11" x14ac:dyDescent="0.2">
      <c r="A281" s="9" t="s">
        <v>11</v>
      </c>
      <c r="B281" s="31">
        <v>45081</v>
      </c>
      <c r="C281" s="10" t="s">
        <v>12</v>
      </c>
      <c r="F281" s="32" t="s">
        <v>241</v>
      </c>
    </row>
    <row r="282" spans="1:11" x14ac:dyDescent="0.2">
      <c r="A282" s="9" t="s">
        <v>11</v>
      </c>
      <c r="B282" s="31">
        <v>45081</v>
      </c>
      <c r="C282" s="10" t="s">
        <v>12</v>
      </c>
      <c r="F282" s="32" t="s">
        <v>242</v>
      </c>
    </row>
    <row r="283" spans="1:11" x14ac:dyDescent="0.2">
      <c r="A283" s="9" t="s">
        <v>11</v>
      </c>
      <c r="B283" s="31">
        <v>45081</v>
      </c>
      <c r="C283" s="10" t="s">
        <v>12</v>
      </c>
      <c r="F283" s="32" t="s">
        <v>243</v>
      </c>
      <c r="G283" s="13" t="e">
        <f>AVERAGE(E284:E285)</f>
        <v>#DIV/0!</v>
      </c>
      <c r="H283" s="18" t="e">
        <f>STDEV(E284:E285)</f>
        <v>#DIV/0!</v>
      </c>
      <c r="K283" s="5" t="e">
        <f>G283+$J$260</f>
        <v>#DIV/0!</v>
      </c>
    </row>
    <row r="284" spans="1:11" x14ac:dyDescent="0.2">
      <c r="A284" s="9" t="s">
        <v>11</v>
      </c>
      <c r="B284" s="31">
        <v>45081</v>
      </c>
      <c r="C284" s="10" t="s">
        <v>12</v>
      </c>
      <c r="F284" s="32" t="s">
        <v>244</v>
      </c>
    </row>
    <row r="285" spans="1:11" x14ac:dyDescent="0.2">
      <c r="A285" s="9" t="s">
        <v>11</v>
      </c>
      <c r="B285" s="31">
        <v>45081</v>
      </c>
      <c r="C285" s="10" t="s">
        <v>12</v>
      </c>
      <c r="F285" s="32" t="s">
        <v>268</v>
      </c>
    </row>
    <row r="286" spans="1:11" x14ac:dyDescent="0.2">
      <c r="A286" s="9" t="s">
        <v>11</v>
      </c>
      <c r="B286" s="31">
        <v>45081</v>
      </c>
      <c r="C286" s="10" t="s">
        <v>12</v>
      </c>
      <c r="F286" s="32" t="s">
        <v>245</v>
      </c>
      <c r="G286" s="13" t="e">
        <f>AVERAGE(E287:E288)</f>
        <v>#DIV/0!</v>
      </c>
      <c r="H286" s="18" t="e">
        <f>STDEV(E287:E288)</f>
        <v>#DIV/0!</v>
      </c>
      <c r="K286" s="5" t="e">
        <f>G286+$J$260</f>
        <v>#DIV/0!</v>
      </c>
    </row>
    <row r="287" spans="1:11" x14ac:dyDescent="0.2">
      <c r="A287" s="9" t="s">
        <v>11</v>
      </c>
      <c r="B287" s="31">
        <v>45081</v>
      </c>
      <c r="C287" s="10" t="s">
        <v>12</v>
      </c>
      <c r="F287" s="32" t="s">
        <v>246</v>
      </c>
    </row>
    <row r="288" spans="1:11" x14ac:dyDescent="0.2">
      <c r="A288" s="9" t="s">
        <v>11</v>
      </c>
      <c r="B288" s="31">
        <v>45081</v>
      </c>
      <c r="C288" s="10" t="s">
        <v>12</v>
      </c>
      <c r="F288" s="32" t="s">
        <v>247</v>
      </c>
    </row>
    <row r="289" spans="1:11" x14ac:dyDescent="0.2">
      <c r="A289" s="9" t="s">
        <v>11</v>
      </c>
      <c r="B289" s="31">
        <v>45081</v>
      </c>
      <c r="C289" s="10" t="s">
        <v>12</v>
      </c>
      <c r="F289" s="32" t="s">
        <v>248</v>
      </c>
      <c r="G289" s="13" t="e">
        <f>AVERAGE(E290:E291)</f>
        <v>#DIV/0!</v>
      </c>
      <c r="H289" s="18" t="e">
        <f>STDEV(E290:E291)</f>
        <v>#DIV/0!</v>
      </c>
      <c r="K289" s="5" t="e">
        <f>G289+$J$260</f>
        <v>#DIV/0!</v>
      </c>
    </row>
    <row r="290" spans="1:11" x14ac:dyDescent="0.2">
      <c r="A290" s="9" t="s">
        <v>11</v>
      </c>
      <c r="B290" s="31">
        <v>45081</v>
      </c>
      <c r="C290" s="10" t="s">
        <v>12</v>
      </c>
      <c r="F290" s="32" t="s">
        <v>249</v>
      </c>
    </row>
    <row r="291" spans="1:11" x14ac:dyDescent="0.2">
      <c r="A291" s="9" t="s">
        <v>11</v>
      </c>
      <c r="B291" s="31">
        <v>45081</v>
      </c>
      <c r="C291" s="10" t="s">
        <v>12</v>
      </c>
      <c r="F291" s="32" t="s">
        <v>250</v>
      </c>
    </row>
    <row r="292" spans="1:11" x14ac:dyDescent="0.2">
      <c r="A292" s="9" t="s">
        <v>11</v>
      </c>
      <c r="B292" s="31">
        <v>45081</v>
      </c>
      <c r="C292" s="10" t="s">
        <v>12</v>
      </c>
      <c r="F292" s="32" t="s">
        <v>251</v>
      </c>
      <c r="G292" s="13" t="e">
        <f>AVERAGE(E293:E294)</f>
        <v>#DIV/0!</v>
      </c>
      <c r="H292" s="18" t="e">
        <f>STDEV(E293:E294)</f>
        <v>#DIV/0!</v>
      </c>
      <c r="K292" s="5" t="e">
        <f>G292+$J$260</f>
        <v>#DIV/0!</v>
      </c>
    </row>
    <row r="293" spans="1:11" x14ac:dyDescent="0.2">
      <c r="A293" s="9" t="s">
        <v>11</v>
      </c>
      <c r="B293" s="31">
        <v>45081</v>
      </c>
      <c r="C293" s="10" t="s">
        <v>12</v>
      </c>
      <c r="F293" s="32" t="s">
        <v>252</v>
      </c>
    </row>
    <row r="294" spans="1:11" x14ac:dyDescent="0.2">
      <c r="A294" s="9" t="s">
        <v>11</v>
      </c>
      <c r="B294" s="31">
        <v>45081</v>
      </c>
      <c r="C294" s="10" t="s">
        <v>12</v>
      </c>
      <c r="F294" s="33" t="s">
        <v>269</v>
      </c>
    </row>
    <row r="295" spans="1:11" x14ac:dyDescent="0.2">
      <c r="A295" s="9" t="s">
        <v>11</v>
      </c>
      <c r="B295" s="31">
        <v>45081</v>
      </c>
      <c r="C295" s="10" t="s">
        <v>12</v>
      </c>
      <c r="F295" s="32" t="s">
        <v>253</v>
      </c>
      <c r="G295" s="13" t="e">
        <f>AVERAGE(E296:E297)</f>
        <v>#DIV/0!</v>
      </c>
      <c r="H295" s="18" t="e">
        <f>STDEV(E296:E297)</f>
        <v>#DIV/0!</v>
      </c>
      <c r="K295" s="5" t="e">
        <f>G295+$J$260</f>
        <v>#DIV/0!</v>
      </c>
    </row>
    <row r="296" spans="1:11" x14ac:dyDescent="0.2">
      <c r="A296" s="9" t="s">
        <v>11</v>
      </c>
      <c r="B296" s="31">
        <v>45081</v>
      </c>
      <c r="C296" s="10" t="s">
        <v>12</v>
      </c>
      <c r="F296" s="32" t="s">
        <v>254</v>
      </c>
    </row>
    <row r="297" spans="1:11" x14ac:dyDescent="0.2">
      <c r="A297" s="9" t="s">
        <v>11</v>
      </c>
      <c r="B297" s="31">
        <v>45081</v>
      </c>
      <c r="C297" s="10" t="s">
        <v>12</v>
      </c>
      <c r="F297" s="32" t="s">
        <v>255</v>
      </c>
    </row>
    <row r="298" spans="1:11" x14ac:dyDescent="0.2">
      <c r="A298" s="9" t="s">
        <v>11</v>
      </c>
      <c r="B298" s="31">
        <v>45081</v>
      </c>
      <c r="C298" s="10" t="s">
        <v>12</v>
      </c>
      <c r="F298" s="32" t="s">
        <v>256</v>
      </c>
      <c r="G298" s="13" t="e">
        <f>AVERAGE(E299:E300)</f>
        <v>#DIV/0!</v>
      </c>
      <c r="H298" s="18" t="e">
        <f>STDEV(E299:E300)</f>
        <v>#DIV/0!</v>
      </c>
      <c r="K298" s="5" t="e">
        <f>G298+$J$260</f>
        <v>#DIV/0!</v>
      </c>
    </row>
    <row r="299" spans="1:11" x14ac:dyDescent="0.2">
      <c r="A299" s="9" t="s">
        <v>11</v>
      </c>
      <c r="B299" s="31">
        <v>45081</v>
      </c>
      <c r="C299" s="10" t="s">
        <v>12</v>
      </c>
      <c r="F299" s="32" t="s">
        <v>257</v>
      </c>
    </row>
    <row r="300" spans="1:11" x14ac:dyDescent="0.2">
      <c r="A300" s="9" t="s">
        <v>11</v>
      </c>
      <c r="B300" s="31">
        <v>45081</v>
      </c>
      <c r="C300" s="10" t="s">
        <v>12</v>
      </c>
      <c r="F300" s="32" t="s">
        <v>258</v>
      </c>
    </row>
    <row r="301" spans="1:11" x14ac:dyDescent="0.2">
      <c r="F301" s="32"/>
    </row>
    <row r="302" spans="1:11" x14ac:dyDescent="0.2">
      <c r="F302" s="16" t="s">
        <v>8</v>
      </c>
    </row>
    <row r="303" spans="1:11" x14ac:dyDescent="0.2">
      <c r="F303" s="16" t="s">
        <v>9</v>
      </c>
    </row>
    <row r="304" spans="1:11" x14ac:dyDescent="0.2">
      <c r="F304" s="17" t="s">
        <v>98</v>
      </c>
    </row>
    <row r="305" spans="6:6" x14ac:dyDescent="0.2">
      <c r="F305" s="32" t="s">
        <v>259</v>
      </c>
    </row>
    <row r="306" spans="6:6" x14ac:dyDescent="0.2">
      <c r="F306" s="32" t="s">
        <v>260</v>
      </c>
    </row>
    <row r="307" spans="6:6" x14ac:dyDescent="0.2">
      <c r="F307" s="32" t="s">
        <v>270</v>
      </c>
    </row>
    <row r="308" spans="6:6" x14ac:dyDescent="0.2">
      <c r="F308" s="32" t="s">
        <v>261</v>
      </c>
    </row>
    <row r="309" spans="6:6" x14ac:dyDescent="0.2">
      <c r="F309" s="32" t="s">
        <v>262</v>
      </c>
    </row>
    <row r="310" spans="6:6" x14ac:dyDescent="0.2">
      <c r="F310" s="32" t="s">
        <v>263</v>
      </c>
    </row>
    <row r="311" spans="6:6" x14ac:dyDescent="0.2">
      <c r="F311" s="32" t="s">
        <v>264</v>
      </c>
    </row>
    <row r="312" spans="6:6" x14ac:dyDescent="0.2">
      <c r="F312" s="32" t="s">
        <v>265</v>
      </c>
    </row>
    <row r="313" spans="6:6" x14ac:dyDescent="0.2">
      <c r="F313" s="32" t="s">
        <v>266</v>
      </c>
    </row>
    <row r="314" spans="6:6" x14ac:dyDescent="0.2">
      <c r="F314" s="32" t="s">
        <v>271</v>
      </c>
    </row>
    <row r="315" spans="6:6" x14ac:dyDescent="0.2">
      <c r="F315" s="32" t="s">
        <v>272</v>
      </c>
    </row>
    <row r="316" spans="6:6" x14ac:dyDescent="0.2">
      <c r="F316" s="32" t="s">
        <v>273</v>
      </c>
    </row>
    <row r="317" spans="6:6" x14ac:dyDescent="0.2">
      <c r="F317" s="32" t="s">
        <v>274</v>
      </c>
    </row>
    <row r="318" spans="6:6" x14ac:dyDescent="0.2">
      <c r="F318" s="32" t="s">
        <v>275</v>
      </c>
    </row>
    <row r="319" spans="6:6" x14ac:dyDescent="0.2">
      <c r="F319" s="32" t="s">
        <v>276</v>
      </c>
    </row>
    <row r="320" spans="6:6" x14ac:dyDescent="0.2">
      <c r="F320" s="32" t="s">
        <v>277</v>
      </c>
    </row>
    <row r="321" spans="6:6" x14ac:dyDescent="0.2">
      <c r="F321" s="32" t="s">
        <v>278</v>
      </c>
    </row>
    <row r="322" spans="6:6" x14ac:dyDescent="0.2">
      <c r="F322" s="32" t="s">
        <v>279</v>
      </c>
    </row>
    <row r="323" spans="6:6" x14ac:dyDescent="0.2">
      <c r="F323" s="32" t="s">
        <v>280</v>
      </c>
    </row>
    <row r="324" spans="6:6" x14ac:dyDescent="0.2">
      <c r="F324" s="32" t="s">
        <v>281</v>
      </c>
    </row>
    <row r="325" spans="6:6" x14ac:dyDescent="0.2">
      <c r="F325" s="32" t="s">
        <v>282</v>
      </c>
    </row>
    <row r="326" spans="6:6" x14ac:dyDescent="0.2">
      <c r="F326" s="32" t="s">
        <v>283</v>
      </c>
    </row>
    <row r="327" spans="6:6" x14ac:dyDescent="0.2">
      <c r="F327" s="32" t="s">
        <v>284</v>
      </c>
    </row>
    <row r="328" spans="6:6" x14ac:dyDescent="0.2">
      <c r="F328" s="32" t="s">
        <v>285</v>
      </c>
    </row>
    <row r="329" spans="6:6" x14ac:dyDescent="0.2">
      <c r="F329" s="32" t="s">
        <v>286</v>
      </c>
    </row>
    <row r="330" spans="6:6" x14ac:dyDescent="0.2">
      <c r="F330" s="32" t="s">
        <v>287</v>
      </c>
    </row>
    <row r="331" spans="6:6" x14ac:dyDescent="0.2">
      <c r="F331" s="32" t="s">
        <v>288</v>
      </c>
    </row>
    <row r="332" spans="6:6" x14ac:dyDescent="0.2">
      <c r="F332" s="32" t="s">
        <v>289</v>
      </c>
    </row>
    <row r="333" spans="6:6" x14ac:dyDescent="0.2">
      <c r="F333" s="32" t="s">
        <v>290</v>
      </c>
    </row>
    <row r="334" spans="6:6" x14ac:dyDescent="0.2">
      <c r="F334" s="32" t="s">
        <v>291</v>
      </c>
    </row>
    <row r="335" spans="6:6" x14ac:dyDescent="0.2">
      <c r="F335" s="32" t="s">
        <v>292</v>
      </c>
    </row>
    <row r="336" spans="6:6" x14ac:dyDescent="0.2">
      <c r="F336" s="32" t="s">
        <v>293</v>
      </c>
    </row>
    <row r="337" spans="6:6" x14ac:dyDescent="0.2">
      <c r="F337" s="32" t="s">
        <v>294</v>
      </c>
    </row>
    <row r="338" spans="6:6" x14ac:dyDescent="0.2">
      <c r="F338" s="32" t="s">
        <v>295</v>
      </c>
    </row>
    <row r="339" spans="6:6" x14ac:dyDescent="0.2">
      <c r="F339" s="32" t="s">
        <v>296</v>
      </c>
    </row>
    <row r="340" spans="6:6" x14ac:dyDescent="0.2">
      <c r="F340" s="32" t="s">
        <v>297</v>
      </c>
    </row>
    <row r="342" spans="6:6" x14ac:dyDescent="0.2">
      <c r="F342" s="16" t="s">
        <v>8</v>
      </c>
    </row>
    <row r="343" spans="6:6" x14ac:dyDescent="0.2">
      <c r="F343" s="16" t="s">
        <v>9</v>
      </c>
    </row>
    <row r="344" spans="6:6" x14ac:dyDescent="0.2">
      <c r="F344" s="17" t="s">
        <v>98</v>
      </c>
    </row>
    <row r="345" spans="6:6" x14ac:dyDescent="0.2">
      <c r="F345" s="32" t="s">
        <v>298</v>
      </c>
    </row>
    <row r="346" spans="6:6" x14ac:dyDescent="0.2">
      <c r="F346" s="32" t="s">
        <v>299</v>
      </c>
    </row>
    <row r="347" spans="6:6" x14ac:dyDescent="0.2">
      <c r="F347" s="32" t="s">
        <v>300</v>
      </c>
    </row>
    <row r="348" spans="6:6" x14ac:dyDescent="0.2">
      <c r="F348" s="32" t="s">
        <v>301</v>
      </c>
    </row>
    <row r="349" spans="6:6" x14ac:dyDescent="0.2">
      <c r="F349" s="32" t="s">
        <v>302</v>
      </c>
    </row>
    <row r="350" spans="6:6" x14ac:dyDescent="0.2">
      <c r="F350" s="32" t="s">
        <v>303</v>
      </c>
    </row>
    <row r="351" spans="6:6" x14ac:dyDescent="0.2">
      <c r="F351" s="32" t="s">
        <v>304</v>
      </c>
    </row>
    <row r="352" spans="6:6" x14ac:dyDescent="0.2">
      <c r="F352" s="32" t="s">
        <v>305</v>
      </c>
    </row>
    <row r="353" spans="6:6" x14ac:dyDescent="0.2">
      <c r="F353" s="32" t="s">
        <v>306</v>
      </c>
    </row>
    <row r="354" spans="6:6" x14ac:dyDescent="0.2">
      <c r="F354" s="32" t="s">
        <v>307</v>
      </c>
    </row>
    <row r="355" spans="6:6" x14ac:dyDescent="0.2">
      <c r="F355" s="32" t="s">
        <v>308</v>
      </c>
    </row>
    <row r="356" spans="6:6" x14ac:dyDescent="0.2">
      <c r="F356" s="32" t="s">
        <v>309</v>
      </c>
    </row>
    <row r="357" spans="6:6" x14ac:dyDescent="0.2">
      <c r="F357" s="32" t="s">
        <v>310</v>
      </c>
    </row>
    <row r="358" spans="6:6" x14ac:dyDescent="0.2">
      <c r="F358" s="32" t="s">
        <v>311</v>
      </c>
    </row>
    <row r="359" spans="6:6" x14ac:dyDescent="0.2">
      <c r="F359" s="32" t="s">
        <v>312</v>
      </c>
    </row>
    <row r="360" spans="6:6" x14ac:dyDescent="0.2">
      <c r="F360" s="32" t="s">
        <v>313</v>
      </c>
    </row>
    <row r="361" spans="6:6" x14ac:dyDescent="0.2">
      <c r="F361" s="32" t="s">
        <v>314</v>
      </c>
    </row>
    <row r="362" spans="6:6" x14ac:dyDescent="0.2">
      <c r="F362" s="32" t="s">
        <v>315</v>
      </c>
    </row>
    <row r="363" spans="6:6" x14ac:dyDescent="0.2">
      <c r="F363" s="32" t="s">
        <v>316</v>
      </c>
    </row>
    <row r="364" spans="6:6" x14ac:dyDescent="0.2">
      <c r="F364" s="32" t="s">
        <v>317</v>
      </c>
    </row>
    <row r="365" spans="6:6" x14ac:dyDescent="0.2">
      <c r="F365" s="32" t="s">
        <v>318</v>
      </c>
    </row>
    <row r="366" spans="6:6" x14ac:dyDescent="0.2">
      <c r="F366" s="32" t="s">
        <v>319</v>
      </c>
    </row>
    <row r="367" spans="6:6" x14ac:dyDescent="0.2">
      <c r="F367" s="32" t="s">
        <v>320</v>
      </c>
    </row>
    <row r="368" spans="6:6" x14ac:dyDescent="0.2">
      <c r="F368" s="32" t="s">
        <v>321</v>
      </c>
    </row>
    <row r="369" spans="6:6" x14ac:dyDescent="0.2">
      <c r="F369" s="32" t="s">
        <v>322</v>
      </c>
    </row>
    <row r="370" spans="6:6" x14ac:dyDescent="0.2">
      <c r="F370" s="32" t="s">
        <v>323</v>
      </c>
    </row>
    <row r="371" spans="6:6" x14ac:dyDescent="0.2">
      <c r="F371" s="32" t="s">
        <v>324</v>
      </c>
    </row>
    <row r="372" spans="6:6" x14ac:dyDescent="0.2">
      <c r="F372" s="32" t="s">
        <v>325</v>
      </c>
    </row>
    <row r="373" spans="6:6" x14ac:dyDescent="0.2">
      <c r="F373" s="32" t="s">
        <v>326</v>
      </c>
    </row>
    <row r="374" spans="6:6" x14ac:dyDescent="0.2">
      <c r="F374" s="32" t="s">
        <v>327</v>
      </c>
    </row>
    <row r="375" spans="6:6" x14ac:dyDescent="0.2">
      <c r="F375" s="32" t="s">
        <v>328</v>
      </c>
    </row>
    <row r="376" spans="6:6" x14ac:dyDescent="0.2">
      <c r="F376" s="33" t="s">
        <v>329</v>
      </c>
    </row>
    <row r="377" spans="6:6" x14ac:dyDescent="0.2">
      <c r="F377" s="32" t="s">
        <v>330</v>
      </c>
    </row>
    <row r="378" spans="6:6" x14ac:dyDescent="0.2">
      <c r="F378" s="32" t="s">
        <v>331</v>
      </c>
    </row>
    <row r="379" spans="6:6" x14ac:dyDescent="0.2">
      <c r="F379" s="32" t="s">
        <v>332</v>
      </c>
    </row>
    <row r="380" spans="6:6" x14ac:dyDescent="0.2">
      <c r="F380" s="32" t="s">
        <v>333</v>
      </c>
    </row>
    <row r="381" spans="6:6" x14ac:dyDescent="0.2">
      <c r="F381" s="32" t="s">
        <v>334</v>
      </c>
    </row>
    <row r="382" spans="6:6" x14ac:dyDescent="0.2">
      <c r="F382" s="32" t="s">
        <v>335</v>
      </c>
    </row>
    <row r="383" spans="6:6" x14ac:dyDescent="0.2">
      <c r="F383" s="32"/>
    </row>
    <row r="384" spans="6:6" x14ac:dyDescent="0.2">
      <c r="F384" s="16" t="s">
        <v>8</v>
      </c>
    </row>
    <row r="385" spans="6:6" x14ac:dyDescent="0.2">
      <c r="F385" s="16" t="s">
        <v>9</v>
      </c>
    </row>
    <row r="386" spans="6:6" x14ac:dyDescent="0.2">
      <c r="F386" s="17" t="s">
        <v>98</v>
      </c>
    </row>
    <row r="387" spans="6:6" x14ac:dyDescent="0.2">
      <c r="F387" s="32" t="s">
        <v>336</v>
      </c>
    </row>
    <row r="388" spans="6:6" x14ac:dyDescent="0.2">
      <c r="F388" s="32" t="s">
        <v>337</v>
      </c>
    </row>
    <row r="389" spans="6:6" x14ac:dyDescent="0.2">
      <c r="F389" s="32" t="s">
        <v>338</v>
      </c>
    </row>
    <row r="390" spans="6:6" x14ac:dyDescent="0.2">
      <c r="F390" s="32" t="s">
        <v>339</v>
      </c>
    </row>
    <row r="391" spans="6:6" x14ac:dyDescent="0.2">
      <c r="F391" s="32" t="s">
        <v>340</v>
      </c>
    </row>
    <row r="392" spans="6:6" x14ac:dyDescent="0.2">
      <c r="F392" s="32" t="s">
        <v>341</v>
      </c>
    </row>
    <row r="393" spans="6:6" x14ac:dyDescent="0.2">
      <c r="F393" s="32" t="s">
        <v>342</v>
      </c>
    </row>
    <row r="394" spans="6:6" x14ac:dyDescent="0.2">
      <c r="F394" s="32" t="s">
        <v>343</v>
      </c>
    </row>
    <row r="395" spans="6:6" x14ac:dyDescent="0.2">
      <c r="F395" s="32" t="s">
        <v>344</v>
      </c>
    </row>
    <row r="396" spans="6:6" x14ac:dyDescent="0.2">
      <c r="F396" s="32" t="s">
        <v>345</v>
      </c>
    </row>
    <row r="397" spans="6:6" x14ac:dyDescent="0.2">
      <c r="F397" s="32" t="s">
        <v>346</v>
      </c>
    </row>
    <row r="398" spans="6:6" x14ac:dyDescent="0.2">
      <c r="F398" s="32" t="s">
        <v>347</v>
      </c>
    </row>
    <row r="399" spans="6:6" x14ac:dyDescent="0.2">
      <c r="F399" s="32" t="s">
        <v>348</v>
      </c>
    </row>
    <row r="400" spans="6:6" x14ac:dyDescent="0.2">
      <c r="F400" s="32" t="s">
        <v>349</v>
      </c>
    </row>
    <row r="401" spans="6:6" x14ac:dyDescent="0.2">
      <c r="F401" s="32" t="s">
        <v>350</v>
      </c>
    </row>
    <row r="402" spans="6:6" x14ac:dyDescent="0.2">
      <c r="F402" s="32" t="s">
        <v>351</v>
      </c>
    </row>
    <row r="403" spans="6:6" x14ac:dyDescent="0.2">
      <c r="F403" s="32" t="s">
        <v>352</v>
      </c>
    </row>
    <row r="404" spans="6:6" x14ac:dyDescent="0.2">
      <c r="F404" s="32" t="s">
        <v>353</v>
      </c>
    </row>
    <row r="405" spans="6:6" x14ac:dyDescent="0.2">
      <c r="F405" s="32" t="s">
        <v>354</v>
      </c>
    </row>
    <row r="406" spans="6:6" x14ac:dyDescent="0.2">
      <c r="F406" s="32" t="s">
        <v>355</v>
      </c>
    </row>
    <row r="407" spans="6:6" x14ac:dyDescent="0.2">
      <c r="F407" s="32" t="s">
        <v>356</v>
      </c>
    </row>
    <row r="408" spans="6:6" x14ac:dyDescent="0.2">
      <c r="F408" s="32" t="s">
        <v>357</v>
      </c>
    </row>
    <row r="409" spans="6:6" x14ac:dyDescent="0.2">
      <c r="F409" s="32" t="s">
        <v>358</v>
      </c>
    </row>
    <row r="410" spans="6:6" x14ac:dyDescent="0.2">
      <c r="F410" s="32" t="s">
        <v>359</v>
      </c>
    </row>
    <row r="411" spans="6:6" x14ac:dyDescent="0.2">
      <c r="F411" s="32" t="s">
        <v>360</v>
      </c>
    </row>
    <row r="412" spans="6:6" x14ac:dyDescent="0.2">
      <c r="F412" s="32" t="s">
        <v>361</v>
      </c>
    </row>
    <row r="413" spans="6:6" x14ac:dyDescent="0.2">
      <c r="F413" s="32" t="s">
        <v>362</v>
      </c>
    </row>
    <row r="415" spans="6:6" x14ac:dyDescent="0.2">
      <c r="F415" s="16" t="s">
        <v>8</v>
      </c>
    </row>
    <row r="416" spans="6:6" x14ac:dyDescent="0.2">
      <c r="F416" s="16" t="s">
        <v>9</v>
      </c>
    </row>
    <row r="417" spans="6:6" x14ac:dyDescent="0.2">
      <c r="F417" s="17" t="s">
        <v>98</v>
      </c>
    </row>
    <row r="418" spans="6:6" x14ac:dyDescent="0.2">
      <c r="F418" s="32" t="s">
        <v>363</v>
      </c>
    </row>
    <row r="419" spans="6:6" x14ac:dyDescent="0.2">
      <c r="F419" s="32" t="s">
        <v>364</v>
      </c>
    </row>
    <row r="420" spans="6:6" x14ac:dyDescent="0.2">
      <c r="F420" s="32" t="s">
        <v>365</v>
      </c>
    </row>
    <row r="421" spans="6:6" x14ac:dyDescent="0.2">
      <c r="F421" s="32" t="s">
        <v>366</v>
      </c>
    </row>
    <row r="422" spans="6:6" x14ac:dyDescent="0.2">
      <c r="F422" s="32" t="s">
        <v>367</v>
      </c>
    </row>
    <row r="423" spans="6:6" x14ac:dyDescent="0.2">
      <c r="F423" s="32" t="s">
        <v>368</v>
      </c>
    </row>
    <row r="424" spans="6:6" x14ac:dyDescent="0.2">
      <c r="F424" s="32" t="s">
        <v>369</v>
      </c>
    </row>
    <row r="425" spans="6:6" x14ac:dyDescent="0.2">
      <c r="F425" s="32" t="s">
        <v>370</v>
      </c>
    </row>
    <row r="426" spans="6:6" x14ac:dyDescent="0.2">
      <c r="F426" s="32" t="s">
        <v>371</v>
      </c>
    </row>
    <row r="427" spans="6:6" x14ac:dyDescent="0.2">
      <c r="F427" s="32" t="s">
        <v>372</v>
      </c>
    </row>
    <row r="428" spans="6:6" x14ac:dyDescent="0.2">
      <c r="F428" s="32" t="s">
        <v>373</v>
      </c>
    </row>
    <row r="429" spans="6:6" x14ac:dyDescent="0.2">
      <c r="F429" s="32" t="s">
        <v>374</v>
      </c>
    </row>
    <row r="430" spans="6:6" x14ac:dyDescent="0.2">
      <c r="F430" s="32" t="s">
        <v>375</v>
      </c>
    </row>
    <row r="431" spans="6:6" x14ac:dyDescent="0.2">
      <c r="F431" s="32" t="s">
        <v>376</v>
      </c>
    </row>
    <row r="432" spans="6:6" x14ac:dyDescent="0.2">
      <c r="F432" s="32" t="s">
        <v>377</v>
      </c>
    </row>
    <row r="433" spans="6:6" x14ac:dyDescent="0.2">
      <c r="F433" s="32" t="s">
        <v>378</v>
      </c>
    </row>
    <row r="434" spans="6:6" x14ac:dyDescent="0.2">
      <c r="F434" s="32" t="s">
        <v>379</v>
      </c>
    </row>
    <row r="435" spans="6:6" x14ac:dyDescent="0.2">
      <c r="F435" s="32" t="s">
        <v>380</v>
      </c>
    </row>
    <row r="436" spans="6:6" x14ac:dyDescent="0.2">
      <c r="F436" s="32" t="s">
        <v>381</v>
      </c>
    </row>
    <row r="437" spans="6:6" x14ac:dyDescent="0.2">
      <c r="F437" s="32" t="s">
        <v>382</v>
      </c>
    </row>
    <row r="438" spans="6:6" x14ac:dyDescent="0.2">
      <c r="F438" s="32" t="s">
        <v>383</v>
      </c>
    </row>
    <row r="439" spans="6:6" x14ac:dyDescent="0.2">
      <c r="F439" s="32" t="s">
        <v>384</v>
      </c>
    </row>
    <row r="440" spans="6:6" x14ac:dyDescent="0.2">
      <c r="F440" s="32" t="s">
        <v>385</v>
      </c>
    </row>
    <row r="441" spans="6:6" x14ac:dyDescent="0.2">
      <c r="F441" s="32" t="s">
        <v>386</v>
      </c>
    </row>
    <row r="442" spans="6:6" x14ac:dyDescent="0.2">
      <c r="F442" s="32" t="s">
        <v>387</v>
      </c>
    </row>
    <row r="443" spans="6:6" x14ac:dyDescent="0.2">
      <c r="F443" s="32" t="s">
        <v>388</v>
      </c>
    </row>
    <row r="444" spans="6:6" x14ac:dyDescent="0.2">
      <c r="F444" s="32" t="s">
        <v>389</v>
      </c>
    </row>
    <row r="445" spans="6:6" x14ac:dyDescent="0.2">
      <c r="F445" s="32" t="s">
        <v>390</v>
      </c>
    </row>
    <row r="446" spans="6:6" x14ac:dyDescent="0.2">
      <c r="F446" s="32" t="s">
        <v>391</v>
      </c>
    </row>
    <row r="447" spans="6:6" x14ac:dyDescent="0.2">
      <c r="F447" s="32" t="s">
        <v>392</v>
      </c>
    </row>
    <row r="448" spans="6:6" x14ac:dyDescent="0.2">
      <c r="F448" s="32" t="s">
        <v>393</v>
      </c>
    </row>
    <row r="449" spans="6:6" x14ac:dyDescent="0.2">
      <c r="F449" s="33" t="s">
        <v>394</v>
      </c>
    </row>
    <row r="450" spans="6:6" x14ac:dyDescent="0.2">
      <c r="F450" s="32" t="s">
        <v>395</v>
      </c>
    </row>
    <row r="451" spans="6:6" x14ac:dyDescent="0.2">
      <c r="F451" s="32" t="s">
        <v>396</v>
      </c>
    </row>
    <row r="452" spans="6:6" x14ac:dyDescent="0.2">
      <c r="F452" s="32" t="s">
        <v>397</v>
      </c>
    </row>
    <row r="453" spans="6:6" x14ac:dyDescent="0.2">
      <c r="F453" s="32" t="s">
        <v>398</v>
      </c>
    </row>
    <row r="454" spans="6:6" x14ac:dyDescent="0.2">
      <c r="F454" s="32" t="s">
        <v>399</v>
      </c>
    </row>
    <row r="455" spans="6:6" x14ac:dyDescent="0.2">
      <c r="F455" s="32" t="s">
        <v>400</v>
      </c>
    </row>
    <row r="456" spans="6:6" x14ac:dyDescent="0.2">
      <c r="F456" s="32"/>
    </row>
    <row r="457" spans="6:6" x14ac:dyDescent="0.2">
      <c r="F457" s="16" t="s">
        <v>8</v>
      </c>
    </row>
    <row r="458" spans="6:6" x14ac:dyDescent="0.2">
      <c r="F458" s="16" t="s">
        <v>9</v>
      </c>
    </row>
    <row r="459" spans="6:6" x14ac:dyDescent="0.2">
      <c r="F459" s="17" t="s">
        <v>98</v>
      </c>
    </row>
    <row r="460" spans="6:6" x14ac:dyDescent="0.2">
      <c r="F460" s="32" t="s">
        <v>401</v>
      </c>
    </row>
    <row r="461" spans="6:6" x14ac:dyDescent="0.2">
      <c r="F461" s="32" t="s">
        <v>402</v>
      </c>
    </row>
    <row r="462" spans="6:6" x14ac:dyDescent="0.2">
      <c r="F462" s="32" t="s">
        <v>403</v>
      </c>
    </row>
    <row r="463" spans="6:6" x14ac:dyDescent="0.2">
      <c r="F463" s="32" t="s">
        <v>404</v>
      </c>
    </row>
    <row r="464" spans="6:6" x14ac:dyDescent="0.2">
      <c r="F464" s="32" t="s">
        <v>405</v>
      </c>
    </row>
    <row r="465" spans="6:6" x14ac:dyDescent="0.2">
      <c r="F465" s="32" t="s">
        <v>406</v>
      </c>
    </row>
    <row r="466" spans="6:6" x14ac:dyDescent="0.2">
      <c r="F466" s="32" t="s">
        <v>407</v>
      </c>
    </row>
    <row r="467" spans="6:6" x14ac:dyDescent="0.2">
      <c r="F467" s="32" t="s">
        <v>408</v>
      </c>
    </row>
    <row r="468" spans="6:6" x14ac:dyDescent="0.2">
      <c r="F468" s="32" t="s">
        <v>409</v>
      </c>
    </row>
    <row r="469" spans="6:6" x14ac:dyDescent="0.2">
      <c r="F469" s="32" t="s">
        <v>410</v>
      </c>
    </row>
    <row r="470" spans="6:6" x14ac:dyDescent="0.2">
      <c r="F470" s="32" t="s">
        <v>411</v>
      </c>
    </row>
    <row r="471" spans="6:6" x14ac:dyDescent="0.2">
      <c r="F471" s="32" t="s">
        <v>412</v>
      </c>
    </row>
    <row r="472" spans="6:6" x14ac:dyDescent="0.2">
      <c r="F472" s="32" t="s">
        <v>413</v>
      </c>
    </row>
    <row r="473" spans="6:6" x14ac:dyDescent="0.2">
      <c r="F473" s="32" t="s">
        <v>414</v>
      </c>
    </row>
    <row r="474" spans="6:6" x14ac:dyDescent="0.2">
      <c r="F474" s="32" t="s">
        <v>415</v>
      </c>
    </row>
    <row r="475" spans="6:6" x14ac:dyDescent="0.2">
      <c r="F475" s="32" t="s">
        <v>416</v>
      </c>
    </row>
    <row r="476" spans="6:6" x14ac:dyDescent="0.2">
      <c r="F476" s="32" t="s">
        <v>417</v>
      </c>
    </row>
    <row r="477" spans="6:6" x14ac:dyDescent="0.2">
      <c r="F477" s="32" t="s">
        <v>418</v>
      </c>
    </row>
    <row r="478" spans="6:6" x14ac:dyDescent="0.2">
      <c r="F478" s="32" t="s">
        <v>419</v>
      </c>
    </row>
    <row r="479" spans="6:6" x14ac:dyDescent="0.2">
      <c r="F479" s="32" t="s">
        <v>420</v>
      </c>
    </row>
    <row r="480" spans="6:6" x14ac:dyDescent="0.2">
      <c r="F480" s="32" t="s">
        <v>421</v>
      </c>
    </row>
    <row r="481" spans="6:6" x14ac:dyDescent="0.2">
      <c r="F481" s="32" t="s">
        <v>422</v>
      </c>
    </row>
    <row r="482" spans="6:6" x14ac:dyDescent="0.2">
      <c r="F482" s="32" t="s">
        <v>423</v>
      </c>
    </row>
    <row r="483" spans="6:6" x14ac:dyDescent="0.2">
      <c r="F483" s="32" t="s">
        <v>424</v>
      </c>
    </row>
    <row r="484" spans="6:6" x14ac:dyDescent="0.2">
      <c r="F484" s="32" t="s">
        <v>425</v>
      </c>
    </row>
    <row r="485" spans="6:6" x14ac:dyDescent="0.2">
      <c r="F485" s="32" t="s">
        <v>426</v>
      </c>
    </row>
    <row r="486" spans="6:6" x14ac:dyDescent="0.2">
      <c r="F486" s="32" t="s">
        <v>427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882B6-30B5-6742-81C6-39D5A67D008A}">
  <dimension ref="A1:A81"/>
  <sheetViews>
    <sheetView topLeftCell="A54" workbookViewId="0">
      <selection activeCell="A72" sqref="A1:A72"/>
    </sheetView>
  </sheetViews>
  <sheetFormatPr baseColWidth="10" defaultRowHeight="15" x14ac:dyDescent="0.2"/>
  <sheetData>
    <row r="1" spans="1:1" x14ac:dyDescent="0.2">
      <c r="A1" s="16" t="s">
        <v>8</v>
      </c>
    </row>
    <row r="2" spans="1:1" x14ac:dyDescent="0.2">
      <c r="A2" s="16" t="s">
        <v>9</v>
      </c>
    </row>
    <row r="3" spans="1:1" x14ac:dyDescent="0.2">
      <c r="A3" s="17" t="s">
        <v>98</v>
      </c>
    </row>
    <row r="4" spans="1:1" x14ac:dyDescent="0.2">
      <c r="A4" s="32" t="s">
        <v>363</v>
      </c>
    </row>
    <row r="5" spans="1:1" x14ac:dyDescent="0.2">
      <c r="A5" s="32" t="s">
        <v>364</v>
      </c>
    </row>
    <row r="6" spans="1:1" x14ac:dyDescent="0.2">
      <c r="A6" s="32" t="s">
        <v>365</v>
      </c>
    </row>
    <row r="7" spans="1:1" x14ac:dyDescent="0.2">
      <c r="A7" s="32" t="s">
        <v>366</v>
      </c>
    </row>
    <row r="8" spans="1:1" x14ac:dyDescent="0.2">
      <c r="A8" s="32" t="s">
        <v>367</v>
      </c>
    </row>
    <row r="9" spans="1:1" x14ac:dyDescent="0.2">
      <c r="A9" s="32" t="s">
        <v>368</v>
      </c>
    </row>
    <row r="10" spans="1:1" x14ac:dyDescent="0.2">
      <c r="A10" s="32" t="s">
        <v>369</v>
      </c>
    </row>
    <row r="11" spans="1:1" x14ac:dyDescent="0.2">
      <c r="A11" s="32" t="s">
        <v>370</v>
      </c>
    </row>
    <row r="12" spans="1:1" x14ac:dyDescent="0.2">
      <c r="A12" s="32" t="s">
        <v>371</v>
      </c>
    </row>
    <row r="13" spans="1:1" x14ac:dyDescent="0.2">
      <c r="A13" s="32" t="s">
        <v>372</v>
      </c>
    </row>
    <row r="14" spans="1:1" x14ac:dyDescent="0.2">
      <c r="A14" s="32" t="s">
        <v>373</v>
      </c>
    </row>
    <row r="15" spans="1:1" x14ac:dyDescent="0.2">
      <c r="A15" s="32" t="s">
        <v>374</v>
      </c>
    </row>
    <row r="16" spans="1:1" x14ac:dyDescent="0.2">
      <c r="A16" s="32" t="s">
        <v>375</v>
      </c>
    </row>
    <row r="17" spans="1:1" x14ac:dyDescent="0.2">
      <c r="A17" s="32" t="s">
        <v>376</v>
      </c>
    </row>
    <row r="18" spans="1:1" x14ac:dyDescent="0.2">
      <c r="A18" s="32" t="s">
        <v>377</v>
      </c>
    </row>
    <row r="19" spans="1:1" x14ac:dyDescent="0.2">
      <c r="A19" s="32" t="s">
        <v>378</v>
      </c>
    </row>
    <row r="20" spans="1:1" x14ac:dyDescent="0.2">
      <c r="A20" s="32" t="s">
        <v>379</v>
      </c>
    </row>
    <row r="21" spans="1:1" x14ac:dyDescent="0.2">
      <c r="A21" s="32" t="s">
        <v>380</v>
      </c>
    </row>
    <row r="22" spans="1:1" x14ac:dyDescent="0.2">
      <c r="A22" s="32" t="s">
        <v>381</v>
      </c>
    </row>
    <row r="23" spans="1:1" x14ac:dyDescent="0.2">
      <c r="A23" s="32" t="s">
        <v>382</v>
      </c>
    </row>
    <row r="24" spans="1:1" x14ac:dyDescent="0.2">
      <c r="A24" s="32" t="s">
        <v>383</v>
      </c>
    </row>
    <row r="25" spans="1:1" x14ac:dyDescent="0.2">
      <c r="A25" s="32" t="s">
        <v>384</v>
      </c>
    </row>
    <row r="26" spans="1:1" x14ac:dyDescent="0.2">
      <c r="A26" s="32" t="s">
        <v>385</v>
      </c>
    </row>
    <row r="27" spans="1:1" x14ac:dyDescent="0.2">
      <c r="A27" s="32" t="s">
        <v>386</v>
      </c>
    </row>
    <row r="28" spans="1:1" x14ac:dyDescent="0.2">
      <c r="A28" s="32" t="s">
        <v>387</v>
      </c>
    </row>
    <row r="29" spans="1:1" x14ac:dyDescent="0.2">
      <c r="A29" s="32" t="s">
        <v>388</v>
      </c>
    </row>
    <row r="30" spans="1:1" x14ac:dyDescent="0.2">
      <c r="A30" s="32" t="s">
        <v>389</v>
      </c>
    </row>
    <row r="31" spans="1:1" x14ac:dyDescent="0.2">
      <c r="A31" s="32" t="s">
        <v>390</v>
      </c>
    </row>
    <row r="32" spans="1:1" x14ac:dyDescent="0.2">
      <c r="A32" s="32" t="s">
        <v>391</v>
      </c>
    </row>
    <row r="33" spans="1:1" x14ac:dyDescent="0.2">
      <c r="A33" s="32" t="s">
        <v>392</v>
      </c>
    </row>
    <row r="34" spans="1:1" x14ac:dyDescent="0.2">
      <c r="A34" s="32" t="s">
        <v>393</v>
      </c>
    </row>
    <row r="35" spans="1:1" x14ac:dyDescent="0.2">
      <c r="A35" s="33" t="s">
        <v>394</v>
      </c>
    </row>
    <row r="36" spans="1:1" x14ac:dyDescent="0.2">
      <c r="A36" s="32" t="s">
        <v>395</v>
      </c>
    </row>
    <row r="37" spans="1:1" x14ac:dyDescent="0.2">
      <c r="A37" s="32" t="s">
        <v>396</v>
      </c>
    </row>
    <row r="38" spans="1:1" x14ac:dyDescent="0.2">
      <c r="A38" s="32" t="s">
        <v>397</v>
      </c>
    </row>
    <row r="39" spans="1:1" x14ac:dyDescent="0.2">
      <c r="A39" s="32" t="s">
        <v>398</v>
      </c>
    </row>
    <row r="40" spans="1:1" x14ac:dyDescent="0.2">
      <c r="A40" s="32" t="s">
        <v>399</v>
      </c>
    </row>
    <row r="41" spans="1:1" x14ac:dyDescent="0.2">
      <c r="A41" s="32" t="s">
        <v>400</v>
      </c>
    </row>
    <row r="42" spans="1:1" x14ac:dyDescent="0.2">
      <c r="A42" s="32"/>
    </row>
    <row r="43" spans="1:1" x14ac:dyDescent="0.2">
      <c r="A43" s="16" t="s">
        <v>8</v>
      </c>
    </row>
    <row r="44" spans="1:1" x14ac:dyDescent="0.2">
      <c r="A44" s="16" t="s">
        <v>9</v>
      </c>
    </row>
    <row r="45" spans="1:1" x14ac:dyDescent="0.2">
      <c r="A45" s="17" t="s">
        <v>98</v>
      </c>
    </row>
    <row r="46" spans="1:1" x14ac:dyDescent="0.2">
      <c r="A46" s="32" t="s">
        <v>401</v>
      </c>
    </row>
    <row r="47" spans="1:1" x14ac:dyDescent="0.2">
      <c r="A47" s="32" t="s">
        <v>402</v>
      </c>
    </row>
    <row r="48" spans="1:1" x14ac:dyDescent="0.2">
      <c r="A48" s="32" t="s">
        <v>403</v>
      </c>
    </row>
    <row r="49" spans="1:1" x14ac:dyDescent="0.2">
      <c r="A49" s="32" t="s">
        <v>404</v>
      </c>
    </row>
    <row r="50" spans="1:1" x14ac:dyDescent="0.2">
      <c r="A50" s="32" t="s">
        <v>405</v>
      </c>
    </row>
    <row r="51" spans="1:1" x14ac:dyDescent="0.2">
      <c r="A51" s="32" t="s">
        <v>406</v>
      </c>
    </row>
    <row r="52" spans="1:1" x14ac:dyDescent="0.2">
      <c r="A52" s="32" t="s">
        <v>407</v>
      </c>
    </row>
    <row r="53" spans="1:1" x14ac:dyDescent="0.2">
      <c r="A53" s="32" t="s">
        <v>408</v>
      </c>
    </row>
    <row r="54" spans="1:1" x14ac:dyDescent="0.2">
      <c r="A54" s="32" t="s">
        <v>409</v>
      </c>
    </row>
    <row r="55" spans="1:1" x14ac:dyDescent="0.2">
      <c r="A55" s="32" t="s">
        <v>410</v>
      </c>
    </row>
    <row r="56" spans="1:1" x14ac:dyDescent="0.2">
      <c r="A56" s="32" t="s">
        <v>411</v>
      </c>
    </row>
    <row r="57" spans="1:1" x14ac:dyDescent="0.2">
      <c r="A57" s="32" t="s">
        <v>412</v>
      </c>
    </row>
    <row r="58" spans="1:1" x14ac:dyDescent="0.2">
      <c r="A58" s="32" t="s">
        <v>413</v>
      </c>
    </row>
    <row r="59" spans="1:1" x14ac:dyDescent="0.2">
      <c r="A59" s="32" t="s">
        <v>414</v>
      </c>
    </row>
    <row r="60" spans="1:1" x14ac:dyDescent="0.2">
      <c r="A60" s="32" t="s">
        <v>415</v>
      </c>
    </row>
    <row r="61" spans="1:1" x14ac:dyDescent="0.2">
      <c r="A61" s="32" t="s">
        <v>416</v>
      </c>
    </row>
    <row r="62" spans="1:1" x14ac:dyDescent="0.2">
      <c r="A62" s="32" t="s">
        <v>417</v>
      </c>
    </row>
    <row r="63" spans="1:1" x14ac:dyDescent="0.2">
      <c r="A63" s="32" t="s">
        <v>418</v>
      </c>
    </row>
    <row r="64" spans="1:1" x14ac:dyDescent="0.2">
      <c r="A64" s="32" t="s">
        <v>419</v>
      </c>
    </row>
    <row r="65" spans="1:1" x14ac:dyDescent="0.2">
      <c r="A65" s="32" t="s">
        <v>420</v>
      </c>
    </row>
    <row r="66" spans="1:1" x14ac:dyDescent="0.2">
      <c r="A66" s="32" t="s">
        <v>421</v>
      </c>
    </row>
    <row r="67" spans="1:1" x14ac:dyDescent="0.2">
      <c r="A67" s="32" t="s">
        <v>422</v>
      </c>
    </row>
    <row r="68" spans="1:1" x14ac:dyDescent="0.2">
      <c r="A68" s="32" t="s">
        <v>423</v>
      </c>
    </row>
    <row r="69" spans="1:1" x14ac:dyDescent="0.2">
      <c r="A69" s="32" t="s">
        <v>424</v>
      </c>
    </row>
    <row r="70" spans="1:1" x14ac:dyDescent="0.2">
      <c r="A70" s="32" t="s">
        <v>425</v>
      </c>
    </row>
    <row r="71" spans="1:1" x14ac:dyDescent="0.2">
      <c r="A71" s="32" t="s">
        <v>426</v>
      </c>
    </row>
    <row r="72" spans="1:1" x14ac:dyDescent="0.2">
      <c r="A72" s="32" t="s">
        <v>427</v>
      </c>
    </row>
    <row r="73" spans="1:1" x14ac:dyDescent="0.2">
      <c r="A73" s="32"/>
    </row>
    <row r="74" spans="1:1" x14ac:dyDescent="0.2">
      <c r="A74" s="32"/>
    </row>
    <row r="75" spans="1:1" x14ac:dyDescent="0.2">
      <c r="A75" s="32"/>
    </row>
    <row r="76" spans="1:1" x14ac:dyDescent="0.2">
      <c r="A76" s="32"/>
    </row>
    <row r="77" spans="1:1" x14ac:dyDescent="0.2">
      <c r="A77" s="32"/>
    </row>
    <row r="78" spans="1:1" x14ac:dyDescent="0.2">
      <c r="A78" s="32"/>
    </row>
    <row r="79" spans="1:1" x14ac:dyDescent="0.2">
      <c r="A79" s="32"/>
    </row>
    <row r="80" spans="1:1" x14ac:dyDescent="0.2">
      <c r="A80" s="32"/>
    </row>
    <row r="81" spans="1:1" x14ac:dyDescent="0.2">
      <c r="A81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2023-06-03T09:31:34Z</dcterms:modified>
</cp:coreProperties>
</file>