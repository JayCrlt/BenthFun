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4F7DC91F-4C92-0740-85B3-B453A66A543D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definedNames>
    <definedName name="_xlnm._FilterDatabase" localSheetId="0" hidden="1">Sheet1!$A$1:$L$1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53" i="1" l="1"/>
  <c r="G453" i="1"/>
  <c r="G448" i="1"/>
  <c r="H448" i="1"/>
  <c r="H451" i="1"/>
  <c r="G451" i="1"/>
  <c r="H445" i="1"/>
  <c r="G445" i="1"/>
  <c r="H470" i="1"/>
  <c r="G470" i="1"/>
  <c r="H467" i="1"/>
  <c r="G467" i="1"/>
  <c r="H464" i="1"/>
  <c r="G464" i="1"/>
  <c r="H461" i="1"/>
  <c r="G461" i="1"/>
  <c r="H458" i="1"/>
  <c r="G458" i="1"/>
  <c r="H455" i="1"/>
  <c r="G455" i="1"/>
  <c r="H442" i="1"/>
  <c r="G442" i="1"/>
  <c r="J442" i="1" s="1"/>
  <c r="K442" i="1" s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K458" i="1" l="1"/>
  <c r="K455" i="1"/>
  <c r="K461" i="1"/>
  <c r="J416" i="1"/>
  <c r="K453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6" i="1" l="1"/>
  <c r="K451" i="1"/>
  <c r="K470" i="1"/>
  <c r="K445" i="1"/>
  <c r="K467" i="1"/>
  <c r="K464" i="1"/>
  <c r="K448" i="1"/>
  <c r="K430" i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57" i="1" l="1"/>
  <c r="K67" i="1"/>
  <c r="K61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5" i="1" l="1"/>
  <c r="K7" i="1"/>
  <c r="K33" i="1"/>
  <c r="K15" i="1"/>
  <c r="K25" i="1"/>
  <c r="K20" i="1"/>
  <c r="K23" i="1"/>
  <c r="K13" i="1"/>
  <c r="K10" i="1"/>
  <c r="K17" i="1"/>
  <c r="K28" i="1"/>
  <c r="K2" i="1"/>
  <c r="K4" i="1"/>
</calcChain>
</file>

<file path=xl/sharedStrings.xml><?xml version="1.0" encoding="utf-8"?>
<sst xmlns="http://schemas.openxmlformats.org/spreadsheetml/2006/main" count="1819" uniqueCount="580">
  <si>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</si>
  <si>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</si>
  <si>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</si>
  <si>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</si>
  <si>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</si>
  <si>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</si>
  <si>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</si>
  <si>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</si>
  <si>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</si>
  <si>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</si>
  <si>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</si>
  <si>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</si>
  <si>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</si>
  <si>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</si>
  <si>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</si>
  <si>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</si>
  <si>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</si>
  <si>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</si>
  <si>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</si>
  <si>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</si>
  <si>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</si>
  <si>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</si>
  <si>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</si>
  <si>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</si>
  <si>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</si>
  <si>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</si>
  <si>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</si>
  <si>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</si>
  <si>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</si>
  <si>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</si>
  <si>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</si>
  <si>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</si>
  <si>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</si>
  <si>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</si>
  <si>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</si>
  <si>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</si>
  <si>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</si>
  <si>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</si>
  <si>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</si>
  <si>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</si>
  <si>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</si>
  <si>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</si>
  <si>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</si>
  <si>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</si>
  <si>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</si>
  <si>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</si>
  <si>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</si>
  <si>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</si>
  <si>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</si>
  <si>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</si>
  <si>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</si>
  <si>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</si>
  <si>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</si>
  <si>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</si>
  <si>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</si>
  <si>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</si>
  <si>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</si>
  <si>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</si>
  <si>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</si>
  <si>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</si>
  <si>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</si>
  <si>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</si>
  <si>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</si>
  <si>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</si>
  <si>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</si>
  <si>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</si>
  <si>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</si>
  <si>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</si>
  <si>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</si>
  <si>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</si>
  <si>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</si>
  <si>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</si>
  <si>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</si>
  <si>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</si>
  <si>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</si>
  <si>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</si>
  <si>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</si>
  <si>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</si>
  <si>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</si>
  <si>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</si>
  <si>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</si>
  <si>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</si>
  <si>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</si>
  <si>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</si>
  <si>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</si>
  <si>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</si>
  <si>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</si>
  <si>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</si>
  <si>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</si>
  <si>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</si>
  <si>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</si>
  <si>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</si>
  <si>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</si>
  <si>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</si>
  <si>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</si>
  <si>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</si>
  <si>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</si>
  <si>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</si>
  <si>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</si>
  <si>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</si>
  <si>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</si>
  <si>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</si>
  <si>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</si>
  <si>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</si>
  <si>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</si>
  <si>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</si>
  <si>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</si>
  <si>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</si>
  <si>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</si>
  <si>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</si>
  <si>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</si>
  <si>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</si>
  <si>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</si>
  <si>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</si>
  <si>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</si>
  <si>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</si>
  <si>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</si>
  <si>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</si>
  <si>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</si>
  <si>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</si>
  <si>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</si>
  <si>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</si>
  <si>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</si>
  <si>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</si>
  <si>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</si>
  <si>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</si>
  <si>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</si>
  <si>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</si>
  <si>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</si>
  <si>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</si>
  <si>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</si>
  <si>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</si>
  <si>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</si>
  <si>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</si>
  <si>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</si>
  <si>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</si>
  <si>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</si>
  <si>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</si>
  <si>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</si>
  <si>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</si>
  <si>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</si>
  <si>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</si>
  <si>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</si>
  <si>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</si>
  <si>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</si>
  <si>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</si>
  <si>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</si>
  <si>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</si>
  <si>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</si>
  <si>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</si>
  <si>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</si>
  <si>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</si>
  <si>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</si>
  <si>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</si>
  <si>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</si>
  <si>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</si>
  <si>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</si>
  <si>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</si>
  <si>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</si>
  <si>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</si>
  <si>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</si>
  <si>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</si>
  <si>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</si>
  <si>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</si>
  <si>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</si>
  <si>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</si>
  <si>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</si>
  <si>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</si>
  <si>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</si>
  <si>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</si>
  <si>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</si>
  <si>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</si>
  <si>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</si>
  <si>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</si>
  <si>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</si>
  <si>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</si>
  <si>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</si>
  <si>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</si>
  <si>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</si>
  <si>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</si>
  <si>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</si>
  <si>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</si>
  <si>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</si>
  <si>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</si>
  <si>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</si>
  <si>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</si>
  <si>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</si>
  <si>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</si>
  <si>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</si>
  <si>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</si>
  <si>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</si>
  <si>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</si>
  <si>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</si>
  <si>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</si>
  <si>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</si>
  <si>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</si>
  <si>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</si>
  <si>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</si>
  <si>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</si>
  <si>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</si>
  <si>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</si>
  <si>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</si>
  <si>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</si>
  <si>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</si>
  <si>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</si>
  <si>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</si>
  <si>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</si>
  <si>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</si>
  <si>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</si>
  <si>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</si>
  <si>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</si>
  <si>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</si>
  <si>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</si>
  <si>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</si>
  <si>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</si>
  <si>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</si>
  <si>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</si>
  <si>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</si>
  <si>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</si>
  <si>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</si>
  <si>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</si>
  <si>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</si>
  <si>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</si>
  <si>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</si>
  <si>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</si>
  <si>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</si>
  <si>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</si>
  <si>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</si>
  <si>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</si>
  <si>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</si>
  <si>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</si>
  <si>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</si>
  <si>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</si>
  <si>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</si>
  <si>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</si>
  <si>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</si>
  <si>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</si>
  <si>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</si>
  <si>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</si>
  <si>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</si>
  <si>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</si>
  <si>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</si>
  <si>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</si>
  <si>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</si>
  <si>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</si>
  <si>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</si>
  <si>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</si>
  <si>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</si>
  <si>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</si>
  <si>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</si>
  <si>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</si>
  <si>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</si>
  <si>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</si>
  <si>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</si>
  <si>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</si>
  <si>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</si>
  <si>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</si>
  <si>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</si>
  <si>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</si>
  <si>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</si>
  <si>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</si>
  <si>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</si>
  <si>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</si>
  <si>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</si>
  <si>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</si>
  <si>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</si>
  <si>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</si>
  <si>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</si>
  <si>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</si>
  <si>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</si>
  <si>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</si>
  <si>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</si>
  <si>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</si>
  <si>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</si>
  <si>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</si>
  <si>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</si>
  <si>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</si>
  <si>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</si>
  <si>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</si>
  <si>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</si>
  <si>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</si>
  <si>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</si>
  <si>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</si>
  <si>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</si>
  <si>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</si>
  <si>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</si>
  <si>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</si>
  <si>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</si>
  <si>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</si>
  <si>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</si>
  <si>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</si>
  <si>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</si>
  <si>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</si>
  <si>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</si>
  <si>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</si>
  <si>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</si>
  <si>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</si>
  <si>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</si>
  <si>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</si>
  <si>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</si>
  <si>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</si>
  <si>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</si>
  <si>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</si>
  <si>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</si>
  <si>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</si>
  <si>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</si>
  <si>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</si>
  <si>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</si>
  <si>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</si>
  <si>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</si>
  <si>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</si>
  <si>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</si>
  <si>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</si>
  <si>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</si>
  <si>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</si>
  <si>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</si>
  <si>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</si>
  <si>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</si>
  <si>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</si>
  <si>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</si>
  <si>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</si>
  <si>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</si>
  <si>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</si>
  <si>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</si>
  <si>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</si>
  <si>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</si>
  <si>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</si>
  <si>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</si>
  <si>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</si>
  <si>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</si>
  <si>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</si>
  <si>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</si>
  <si>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</si>
  <si>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</si>
  <si>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</si>
  <si>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</si>
  <si>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</si>
  <si>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</si>
  <si>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</si>
  <si>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</si>
  <si>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</si>
  <si>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</si>
  <si>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</si>
  <si>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</si>
  <si>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</si>
  <si>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</si>
  <si>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</si>
  <si>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</si>
  <si>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</si>
  <si>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</si>
  <si>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</si>
  <si>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</si>
  <si>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</si>
  <si>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</si>
  <si>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</si>
  <si>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</si>
  <si>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</si>
  <si>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</si>
  <si>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</si>
  <si>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</si>
  <si>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</si>
  <si>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</si>
  <si>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</si>
  <si>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</si>
  <si>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</si>
  <si>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</si>
  <si>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</si>
  <si>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</si>
  <si>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</si>
  <si>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</si>
  <si>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</si>
  <si>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</si>
  <si>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</si>
  <si>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</si>
  <si>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</si>
  <si>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</si>
  <si>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</si>
  <si>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</si>
  <si>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</si>
  <si>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</si>
  <si>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</si>
  <si>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</si>
  <si>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</si>
  <si>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</si>
  <si>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</si>
  <si>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</si>
  <si>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</si>
  <si>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</si>
  <si>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</si>
  <si>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</si>
  <si>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</si>
  <si>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</si>
  <si>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</si>
  <si>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</si>
  <si>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</si>
  <si>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</si>
  <si>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</si>
  <si>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</si>
  <si>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</si>
  <si>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</si>
  <si>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</si>
  <si>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</si>
  <si>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Tn_t1_ELOW_tile_02a</t>
  </si>
  <si>
    <t>Tn_t1_ELOW_tile_02b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</si>
  <si>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</si>
  <si>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</si>
  <si>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</si>
  <si>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</si>
  <si>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</si>
  <si>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</si>
  <si>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</si>
  <si>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</si>
  <si>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</si>
  <si>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</si>
  <si>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</si>
  <si>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</si>
  <si>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</si>
  <si>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</si>
  <si>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</si>
  <si>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</si>
  <si>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</si>
  <si>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</si>
  <si>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</si>
  <si>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</si>
  <si>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</si>
  <si>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</si>
  <si>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</si>
  <si>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Tn_t1_LOW_tile_02c</t>
  </si>
  <si>
    <t>Tn_t1_LOW_tile_03a</t>
  </si>
  <si>
    <t>Tn_t1_LOW_tile_03b</t>
  </si>
  <si>
    <t>Tn_t1_LOW_tile_03c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</si>
  <si>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</si>
  <si>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</si>
  <si>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</si>
  <si>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</si>
  <si>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</si>
  <si>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</si>
  <si>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</si>
  <si>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</si>
  <si>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</si>
  <si>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</si>
  <si>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</si>
  <si>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Tn_t1_LOW_tile_06c</t>
  </si>
  <si>
    <t>Tn_t1_LOW_blank_02a</t>
  </si>
  <si>
    <t>Tn_t1_LOW_blank_02b</t>
  </si>
  <si>
    <t>Tn_t1_LOW_blank_02c</t>
  </si>
  <si>
    <t>Tn_t1_AMB_tile_01a</t>
  </si>
  <si>
    <t>Tn_t1_AMB_tile_01b</t>
  </si>
  <si>
    <t>Tn_t1_AMB_tile_01c</t>
  </si>
  <si>
    <t>Tn_t1_AMB_tile_02a</t>
  </si>
  <si>
    <t>Tn_t1_AMB_tile_02b</t>
  </si>
  <si>
    <t>Tn_t1_AMB_tile_02c</t>
  </si>
  <si>
    <t>Tn_t1_AMB_tile_03a</t>
  </si>
  <si>
    <t>Tn_t1_AMB_tile_03b</t>
  </si>
  <si>
    <t>Tn_t1_AMB_tile_03c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</si>
  <si>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</si>
  <si>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</si>
  <si>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</si>
  <si>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</si>
  <si>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</si>
  <si>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</si>
  <si>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</si>
  <si>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</si>
  <si>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</si>
  <si>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</si>
  <si>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</si>
  <si>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Tn_t1_AMB_tile_06c</t>
  </si>
  <si>
    <t>Tn_t1_AMB_blank_02a</t>
  </si>
  <si>
    <t>Tn_t1_AMB_blank_02b</t>
  </si>
  <si>
    <t>Tn_t1_AMB_blank_02c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</si>
  <si>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</si>
  <si>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</si>
  <si>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</si>
  <si>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</si>
  <si>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</si>
  <si>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</si>
  <si>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</si>
  <si>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</si>
  <si>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Tn_t0_LOW_blank_01c</t>
  </si>
  <si>
    <t>Tn_t0_LOW_blank_02a</t>
  </si>
  <si>
    <t>Tn_t0_LOW_blank_02b</t>
  </si>
  <si>
    <t>Tn_t0_LOW_blank_02c</t>
  </si>
  <si>
    <t>Tn_t0_AMB_blank_01a</t>
  </si>
  <si>
    <t>Tn_t0_AMB_blank_01b</t>
  </si>
  <si>
    <t>Tn_t0_AMB_blank_01c</t>
  </si>
  <si>
    <t>Tn_t0_AMB_blank_02a</t>
  </si>
  <si>
    <t>Tn_t0_AMB_blank_02b</t>
  </si>
  <si>
    <t>Tn_t0_AMB_blank_02c</t>
  </si>
  <si>
    <t>T2_t0_ELOW_blank_01a</t>
  </si>
  <si>
    <t>T2_t0_ELOW_blank_01b</t>
  </si>
  <si>
    <t>T2_t0_ELOW_blank_01c</t>
  </si>
  <si>
    <t>T2_t0_ELOW_blank_02a</t>
  </si>
  <si>
    <t>T2_t0_ELOW_blank_02b</t>
  </si>
  <si>
    <t>T2_t0_ELOW_blank_02c</t>
  </si>
  <si>
    <t>T2_t1_ELOW_tile_01a</t>
  </si>
  <si>
    <t>T2_t1_ELOW_tile_01b</t>
  </si>
  <si>
    <t>T2_t1_ELOW_tile_01c</t>
  </si>
  <si>
    <t>T2_t1_ELOW_tile_02a</t>
  </si>
  <si>
    <t>T2_t1_ELOW_tile_02b</t>
  </si>
  <si>
    <t>T2_t1_ELOW_tile_02c</t>
  </si>
  <si>
    <t>T2_t1_ELOW_tile_03a</t>
  </si>
  <si>
    <t>T2_t1_ELOW_tile_03b</t>
  </si>
  <si>
    <t>T2_t1_ELOW_tile_03c</t>
  </si>
  <si>
    <t>T2_t1_ELOW_blank_01a</t>
  </si>
  <si>
    <t>T2_t1_ELOW_blank_01b</t>
  </si>
  <si>
    <t>T2_t1_ELOW_blank_01c</t>
  </si>
  <si>
    <t>T2_t1_ELOW_tile_04a</t>
  </si>
  <si>
    <t>T2_t1_ELOW_tile_04b</t>
  </si>
  <si>
    <t>T2_t1_ELOW_tile_04c</t>
  </si>
  <si>
    <t>T2_t1_ELOW_tile_05a</t>
  </si>
  <si>
    <t>T2_t1_ELOW_tile_05b</t>
  </si>
  <si>
    <t>T2_t1_ELOW_tile_05c</t>
  </si>
  <si>
    <t>T2_t1_ELOW_tile_06a</t>
  </si>
  <si>
    <t>T2_t1_ELOW_tile_06b</t>
  </si>
  <si>
    <t>T2_t1_ELOW_tile_06c</t>
  </si>
  <si>
    <t>T2_t1_ELOW_blank_02a</t>
  </si>
  <si>
    <t>T2_t1_ELOW_blank_02b</t>
  </si>
  <si>
    <t>T2_t1_ELOW_blank_02c</t>
  </si>
  <si>
    <t>T2_t0_LOW_blank_01a</t>
  </si>
  <si>
    <t>T2_t0_LOW_blank_01b</t>
  </si>
  <si>
    <t>T2_t0_LOW_blank_01c</t>
  </si>
  <si>
    <t>T2_t0_LOW_blank_02a</t>
  </si>
  <si>
    <t>T2_t0_LOW_blank_02b</t>
  </si>
  <si>
    <t>T2_t0_LOW_blank_02c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</si>
  <si>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</si>
  <si>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</si>
  <si>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</si>
  <si>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</si>
  <si>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</si>
  <si>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</si>
  <si>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</si>
  <si>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</si>
  <si>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</si>
  <si>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</si>
  <si>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</si>
  <si>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T2_t1_LOW_blank_01c</t>
  </si>
  <si>
    <t>T2_t1_LOW_tile_04a</t>
  </si>
  <si>
    <t>T2_t1_LOW_tile_04b</t>
  </si>
  <si>
    <t>T2_t1_LOW_tile_04c</t>
  </si>
  <si>
    <t>T2_t1_LOW_tile_05a</t>
  </si>
  <si>
    <t>T2_t1_LOW_tile_05b</t>
  </si>
  <si>
    <t>T2_t1_LOW_tile_05c</t>
  </si>
  <si>
    <t>T2_t1_LOW_tile_06a</t>
  </si>
  <si>
    <t>T2_t1_LOW_tile_06b</t>
  </si>
  <si>
    <t>T2_t1_LOW_tile_06c</t>
  </si>
  <si>
    <t>T2_t1_LOW_blank_02a</t>
  </si>
  <si>
    <t>T2_t1_LOW_blank_02b</t>
  </si>
  <si>
    <t>T2_t1_LOW_blank_02c</t>
  </si>
  <si>
    <t>T2_t0_AMB_blank_01a</t>
  </si>
  <si>
    <t>T2_t0_AMB_blank_01b</t>
  </si>
  <si>
    <t>T2_t0_AMB_blank_01c</t>
  </si>
  <si>
    <t>T2_t0_AMB_blank_02a</t>
  </si>
  <si>
    <t>T2_t0_AMB_blank_02b</t>
  </si>
  <si>
    <t>T2_t0_AMB_blank_02c</t>
  </si>
  <si>
    <t>T2_t1_AMB_tile_01a</t>
  </si>
  <si>
    <t>T2_t1_AMB_tile_01b</t>
  </si>
  <si>
    <t>T2_t1_AMB_tile_01c</t>
  </si>
  <si>
    <t>T2_t1_AMB_tile_02a</t>
  </si>
  <si>
    <t>T2_t1_AMB_tile_02b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</si>
  <si>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</si>
  <si>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</si>
  <si>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</si>
  <si>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</si>
  <si>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</si>
  <si>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</si>
  <si>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T2_t1_AMB_blank_01c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</si>
  <si>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</si>
  <si>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</si>
  <si>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</si>
  <si>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</si>
  <si>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</si>
  <si>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</si>
  <si>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</si>
  <si>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</si>
  <si>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T2_t1_AMB_tile_06c</t>
  </si>
  <si>
    <t>T2_t1_AMB_blank_02a</t>
  </si>
  <si>
    <t>T2_t1_AMB_blank_02b</t>
  </si>
  <si>
    <t>T2_t1_AMB_blank_02c</t>
  </si>
  <si>
    <t>PI_t5_AMB_Tile_3d</t>
  </si>
  <si>
    <t>PI_t6_AMB_Tile_3d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</si>
</sst>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42"/>
  <sheetViews>
    <sheetView tabSelected="1" zoomScale="90" zoomScaleNormal="73" workbookViewId="0">
      <pane ySplit="1" topLeftCell="A435" activePane="bottomLeft" state="frozen"/>
      <selection pane="bottomLeft" activeCell="G451" sqref="G451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2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2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2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2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2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2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2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2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2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2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2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2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2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2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2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2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2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2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2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2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2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2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2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2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2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2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2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2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2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2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2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2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2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2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2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2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2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2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2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2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2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2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2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2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2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2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2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2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2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2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2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2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2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2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2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2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2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2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2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2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2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2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2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2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2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2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2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2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2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2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2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2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2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2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2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2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2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2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2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2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2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2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2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2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2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2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2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2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2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2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2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2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2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2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2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2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2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2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2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2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2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2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2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2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2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2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2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2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2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2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2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2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2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2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2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2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2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2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2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2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2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2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2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2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2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2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2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2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2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2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2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2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2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2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2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2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2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2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2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2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2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2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2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2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2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2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2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2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2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2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2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2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2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2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2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2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2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2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2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2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2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2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2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2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2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2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2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2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2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2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2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2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2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2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2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2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2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2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2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2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2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2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2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2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2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2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2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2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2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2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2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2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2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2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2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2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2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2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2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2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2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2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2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2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2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2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2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2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2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2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2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2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2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2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2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578</v>
      </c>
    </row>
    <row r="425" spans="1:11" x14ac:dyDescent="0.2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2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2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2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2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2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2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2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579</v>
      </c>
    </row>
    <row r="433" spans="1:12" x14ac:dyDescent="0.2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2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2" x14ac:dyDescent="0.2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2" x14ac:dyDescent="0.2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2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2" x14ac:dyDescent="0.2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2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2" x14ac:dyDescent="0.2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2" x14ac:dyDescent="0.2">
      <c r="C441" s="10"/>
    </row>
    <row r="442" spans="1:12" x14ac:dyDescent="0.2">
      <c r="A442" s="9" t="s">
        <v>11</v>
      </c>
      <c r="B442" s="31">
        <v>45090</v>
      </c>
      <c r="C442" s="10" t="s">
        <v>12</v>
      </c>
      <c r="D442" s="5">
        <v>50.05</v>
      </c>
      <c r="E442" s="14">
        <v>2312.7800000000002</v>
      </c>
      <c r="F442" s="16" t="s">
        <v>8</v>
      </c>
      <c r="G442" s="13">
        <f>AVERAGE(E443,E444)</f>
        <v>2232.69</v>
      </c>
      <c r="H442" s="18">
        <f>STDEV(E443,E444)</f>
        <v>2.9698484809833712</v>
      </c>
      <c r="I442" s="3">
        <v>2226.44</v>
      </c>
      <c r="J442" s="4">
        <f>I442-G442</f>
        <v>-6.25</v>
      </c>
      <c r="K442" s="5">
        <f>G442+J442</f>
        <v>2226.44</v>
      </c>
      <c r="L442" s="2" t="s">
        <v>94</v>
      </c>
    </row>
    <row r="443" spans="1:12" x14ac:dyDescent="0.2">
      <c r="A443" s="9" t="s">
        <v>11</v>
      </c>
      <c r="B443" s="31">
        <v>45090</v>
      </c>
      <c r="C443" s="10" t="s">
        <v>12</v>
      </c>
      <c r="D443" s="5">
        <v>48.78</v>
      </c>
      <c r="E443" s="5">
        <v>2230.59</v>
      </c>
      <c r="F443" s="16" t="s">
        <v>9</v>
      </c>
    </row>
    <row r="444" spans="1:12" x14ac:dyDescent="0.2">
      <c r="A444" s="9" t="s">
        <v>11</v>
      </c>
      <c r="B444" s="31">
        <v>45090</v>
      </c>
      <c r="C444" s="10" t="s">
        <v>12</v>
      </c>
      <c r="D444" s="5">
        <v>51.78</v>
      </c>
      <c r="E444" s="5">
        <v>2234.79</v>
      </c>
      <c r="F444" s="16" t="s">
        <v>96</v>
      </c>
    </row>
    <row r="445" spans="1:12" x14ac:dyDescent="0.2">
      <c r="A445" s="9" t="s">
        <v>11</v>
      </c>
      <c r="B445" s="31">
        <v>45090</v>
      </c>
      <c r="C445" s="10" t="s">
        <v>12</v>
      </c>
      <c r="D445" s="5">
        <v>49.72</v>
      </c>
      <c r="E445" s="5">
        <v>2797.88</v>
      </c>
      <c r="F445" s="16" t="s">
        <v>470</v>
      </c>
      <c r="G445" s="13">
        <f>AVERAGE(E445,E447)</f>
        <v>2794.82</v>
      </c>
      <c r="H445" s="18">
        <f>STDEV(E445,E447)</f>
        <v>4.3274935008615936</v>
      </c>
      <c r="K445" s="5">
        <f>G445+$J$416</f>
        <v>2791.2750000000001</v>
      </c>
    </row>
    <row r="446" spans="1:12" x14ac:dyDescent="0.2">
      <c r="A446" s="9" t="s">
        <v>11</v>
      </c>
      <c r="B446" s="31">
        <v>45090</v>
      </c>
      <c r="C446" s="10" t="s">
        <v>12</v>
      </c>
      <c r="D446" s="5">
        <v>48.28</v>
      </c>
      <c r="E446" s="14">
        <v>2892.7</v>
      </c>
      <c r="F446" s="16" t="s">
        <v>471</v>
      </c>
    </row>
    <row r="447" spans="1:12" x14ac:dyDescent="0.2">
      <c r="A447" s="9" t="s">
        <v>11</v>
      </c>
      <c r="B447" s="31">
        <v>45090</v>
      </c>
      <c r="C447" s="10" t="s">
        <v>12</v>
      </c>
      <c r="D447" s="5">
        <v>50.26</v>
      </c>
      <c r="E447" s="5">
        <v>2791.76</v>
      </c>
      <c r="F447" s="16" t="s">
        <v>472</v>
      </c>
    </row>
    <row r="448" spans="1:12" x14ac:dyDescent="0.2">
      <c r="A448" s="9" t="s">
        <v>11</v>
      </c>
      <c r="B448" s="31">
        <v>45090</v>
      </c>
      <c r="C448" s="10" t="s">
        <v>12</v>
      </c>
      <c r="D448" s="5">
        <v>50.21</v>
      </c>
      <c r="E448" s="14">
        <v>2776.09</v>
      </c>
      <c r="F448" s="16" t="s">
        <v>473</v>
      </c>
      <c r="G448" s="13">
        <f>AVERAGE(E449,E450)</f>
        <v>2792.2950000000001</v>
      </c>
      <c r="H448" s="18">
        <f>STDEV(E449,E450)</f>
        <v>3.995153313704058</v>
      </c>
      <c r="K448" s="5">
        <f>G448+$J$416</f>
        <v>2788.75</v>
      </c>
    </row>
    <row r="449" spans="1:11" x14ac:dyDescent="0.2">
      <c r="A449" s="9" t="s">
        <v>11</v>
      </c>
      <c r="B449" s="31">
        <v>45090</v>
      </c>
      <c r="C449" s="10" t="s">
        <v>12</v>
      </c>
      <c r="D449" s="5">
        <v>48.31</v>
      </c>
      <c r="E449" s="5">
        <v>2789.47</v>
      </c>
      <c r="F449" s="16" t="s">
        <v>474</v>
      </c>
    </row>
    <row r="450" spans="1:11" x14ac:dyDescent="0.2">
      <c r="A450" s="9" t="s">
        <v>11</v>
      </c>
      <c r="B450" s="31">
        <v>45090</v>
      </c>
      <c r="C450" s="10" t="s">
        <v>12</v>
      </c>
      <c r="D450" s="5">
        <v>51.2</v>
      </c>
      <c r="E450" s="5">
        <v>2795.12</v>
      </c>
      <c r="F450" s="16" t="s">
        <v>475</v>
      </c>
    </row>
    <row r="451" spans="1:11" x14ac:dyDescent="0.2">
      <c r="A451" s="9" t="s">
        <v>11</v>
      </c>
      <c r="B451" s="31">
        <v>45090</v>
      </c>
      <c r="C451" s="10" t="s">
        <v>12</v>
      </c>
      <c r="D451" s="5">
        <v>50.61</v>
      </c>
      <c r="E451" s="5">
        <v>2738.11</v>
      </c>
      <c r="F451" s="16" t="s">
        <v>400</v>
      </c>
      <c r="G451" s="13">
        <f>AVERAGE(E452,E451)</f>
        <v>2736.45</v>
      </c>
      <c r="H451" s="18">
        <f>STDEV(E452,E451)</f>
        <v>2.3475945135394536</v>
      </c>
      <c r="K451" s="5">
        <f>G451+$J$416</f>
        <v>2732.9049999999997</v>
      </c>
    </row>
    <row r="452" spans="1:11" x14ac:dyDescent="0.2">
      <c r="A452" s="9" t="s">
        <v>11</v>
      </c>
      <c r="B452" s="31">
        <v>45090</v>
      </c>
      <c r="C452" s="10" t="s">
        <v>12</v>
      </c>
      <c r="D452" s="5">
        <v>50.35</v>
      </c>
      <c r="E452" s="5">
        <v>2734.79</v>
      </c>
      <c r="F452" s="16" t="s">
        <v>401</v>
      </c>
    </row>
    <row r="453" spans="1:11" x14ac:dyDescent="0.2">
      <c r="A453" s="9" t="s">
        <v>11</v>
      </c>
      <c r="B453" s="31">
        <v>45090</v>
      </c>
      <c r="C453" s="10" t="s">
        <v>12</v>
      </c>
      <c r="D453" s="5">
        <v>51.43</v>
      </c>
      <c r="E453" s="5">
        <v>2773.66</v>
      </c>
      <c r="F453" s="16" t="s">
        <v>402</v>
      </c>
      <c r="G453" s="13">
        <f>AVERAGE(E453:E454)</f>
        <v>2775.7049999999999</v>
      </c>
      <c r="H453" s="18">
        <f>STDEV(E453:E454)</f>
        <v>2.8920667350530822</v>
      </c>
      <c r="K453" s="5">
        <f>G453+$J$416</f>
        <v>2772.16</v>
      </c>
    </row>
    <row r="454" spans="1:11" x14ac:dyDescent="0.2">
      <c r="A454" s="9" t="s">
        <v>11</v>
      </c>
      <c r="B454" s="31">
        <v>45090</v>
      </c>
      <c r="C454" s="10" t="s">
        <v>12</v>
      </c>
      <c r="D454" s="5">
        <v>51.73</v>
      </c>
      <c r="E454" s="5">
        <v>2777.75</v>
      </c>
      <c r="F454" s="16" t="s">
        <v>403</v>
      </c>
    </row>
    <row r="455" spans="1:11" x14ac:dyDescent="0.2">
      <c r="C455" s="10" t="s">
        <v>12</v>
      </c>
      <c r="F455" s="16" t="s">
        <v>404</v>
      </c>
      <c r="G455" s="13" t="e">
        <f>AVERAGE(E456,E457)</f>
        <v>#DIV/0!</v>
      </c>
      <c r="H455" s="18" t="e">
        <f>STDEV(E456,E457)</f>
        <v>#DIV/0!</v>
      </c>
      <c r="K455" s="5" t="e">
        <f>G455+$J$416</f>
        <v>#DIV/0!</v>
      </c>
    </row>
    <row r="456" spans="1:11" x14ac:dyDescent="0.2">
      <c r="C456" s="10" t="s">
        <v>12</v>
      </c>
      <c r="F456" s="16" t="s">
        <v>405</v>
      </c>
    </row>
    <row r="457" spans="1:11" x14ac:dyDescent="0.2">
      <c r="C457" s="10" t="s">
        <v>12</v>
      </c>
      <c r="F457" s="16" t="s">
        <v>406</v>
      </c>
    </row>
    <row r="458" spans="1:11" x14ac:dyDescent="0.2">
      <c r="C458" s="10" t="s">
        <v>12</v>
      </c>
      <c r="F458" s="16" t="s">
        <v>407</v>
      </c>
      <c r="G458" s="13" t="e">
        <f>AVERAGE(E459,E460)</f>
        <v>#DIV/0!</v>
      </c>
      <c r="H458" s="18" t="e">
        <f>STDEV(E459,E460)</f>
        <v>#DIV/0!</v>
      </c>
      <c r="K458" s="5" t="e">
        <f>G458+$J$416</f>
        <v>#DIV/0!</v>
      </c>
    </row>
    <row r="459" spans="1:11" x14ac:dyDescent="0.2">
      <c r="C459" s="10" t="s">
        <v>12</v>
      </c>
      <c r="F459" s="16" t="s">
        <v>408</v>
      </c>
    </row>
    <row r="460" spans="1:11" x14ac:dyDescent="0.2">
      <c r="C460" s="10" t="s">
        <v>12</v>
      </c>
      <c r="F460" s="16" t="s">
        <v>409</v>
      </c>
    </row>
    <row r="461" spans="1:11" x14ac:dyDescent="0.2">
      <c r="C461" s="10" t="s">
        <v>12</v>
      </c>
      <c r="F461" s="16" t="s">
        <v>410</v>
      </c>
      <c r="G461" s="13" t="e">
        <f>AVERAGE(E462,E463)</f>
        <v>#DIV/0!</v>
      </c>
      <c r="H461" s="18" t="e">
        <f>STDEV(E462,E463)</f>
        <v>#DIV/0!</v>
      </c>
      <c r="K461" s="5" t="e">
        <f>G461+$J$416</f>
        <v>#DIV/0!</v>
      </c>
    </row>
    <row r="462" spans="1:11" x14ac:dyDescent="0.2">
      <c r="C462" s="10" t="s">
        <v>12</v>
      </c>
      <c r="F462" s="16" t="s">
        <v>411</v>
      </c>
    </row>
    <row r="463" spans="1:11" x14ac:dyDescent="0.2">
      <c r="C463" s="10" t="s">
        <v>12</v>
      </c>
      <c r="F463" s="16" t="s">
        <v>412</v>
      </c>
    </row>
    <row r="464" spans="1:11" x14ac:dyDescent="0.2">
      <c r="C464" s="10" t="s">
        <v>12</v>
      </c>
      <c r="F464" s="16" t="s">
        <v>413</v>
      </c>
      <c r="G464" s="13" t="e">
        <f>AVERAGE(E465,E466)</f>
        <v>#DIV/0!</v>
      </c>
      <c r="H464" s="18" t="e">
        <f>STDEV(E465,E466)</f>
        <v>#DIV/0!</v>
      </c>
      <c r="K464" s="5" t="e">
        <f>G464+$J$416</f>
        <v>#DIV/0!</v>
      </c>
    </row>
    <row r="465" spans="3:11" x14ac:dyDescent="0.2">
      <c r="C465" s="10" t="s">
        <v>12</v>
      </c>
      <c r="F465" s="16" t="s">
        <v>414</v>
      </c>
    </row>
    <row r="466" spans="3:11" x14ac:dyDescent="0.2">
      <c r="C466" s="10" t="s">
        <v>12</v>
      </c>
      <c r="F466" s="16" t="s">
        <v>415</v>
      </c>
    </row>
    <row r="467" spans="3:11" x14ac:dyDescent="0.2">
      <c r="C467" s="10" t="s">
        <v>12</v>
      </c>
      <c r="F467" s="16" t="s">
        <v>416</v>
      </c>
      <c r="G467" s="13" t="e">
        <f>AVERAGE(E468,E469)</f>
        <v>#DIV/0!</v>
      </c>
      <c r="H467" s="18" t="e">
        <f>STDEV(E468,E469)</f>
        <v>#DIV/0!</v>
      </c>
      <c r="K467" s="5" t="e">
        <f>G467+$J$416</f>
        <v>#DIV/0!</v>
      </c>
    </row>
    <row r="468" spans="3:11" x14ac:dyDescent="0.2">
      <c r="C468" s="10" t="s">
        <v>12</v>
      </c>
      <c r="F468" s="16" t="s">
        <v>417</v>
      </c>
    </row>
    <row r="469" spans="3:11" x14ac:dyDescent="0.2">
      <c r="C469" s="10" t="s">
        <v>12</v>
      </c>
      <c r="F469" s="16" t="s">
        <v>418</v>
      </c>
    </row>
    <row r="470" spans="3:11" x14ac:dyDescent="0.2">
      <c r="C470" s="10" t="s">
        <v>12</v>
      </c>
      <c r="F470" s="16" t="s">
        <v>419</v>
      </c>
      <c r="G470" s="13" t="e">
        <f>AVERAGE(E471,E472)</f>
        <v>#DIV/0!</v>
      </c>
      <c r="H470" s="18" t="e">
        <f>STDEV(E471,E472)</f>
        <v>#DIV/0!</v>
      </c>
      <c r="K470" s="5" t="e">
        <f>G470+$J$416</f>
        <v>#DIV/0!</v>
      </c>
    </row>
    <row r="471" spans="3:11" x14ac:dyDescent="0.2">
      <c r="C471" s="10" t="s">
        <v>12</v>
      </c>
      <c r="F471" s="16" t="s">
        <v>420</v>
      </c>
    </row>
    <row r="472" spans="3:11" x14ac:dyDescent="0.2">
      <c r="C472" s="10" t="s">
        <v>12</v>
      </c>
      <c r="F472" s="16" t="s">
        <v>421</v>
      </c>
    </row>
    <row r="473" spans="3:11" x14ac:dyDescent="0.2">
      <c r="C473" s="10"/>
      <c r="F473" s="16"/>
    </row>
    <row r="474" spans="3:11" x14ac:dyDescent="0.2">
      <c r="C474" s="10" t="s">
        <v>12</v>
      </c>
      <c r="F474" s="16" t="s">
        <v>8</v>
      </c>
    </row>
    <row r="475" spans="3:11" x14ac:dyDescent="0.2">
      <c r="C475" s="10" t="s">
        <v>12</v>
      </c>
      <c r="F475" s="16" t="s">
        <v>9</v>
      </c>
    </row>
    <row r="476" spans="3:11" x14ac:dyDescent="0.2">
      <c r="C476" s="10" t="s">
        <v>12</v>
      </c>
      <c r="F476" s="16" t="s">
        <v>96</v>
      </c>
    </row>
    <row r="477" spans="3:11" x14ac:dyDescent="0.2">
      <c r="C477" s="10" t="s">
        <v>12</v>
      </c>
      <c r="F477" s="16" t="s">
        <v>476</v>
      </c>
    </row>
    <row r="478" spans="3:11" x14ac:dyDescent="0.2">
      <c r="C478" s="10" t="s">
        <v>12</v>
      </c>
      <c r="F478" s="16" t="s">
        <v>477</v>
      </c>
    </row>
    <row r="479" spans="3:11" x14ac:dyDescent="0.2">
      <c r="C479" s="10" t="s">
        <v>12</v>
      </c>
      <c r="F479" s="16" t="s">
        <v>478</v>
      </c>
    </row>
    <row r="480" spans="3:11" x14ac:dyDescent="0.2">
      <c r="C480" s="10" t="s">
        <v>12</v>
      </c>
      <c r="F480" s="16" t="s">
        <v>479</v>
      </c>
    </row>
    <row r="481" spans="3:6" x14ac:dyDescent="0.2">
      <c r="C481" s="10" t="s">
        <v>12</v>
      </c>
      <c r="F481" s="16" t="s">
        <v>480</v>
      </c>
    </row>
    <row r="482" spans="3:6" x14ac:dyDescent="0.2">
      <c r="C482" s="10" t="s">
        <v>12</v>
      </c>
      <c r="F482" s="16" t="s">
        <v>481</v>
      </c>
    </row>
    <row r="483" spans="3:6" x14ac:dyDescent="0.2">
      <c r="C483" s="10" t="s">
        <v>12</v>
      </c>
      <c r="F483" s="16" t="s">
        <v>422</v>
      </c>
    </row>
    <row r="484" spans="3:6" x14ac:dyDescent="0.2">
      <c r="C484" s="10" t="s">
        <v>12</v>
      </c>
      <c r="F484" s="16" t="s">
        <v>423</v>
      </c>
    </row>
    <row r="485" spans="3:6" x14ac:dyDescent="0.2">
      <c r="C485" s="10" t="s">
        <v>12</v>
      </c>
      <c r="F485" s="16" t="s">
        <v>424</v>
      </c>
    </row>
    <row r="486" spans="3:6" x14ac:dyDescent="0.2">
      <c r="C486" s="10" t="s">
        <v>12</v>
      </c>
      <c r="F486" s="16" t="s">
        <v>425</v>
      </c>
    </row>
    <row r="487" spans="3:6" x14ac:dyDescent="0.2">
      <c r="C487" s="10" t="s">
        <v>12</v>
      </c>
      <c r="F487" s="16" t="s">
        <v>426</v>
      </c>
    </row>
    <row r="488" spans="3:6" x14ac:dyDescent="0.2">
      <c r="C488" s="10" t="s">
        <v>12</v>
      </c>
      <c r="F488" s="16" t="s">
        <v>427</v>
      </c>
    </row>
    <row r="489" spans="3:6" x14ac:dyDescent="0.2">
      <c r="C489" s="10" t="s">
        <v>12</v>
      </c>
      <c r="F489" s="16" t="s">
        <v>428</v>
      </c>
    </row>
    <row r="490" spans="3:6" x14ac:dyDescent="0.2">
      <c r="C490" s="10" t="s">
        <v>12</v>
      </c>
      <c r="F490" s="16" t="s">
        <v>429</v>
      </c>
    </row>
    <row r="491" spans="3:6" x14ac:dyDescent="0.2">
      <c r="C491" s="10" t="s">
        <v>12</v>
      </c>
      <c r="F491" s="16" t="s">
        <v>430</v>
      </c>
    </row>
    <row r="492" spans="3:6" x14ac:dyDescent="0.2">
      <c r="C492" s="10" t="s">
        <v>12</v>
      </c>
      <c r="F492" s="16" t="s">
        <v>431</v>
      </c>
    </row>
    <row r="493" spans="3:6" x14ac:dyDescent="0.2">
      <c r="C493" s="10" t="s">
        <v>12</v>
      </c>
      <c r="F493" s="16" t="s">
        <v>432</v>
      </c>
    </row>
    <row r="494" spans="3:6" x14ac:dyDescent="0.2">
      <c r="C494" s="10" t="s">
        <v>12</v>
      </c>
      <c r="F494" s="16" t="s">
        <v>433</v>
      </c>
    </row>
    <row r="495" spans="3:6" x14ac:dyDescent="0.2">
      <c r="C495" s="10" t="s">
        <v>12</v>
      </c>
      <c r="F495" s="16" t="s">
        <v>434</v>
      </c>
    </row>
    <row r="496" spans="3:6" x14ac:dyDescent="0.2">
      <c r="C496" s="10" t="s">
        <v>12</v>
      </c>
      <c r="F496" s="16" t="s">
        <v>435</v>
      </c>
    </row>
    <row r="497" spans="3:6" x14ac:dyDescent="0.2">
      <c r="C497" s="10" t="s">
        <v>12</v>
      </c>
      <c r="F497" s="16" t="s">
        <v>436</v>
      </c>
    </row>
    <row r="498" spans="3:6" x14ac:dyDescent="0.2">
      <c r="C498" s="10" t="s">
        <v>12</v>
      </c>
      <c r="F498" s="16" t="s">
        <v>437</v>
      </c>
    </row>
    <row r="499" spans="3:6" x14ac:dyDescent="0.2">
      <c r="C499" s="10" t="s">
        <v>12</v>
      </c>
      <c r="F499" s="16" t="s">
        <v>438</v>
      </c>
    </row>
    <row r="500" spans="3:6" x14ac:dyDescent="0.2">
      <c r="C500" s="10" t="s">
        <v>12</v>
      </c>
      <c r="F500" s="16" t="s">
        <v>439</v>
      </c>
    </row>
    <row r="501" spans="3:6" x14ac:dyDescent="0.2">
      <c r="C501" s="10" t="s">
        <v>12</v>
      </c>
      <c r="F501" s="16" t="s">
        <v>440</v>
      </c>
    </row>
    <row r="502" spans="3:6" x14ac:dyDescent="0.2">
      <c r="C502" s="10" t="s">
        <v>12</v>
      </c>
      <c r="F502" s="16" t="s">
        <v>441</v>
      </c>
    </row>
    <row r="503" spans="3:6" x14ac:dyDescent="0.2">
      <c r="C503" s="10" t="s">
        <v>12</v>
      </c>
      <c r="F503" s="16" t="s">
        <v>442</v>
      </c>
    </row>
    <row r="504" spans="3:6" x14ac:dyDescent="0.2">
      <c r="C504" s="10" t="s">
        <v>12</v>
      </c>
      <c r="F504" s="16" t="s">
        <v>443</v>
      </c>
    </row>
    <row r="505" spans="3:6" x14ac:dyDescent="0.2">
      <c r="C505" s="10" t="s">
        <v>12</v>
      </c>
      <c r="F505" s="16" t="s">
        <v>444</v>
      </c>
    </row>
    <row r="506" spans="3:6" x14ac:dyDescent="0.2">
      <c r="C506" s="10" t="s">
        <v>12</v>
      </c>
      <c r="F506" s="16" t="s">
        <v>445</v>
      </c>
    </row>
    <row r="508" spans="3:6" x14ac:dyDescent="0.2">
      <c r="C508" s="10" t="s">
        <v>12</v>
      </c>
      <c r="F508" s="16" t="s">
        <v>8</v>
      </c>
    </row>
    <row r="509" spans="3:6" x14ac:dyDescent="0.2">
      <c r="C509" s="10" t="s">
        <v>12</v>
      </c>
      <c r="F509" s="16" t="s">
        <v>9</v>
      </c>
    </row>
    <row r="510" spans="3:6" x14ac:dyDescent="0.2">
      <c r="C510" s="10" t="s">
        <v>12</v>
      </c>
      <c r="F510" s="16" t="s">
        <v>96</v>
      </c>
    </row>
    <row r="511" spans="3:6" x14ac:dyDescent="0.2">
      <c r="C511" s="10" t="s">
        <v>12</v>
      </c>
      <c r="F511" s="16" t="s">
        <v>482</v>
      </c>
    </row>
    <row r="512" spans="3:6" x14ac:dyDescent="0.2">
      <c r="C512" s="10" t="s">
        <v>12</v>
      </c>
      <c r="F512" s="16" t="s">
        <v>483</v>
      </c>
    </row>
    <row r="513" spans="3:6" x14ac:dyDescent="0.2">
      <c r="C513" s="10" t="s">
        <v>12</v>
      </c>
      <c r="F513" s="16" t="s">
        <v>484</v>
      </c>
    </row>
    <row r="514" spans="3:6" x14ac:dyDescent="0.2">
      <c r="C514" s="10" t="s">
        <v>12</v>
      </c>
      <c r="F514" s="16" t="s">
        <v>485</v>
      </c>
    </row>
    <row r="515" spans="3:6" x14ac:dyDescent="0.2">
      <c r="C515" s="10" t="s">
        <v>12</v>
      </c>
      <c r="F515" s="16" t="s">
        <v>486</v>
      </c>
    </row>
    <row r="516" spans="3:6" x14ac:dyDescent="0.2">
      <c r="C516" s="10" t="s">
        <v>12</v>
      </c>
      <c r="F516" s="16" t="s">
        <v>487</v>
      </c>
    </row>
    <row r="517" spans="3:6" x14ac:dyDescent="0.2">
      <c r="C517" s="10" t="s">
        <v>12</v>
      </c>
      <c r="F517" s="16" t="s">
        <v>446</v>
      </c>
    </row>
    <row r="518" spans="3:6" x14ac:dyDescent="0.2">
      <c r="C518" s="10" t="s">
        <v>12</v>
      </c>
      <c r="F518" s="16" t="s">
        <v>447</v>
      </c>
    </row>
    <row r="519" spans="3:6" x14ac:dyDescent="0.2">
      <c r="C519" s="10" t="s">
        <v>12</v>
      </c>
      <c r="F519" s="16" t="s">
        <v>448</v>
      </c>
    </row>
    <row r="520" spans="3:6" x14ac:dyDescent="0.2">
      <c r="C520" s="10" t="s">
        <v>12</v>
      </c>
      <c r="F520" s="16" t="s">
        <v>449</v>
      </c>
    </row>
    <row r="521" spans="3:6" x14ac:dyDescent="0.2">
      <c r="C521" s="10" t="s">
        <v>12</v>
      </c>
      <c r="F521" s="16" t="s">
        <v>450</v>
      </c>
    </row>
    <row r="522" spans="3:6" x14ac:dyDescent="0.2">
      <c r="C522" s="10" t="s">
        <v>12</v>
      </c>
      <c r="F522" s="16" t="s">
        <v>451</v>
      </c>
    </row>
    <row r="523" spans="3:6" x14ac:dyDescent="0.2">
      <c r="C523" s="10" t="s">
        <v>12</v>
      </c>
      <c r="F523" s="16" t="s">
        <v>452</v>
      </c>
    </row>
    <row r="524" spans="3:6" x14ac:dyDescent="0.2">
      <c r="C524" s="10" t="s">
        <v>12</v>
      </c>
      <c r="F524" s="16" t="s">
        <v>453</v>
      </c>
    </row>
    <row r="525" spans="3:6" x14ac:dyDescent="0.2">
      <c r="C525" s="10" t="s">
        <v>12</v>
      </c>
      <c r="F525" s="16" t="s">
        <v>454</v>
      </c>
    </row>
    <row r="526" spans="3:6" x14ac:dyDescent="0.2">
      <c r="C526" s="10" t="s">
        <v>12</v>
      </c>
      <c r="F526" s="16" t="s">
        <v>455</v>
      </c>
    </row>
    <row r="527" spans="3:6" x14ac:dyDescent="0.2">
      <c r="C527" s="10" t="s">
        <v>12</v>
      </c>
      <c r="F527" s="16" t="s">
        <v>456</v>
      </c>
    </row>
    <row r="528" spans="3:6" x14ac:dyDescent="0.2">
      <c r="C528" s="10" t="s">
        <v>12</v>
      </c>
      <c r="F528" s="16" t="s">
        <v>457</v>
      </c>
    </row>
    <row r="529" spans="3:6" x14ac:dyDescent="0.2">
      <c r="C529" s="10" t="s">
        <v>12</v>
      </c>
      <c r="F529" s="16" t="s">
        <v>458</v>
      </c>
    </row>
    <row r="530" spans="3:6" x14ac:dyDescent="0.2">
      <c r="C530" s="10" t="s">
        <v>12</v>
      </c>
      <c r="F530" s="16" t="s">
        <v>459</v>
      </c>
    </row>
    <row r="531" spans="3:6" x14ac:dyDescent="0.2">
      <c r="C531" s="10" t="s">
        <v>12</v>
      </c>
      <c r="F531" s="16" t="s">
        <v>460</v>
      </c>
    </row>
    <row r="532" spans="3:6" x14ac:dyDescent="0.2">
      <c r="C532" s="10" t="s">
        <v>12</v>
      </c>
      <c r="F532" s="16" t="s">
        <v>461</v>
      </c>
    </row>
    <row r="533" spans="3:6" x14ac:dyDescent="0.2">
      <c r="C533" s="10" t="s">
        <v>12</v>
      </c>
      <c r="F533" s="16" t="s">
        <v>462</v>
      </c>
    </row>
    <row r="534" spans="3:6" x14ac:dyDescent="0.2">
      <c r="C534" s="10" t="s">
        <v>12</v>
      </c>
      <c r="F534" s="16" t="s">
        <v>463</v>
      </c>
    </row>
    <row r="535" spans="3:6" x14ac:dyDescent="0.2">
      <c r="C535" s="10" t="s">
        <v>12</v>
      </c>
      <c r="F535" s="16" t="s">
        <v>464</v>
      </c>
    </row>
    <row r="536" spans="3:6" x14ac:dyDescent="0.2">
      <c r="C536" s="10" t="s">
        <v>12</v>
      </c>
      <c r="F536" s="16" t="s">
        <v>465</v>
      </c>
    </row>
    <row r="537" spans="3:6" x14ac:dyDescent="0.2">
      <c r="C537" s="10" t="s">
        <v>12</v>
      </c>
      <c r="F537" s="16" t="s">
        <v>466</v>
      </c>
    </row>
    <row r="538" spans="3:6" x14ac:dyDescent="0.2">
      <c r="C538" s="10" t="s">
        <v>12</v>
      </c>
      <c r="F538" s="16" t="s">
        <v>467</v>
      </c>
    </row>
    <row r="539" spans="3:6" x14ac:dyDescent="0.2">
      <c r="C539" s="10" t="s">
        <v>12</v>
      </c>
      <c r="F539" s="16" t="s">
        <v>468</v>
      </c>
    </row>
    <row r="540" spans="3:6" x14ac:dyDescent="0.2">
      <c r="C540" s="10" t="s">
        <v>12</v>
      </c>
      <c r="F540" s="16" t="s">
        <v>469</v>
      </c>
    </row>
    <row r="542" spans="3:6" x14ac:dyDescent="0.2">
      <c r="C542" s="10" t="s">
        <v>12</v>
      </c>
      <c r="F542" s="16" t="s">
        <v>8</v>
      </c>
    </row>
    <row r="543" spans="3:6" x14ac:dyDescent="0.2">
      <c r="C543" s="10" t="s">
        <v>12</v>
      </c>
      <c r="F543" s="16" t="s">
        <v>9</v>
      </c>
    </row>
    <row r="544" spans="3:6" x14ac:dyDescent="0.2">
      <c r="C544" s="10" t="s">
        <v>12</v>
      </c>
      <c r="F544" s="16" t="s">
        <v>96</v>
      </c>
    </row>
    <row r="545" spans="3:6" x14ac:dyDescent="0.2">
      <c r="C545" s="10" t="s">
        <v>12</v>
      </c>
      <c r="F545" s="16" t="s">
        <v>488</v>
      </c>
    </row>
    <row r="546" spans="3:6" x14ac:dyDescent="0.2">
      <c r="C546" s="10" t="s">
        <v>12</v>
      </c>
      <c r="F546" s="16" t="s">
        <v>489</v>
      </c>
    </row>
    <row r="547" spans="3:6" x14ac:dyDescent="0.2">
      <c r="C547" s="10" t="s">
        <v>12</v>
      </c>
      <c r="F547" s="16" t="s">
        <v>490</v>
      </c>
    </row>
    <row r="548" spans="3:6" x14ac:dyDescent="0.2">
      <c r="C548" s="10" t="s">
        <v>12</v>
      </c>
      <c r="F548" s="16" t="s">
        <v>491</v>
      </c>
    </row>
    <row r="549" spans="3:6" x14ac:dyDescent="0.2">
      <c r="C549" s="10" t="s">
        <v>12</v>
      </c>
      <c r="F549" s="16" t="s">
        <v>492</v>
      </c>
    </row>
    <row r="550" spans="3:6" x14ac:dyDescent="0.2">
      <c r="C550" s="10" t="s">
        <v>12</v>
      </c>
      <c r="F550" s="16" t="s">
        <v>493</v>
      </c>
    </row>
    <row r="551" spans="3:6" x14ac:dyDescent="0.2">
      <c r="C551" s="10" t="s">
        <v>12</v>
      </c>
      <c r="F551" s="16" t="s">
        <v>494</v>
      </c>
    </row>
    <row r="552" spans="3:6" x14ac:dyDescent="0.2">
      <c r="C552" s="10" t="s">
        <v>12</v>
      </c>
      <c r="F552" s="16" t="s">
        <v>495</v>
      </c>
    </row>
    <row r="553" spans="3:6" x14ac:dyDescent="0.2">
      <c r="C553" s="10" t="s">
        <v>12</v>
      </c>
      <c r="F553" s="16" t="s">
        <v>496</v>
      </c>
    </row>
    <row r="554" spans="3:6" x14ac:dyDescent="0.2">
      <c r="C554" s="10" t="s">
        <v>12</v>
      </c>
      <c r="F554" s="16" t="s">
        <v>497</v>
      </c>
    </row>
    <row r="555" spans="3:6" x14ac:dyDescent="0.2">
      <c r="C555" s="10" t="s">
        <v>12</v>
      </c>
      <c r="F555" s="16" t="s">
        <v>498</v>
      </c>
    </row>
    <row r="556" spans="3:6" x14ac:dyDescent="0.2">
      <c r="C556" s="10" t="s">
        <v>12</v>
      </c>
      <c r="F556" s="16" t="s">
        <v>499</v>
      </c>
    </row>
    <row r="557" spans="3:6" x14ac:dyDescent="0.2">
      <c r="C557" s="10" t="s">
        <v>12</v>
      </c>
      <c r="F557" s="16" t="s">
        <v>500</v>
      </c>
    </row>
    <row r="558" spans="3:6" x14ac:dyDescent="0.2">
      <c r="C558" s="10" t="s">
        <v>12</v>
      </c>
      <c r="F558" s="16" t="s">
        <v>501</v>
      </c>
    </row>
    <row r="559" spans="3:6" x14ac:dyDescent="0.2">
      <c r="C559" s="10" t="s">
        <v>12</v>
      </c>
      <c r="F559" s="16" t="s">
        <v>502</v>
      </c>
    </row>
    <row r="560" spans="3:6" x14ac:dyDescent="0.2">
      <c r="C560" s="10" t="s">
        <v>12</v>
      </c>
      <c r="F560" s="16" t="s">
        <v>503</v>
      </c>
    </row>
    <row r="561" spans="3:6" x14ac:dyDescent="0.2">
      <c r="C561" s="10" t="s">
        <v>12</v>
      </c>
      <c r="F561" s="16" t="s">
        <v>504</v>
      </c>
    </row>
    <row r="562" spans="3:6" x14ac:dyDescent="0.2">
      <c r="C562" s="10" t="s">
        <v>12</v>
      </c>
      <c r="F562" s="16" t="s">
        <v>505</v>
      </c>
    </row>
    <row r="563" spans="3:6" x14ac:dyDescent="0.2">
      <c r="C563" s="10" t="s">
        <v>12</v>
      </c>
      <c r="F563" s="16" t="s">
        <v>506</v>
      </c>
    </row>
    <row r="564" spans="3:6" x14ac:dyDescent="0.2">
      <c r="C564" s="10" t="s">
        <v>12</v>
      </c>
      <c r="F564" s="16" t="s">
        <v>507</v>
      </c>
    </row>
    <row r="565" spans="3:6" x14ac:dyDescent="0.2">
      <c r="C565" s="10" t="s">
        <v>12</v>
      </c>
      <c r="F565" s="16" t="s">
        <v>508</v>
      </c>
    </row>
    <row r="566" spans="3:6" x14ac:dyDescent="0.2">
      <c r="C566" s="10" t="s">
        <v>12</v>
      </c>
      <c r="F566" s="16" t="s">
        <v>509</v>
      </c>
    </row>
    <row r="567" spans="3:6" x14ac:dyDescent="0.2">
      <c r="C567" s="10" t="s">
        <v>12</v>
      </c>
      <c r="F567" s="16" t="s">
        <v>510</v>
      </c>
    </row>
    <row r="568" spans="3:6" x14ac:dyDescent="0.2">
      <c r="C568" s="10" t="s">
        <v>12</v>
      </c>
      <c r="F568" s="16" t="s">
        <v>511</v>
      </c>
    </row>
    <row r="569" spans="3:6" x14ac:dyDescent="0.2">
      <c r="C569" s="10" t="s">
        <v>12</v>
      </c>
      <c r="F569" s="16" t="s">
        <v>512</v>
      </c>
    </row>
    <row r="570" spans="3:6" x14ac:dyDescent="0.2">
      <c r="C570" s="10" t="s">
        <v>12</v>
      </c>
      <c r="F570" s="16" t="s">
        <v>513</v>
      </c>
    </row>
    <row r="571" spans="3:6" x14ac:dyDescent="0.2">
      <c r="C571" s="10" t="s">
        <v>12</v>
      </c>
      <c r="F571" s="16" t="s">
        <v>514</v>
      </c>
    </row>
    <row r="572" spans="3:6" x14ac:dyDescent="0.2">
      <c r="C572" s="10" t="s">
        <v>12</v>
      </c>
      <c r="F572" s="16" t="s">
        <v>515</v>
      </c>
    </row>
    <row r="573" spans="3:6" x14ac:dyDescent="0.2">
      <c r="C573" s="10" t="s">
        <v>12</v>
      </c>
      <c r="F573" s="16" t="s">
        <v>516</v>
      </c>
    </row>
    <row r="574" spans="3:6" x14ac:dyDescent="0.2">
      <c r="C574" s="10" t="s">
        <v>12</v>
      </c>
      <c r="F574" s="16" t="s">
        <v>517</v>
      </c>
    </row>
    <row r="575" spans="3:6" x14ac:dyDescent="0.2">
      <c r="F575" s="16"/>
    </row>
    <row r="576" spans="3:6" x14ac:dyDescent="0.2">
      <c r="C576" s="10" t="s">
        <v>12</v>
      </c>
      <c r="F576" s="16" t="s">
        <v>8</v>
      </c>
    </row>
    <row r="577" spans="3:6" x14ac:dyDescent="0.2">
      <c r="C577" s="10" t="s">
        <v>12</v>
      </c>
      <c r="F577" s="16" t="s">
        <v>9</v>
      </c>
    </row>
    <row r="578" spans="3:6" x14ac:dyDescent="0.2">
      <c r="C578" s="10" t="s">
        <v>12</v>
      </c>
      <c r="F578" s="16" t="s">
        <v>96</v>
      </c>
    </row>
    <row r="579" spans="3:6" x14ac:dyDescent="0.2">
      <c r="C579" s="10" t="s">
        <v>12</v>
      </c>
      <c r="F579" s="16" t="s">
        <v>518</v>
      </c>
    </row>
    <row r="580" spans="3:6" x14ac:dyDescent="0.2">
      <c r="C580" s="10" t="s">
        <v>12</v>
      </c>
      <c r="F580" s="16" t="s">
        <v>519</v>
      </c>
    </row>
    <row r="581" spans="3:6" x14ac:dyDescent="0.2">
      <c r="C581" s="10" t="s">
        <v>12</v>
      </c>
      <c r="F581" s="16" t="s">
        <v>520</v>
      </c>
    </row>
    <row r="582" spans="3:6" x14ac:dyDescent="0.2">
      <c r="C582" s="10" t="s">
        <v>12</v>
      </c>
      <c r="F582" s="16" t="s">
        <v>521</v>
      </c>
    </row>
    <row r="583" spans="3:6" x14ac:dyDescent="0.2">
      <c r="C583" s="10" t="s">
        <v>12</v>
      </c>
      <c r="F583" s="16" t="s">
        <v>522</v>
      </c>
    </row>
    <row r="584" spans="3:6" x14ac:dyDescent="0.2">
      <c r="C584" s="10" t="s">
        <v>12</v>
      </c>
      <c r="F584" s="16" t="s">
        <v>523</v>
      </c>
    </row>
    <row r="585" spans="3:6" x14ac:dyDescent="0.2">
      <c r="C585" s="10" t="s">
        <v>12</v>
      </c>
      <c r="F585" s="16" t="s">
        <v>524</v>
      </c>
    </row>
    <row r="586" spans="3:6" x14ac:dyDescent="0.2">
      <c r="C586" s="10" t="s">
        <v>12</v>
      </c>
      <c r="F586" s="16" t="s">
        <v>525</v>
      </c>
    </row>
    <row r="587" spans="3:6" x14ac:dyDescent="0.2">
      <c r="C587" s="10" t="s">
        <v>12</v>
      </c>
      <c r="F587" s="16" t="s">
        <v>526</v>
      </c>
    </row>
    <row r="588" spans="3:6" x14ac:dyDescent="0.2">
      <c r="C588" s="10" t="s">
        <v>12</v>
      </c>
      <c r="F588" s="16" t="s">
        <v>527</v>
      </c>
    </row>
    <row r="589" spans="3:6" x14ac:dyDescent="0.2">
      <c r="C589" s="10" t="s">
        <v>12</v>
      </c>
      <c r="F589" s="16" t="s">
        <v>528</v>
      </c>
    </row>
    <row r="590" spans="3:6" x14ac:dyDescent="0.2">
      <c r="C590" s="10" t="s">
        <v>12</v>
      </c>
      <c r="F590" s="16" t="s">
        <v>529</v>
      </c>
    </row>
    <row r="591" spans="3:6" x14ac:dyDescent="0.2">
      <c r="C591" s="10" t="s">
        <v>12</v>
      </c>
      <c r="F591" s="16" t="s">
        <v>530</v>
      </c>
    </row>
    <row r="592" spans="3:6" x14ac:dyDescent="0.2">
      <c r="C592" s="10" t="s">
        <v>12</v>
      </c>
      <c r="F592" s="16" t="s">
        <v>531</v>
      </c>
    </row>
    <row r="593" spans="3:6" x14ac:dyDescent="0.2">
      <c r="C593" s="10" t="s">
        <v>12</v>
      </c>
      <c r="F593" s="16" t="s">
        <v>532</v>
      </c>
    </row>
    <row r="594" spans="3:6" x14ac:dyDescent="0.2">
      <c r="C594" s="10" t="s">
        <v>12</v>
      </c>
      <c r="F594" s="16" t="s">
        <v>533</v>
      </c>
    </row>
    <row r="595" spans="3:6" x14ac:dyDescent="0.2">
      <c r="C595" s="10" t="s">
        <v>12</v>
      </c>
      <c r="F595" s="16" t="s">
        <v>534</v>
      </c>
    </row>
    <row r="596" spans="3:6" x14ac:dyDescent="0.2">
      <c r="C596" s="10" t="s">
        <v>12</v>
      </c>
      <c r="F596" s="16" t="s">
        <v>535</v>
      </c>
    </row>
    <row r="597" spans="3:6" x14ac:dyDescent="0.2">
      <c r="C597" s="10" t="s">
        <v>12</v>
      </c>
      <c r="F597" s="16" t="s">
        <v>536</v>
      </c>
    </row>
    <row r="598" spans="3:6" x14ac:dyDescent="0.2">
      <c r="C598" s="10" t="s">
        <v>12</v>
      </c>
      <c r="F598" s="16" t="s">
        <v>537</v>
      </c>
    </row>
    <row r="599" spans="3:6" x14ac:dyDescent="0.2">
      <c r="C599" s="10" t="s">
        <v>12</v>
      </c>
      <c r="F599" s="16" t="s">
        <v>538</v>
      </c>
    </row>
    <row r="600" spans="3:6" x14ac:dyDescent="0.2">
      <c r="C600" s="10" t="s">
        <v>12</v>
      </c>
      <c r="F600" s="16" t="s">
        <v>539</v>
      </c>
    </row>
    <row r="601" spans="3:6" x14ac:dyDescent="0.2">
      <c r="C601" s="10" t="s">
        <v>12</v>
      </c>
      <c r="F601" s="16" t="s">
        <v>540</v>
      </c>
    </row>
    <row r="602" spans="3:6" x14ac:dyDescent="0.2">
      <c r="C602" s="10" t="s">
        <v>12</v>
      </c>
      <c r="F602" s="16" t="s">
        <v>541</v>
      </c>
    </row>
    <row r="603" spans="3:6" x14ac:dyDescent="0.2">
      <c r="C603" s="10" t="s">
        <v>12</v>
      </c>
      <c r="F603" s="16" t="s">
        <v>542</v>
      </c>
    </row>
    <row r="604" spans="3:6" x14ac:dyDescent="0.2">
      <c r="C604" s="10" t="s">
        <v>12</v>
      </c>
      <c r="F604" s="16" t="s">
        <v>543</v>
      </c>
    </row>
    <row r="605" spans="3:6" x14ac:dyDescent="0.2">
      <c r="C605" s="10" t="s">
        <v>12</v>
      </c>
      <c r="F605" s="16" t="s">
        <v>544</v>
      </c>
    </row>
    <row r="606" spans="3:6" x14ac:dyDescent="0.2">
      <c r="C606" s="10" t="s">
        <v>12</v>
      </c>
      <c r="F606" s="16" t="s">
        <v>545</v>
      </c>
    </row>
    <row r="607" spans="3:6" x14ac:dyDescent="0.2">
      <c r="C607" s="10" t="s">
        <v>12</v>
      </c>
      <c r="F607" s="16" t="s">
        <v>546</v>
      </c>
    </row>
    <row r="608" spans="3:6" x14ac:dyDescent="0.2">
      <c r="C608" s="10" t="s">
        <v>12</v>
      </c>
      <c r="F608" s="16" t="s">
        <v>547</v>
      </c>
    </row>
    <row r="610" spans="3:6" x14ac:dyDescent="0.2">
      <c r="C610" s="10" t="s">
        <v>12</v>
      </c>
      <c r="F610" s="16" t="s">
        <v>8</v>
      </c>
    </row>
    <row r="611" spans="3:6" x14ac:dyDescent="0.2">
      <c r="C611" s="10" t="s">
        <v>12</v>
      </c>
      <c r="F611" s="16" t="s">
        <v>9</v>
      </c>
    </row>
    <row r="612" spans="3:6" x14ac:dyDescent="0.2">
      <c r="C612" s="10" t="s">
        <v>12</v>
      </c>
      <c r="F612" s="16" t="s">
        <v>96</v>
      </c>
    </row>
    <row r="613" spans="3:6" x14ac:dyDescent="0.2">
      <c r="C613" s="10" t="s">
        <v>12</v>
      </c>
      <c r="F613" s="16" t="s">
        <v>548</v>
      </c>
    </row>
    <row r="614" spans="3:6" x14ac:dyDescent="0.2">
      <c r="C614" s="10" t="s">
        <v>12</v>
      </c>
      <c r="F614" s="16" t="s">
        <v>549</v>
      </c>
    </row>
    <row r="615" spans="3:6" x14ac:dyDescent="0.2">
      <c r="C615" s="10" t="s">
        <v>12</v>
      </c>
      <c r="F615" s="16" t="s">
        <v>550</v>
      </c>
    </row>
    <row r="616" spans="3:6" x14ac:dyDescent="0.2">
      <c r="C616" s="10" t="s">
        <v>12</v>
      </c>
      <c r="F616" s="16" t="s">
        <v>551</v>
      </c>
    </row>
    <row r="617" spans="3:6" x14ac:dyDescent="0.2">
      <c r="C617" s="10" t="s">
        <v>12</v>
      </c>
      <c r="F617" s="16" t="s">
        <v>552</v>
      </c>
    </row>
    <row r="618" spans="3:6" x14ac:dyDescent="0.2">
      <c r="C618" s="10" t="s">
        <v>12</v>
      </c>
      <c r="F618" s="16" t="s">
        <v>553</v>
      </c>
    </row>
    <row r="619" spans="3:6" x14ac:dyDescent="0.2">
      <c r="C619" s="10" t="s">
        <v>12</v>
      </c>
      <c r="F619" s="16" t="s">
        <v>554</v>
      </c>
    </row>
    <row r="620" spans="3:6" x14ac:dyDescent="0.2">
      <c r="C620" s="10" t="s">
        <v>12</v>
      </c>
      <c r="F620" s="16" t="s">
        <v>555</v>
      </c>
    </row>
    <row r="621" spans="3:6" x14ac:dyDescent="0.2">
      <c r="C621" s="10" t="s">
        <v>12</v>
      </c>
      <c r="F621" s="16" t="s">
        <v>556</v>
      </c>
    </row>
    <row r="622" spans="3:6" x14ac:dyDescent="0.2">
      <c r="C622" s="10" t="s">
        <v>12</v>
      </c>
      <c r="F622" s="16" t="s">
        <v>557</v>
      </c>
    </row>
    <row r="623" spans="3:6" x14ac:dyDescent="0.2">
      <c r="C623" s="10" t="s">
        <v>12</v>
      </c>
      <c r="F623" s="16" t="s">
        <v>558</v>
      </c>
    </row>
    <row r="624" spans="3:6" x14ac:dyDescent="0.2">
      <c r="C624" s="10" t="s">
        <v>12</v>
      </c>
      <c r="F624" s="16" t="s">
        <v>559</v>
      </c>
    </row>
    <row r="625" spans="3:6" x14ac:dyDescent="0.2">
      <c r="C625" s="10" t="s">
        <v>12</v>
      </c>
      <c r="F625" s="16" t="s">
        <v>560</v>
      </c>
    </row>
    <row r="626" spans="3:6" x14ac:dyDescent="0.2">
      <c r="C626" s="10" t="s">
        <v>12</v>
      </c>
      <c r="F626" s="16" t="s">
        <v>561</v>
      </c>
    </row>
    <row r="627" spans="3:6" x14ac:dyDescent="0.2">
      <c r="C627" s="10" t="s">
        <v>12</v>
      </c>
      <c r="F627" s="16" t="s">
        <v>562</v>
      </c>
    </row>
    <row r="628" spans="3:6" x14ac:dyDescent="0.2">
      <c r="C628" s="10" t="s">
        <v>12</v>
      </c>
      <c r="F628" s="16" t="s">
        <v>563</v>
      </c>
    </row>
    <row r="629" spans="3:6" x14ac:dyDescent="0.2">
      <c r="C629" s="10" t="s">
        <v>12</v>
      </c>
      <c r="F629" s="16" t="s">
        <v>564</v>
      </c>
    </row>
    <row r="630" spans="3:6" x14ac:dyDescent="0.2">
      <c r="C630" s="10" t="s">
        <v>12</v>
      </c>
      <c r="F630" s="16" t="s">
        <v>565</v>
      </c>
    </row>
    <row r="631" spans="3:6" x14ac:dyDescent="0.2">
      <c r="C631" s="10" t="s">
        <v>12</v>
      </c>
      <c r="F631" s="16" t="s">
        <v>566</v>
      </c>
    </row>
    <row r="632" spans="3:6" x14ac:dyDescent="0.2">
      <c r="C632" s="10" t="s">
        <v>12</v>
      </c>
      <c r="F632" s="16" t="s">
        <v>567</v>
      </c>
    </row>
    <row r="633" spans="3:6" x14ac:dyDescent="0.2">
      <c r="C633" s="10" t="s">
        <v>12</v>
      </c>
      <c r="F633" s="16" t="s">
        <v>568</v>
      </c>
    </row>
    <row r="634" spans="3:6" x14ac:dyDescent="0.2">
      <c r="C634" s="10" t="s">
        <v>12</v>
      </c>
      <c r="F634" s="16" t="s">
        <v>569</v>
      </c>
    </row>
    <row r="635" spans="3:6" x14ac:dyDescent="0.2">
      <c r="C635" s="10" t="s">
        <v>12</v>
      </c>
      <c r="F635" s="16" t="s">
        <v>570</v>
      </c>
    </row>
    <row r="636" spans="3:6" x14ac:dyDescent="0.2">
      <c r="C636" s="10" t="s">
        <v>12</v>
      </c>
      <c r="F636" s="16" t="s">
        <v>571</v>
      </c>
    </row>
    <row r="637" spans="3:6" x14ac:dyDescent="0.2">
      <c r="C637" s="10" t="s">
        <v>12</v>
      </c>
      <c r="F637" s="16" t="s">
        <v>572</v>
      </c>
    </row>
    <row r="638" spans="3:6" x14ac:dyDescent="0.2">
      <c r="C638" s="10" t="s">
        <v>12</v>
      </c>
      <c r="F638" s="16" t="s">
        <v>573</v>
      </c>
    </row>
    <row r="639" spans="3:6" x14ac:dyDescent="0.2">
      <c r="C639" s="10" t="s">
        <v>12</v>
      </c>
      <c r="F639" s="16" t="s">
        <v>574</v>
      </c>
    </row>
    <row r="640" spans="3:6" x14ac:dyDescent="0.2">
      <c r="C640" s="10" t="s">
        <v>12</v>
      </c>
      <c r="F640" s="16" t="s">
        <v>575</v>
      </c>
    </row>
    <row r="641" spans="3:6" x14ac:dyDescent="0.2">
      <c r="C641" s="10" t="s">
        <v>12</v>
      </c>
      <c r="F641" s="16" t="s">
        <v>576</v>
      </c>
    </row>
    <row r="642" spans="3:6" x14ac:dyDescent="0.2">
      <c r="C642" s="10" t="s">
        <v>12</v>
      </c>
      <c r="F642" s="16" t="s">
        <v>577</v>
      </c>
    </row>
  </sheetData>
  <autoFilter ref="A1:L1" xr:uid="{00000000-0001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2023-06-13T17:37:16Z</dcterms:modified>
</cp:coreProperties>
</file>