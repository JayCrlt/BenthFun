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3523E394-14DB-F04A-925D-73E1DAF31A63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definedNames>
    <definedName name="_xlnm._FilterDatabase" localSheetId="0" hidden="1">Sheet1!$A$1:$L$554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75" i="1" l="1"/>
  <c r="J575" i="1" s="1"/>
  <c r="K575" i="1" s="1"/>
  <c r="H575" i="1"/>
  <c r="G571" i="1"/>
  <c r="H571" i="1"/>
  <c r="H584" i="1"/>
  <c r="G584" i="1"/>
  <c r="H582" i="1"/>
  <c r="G582" i="1"/>
  <c r="H580" i="1"/>
  <c r="G580" i="1"/>
  <c r="H578" i="1"/>
  <c r="G578" i="1"/>
  <c r="G562" i="1"/>
  <c r="G565" i="1"/>
  <c r="G568" i="1"/>
  <c r="H568" i="1"/>
  <c r="H565" i="1"/>
  <c r="H562" i="1"/>
  <c r="G548" i="1"/>
  <c r="H548" i="1"/>
  <c r="H560" i="1"/>
  <c r="G560" i="1"/>
  <c r="H558" i="1"/>
  <c r="G558" i="1"/>
  <c r="G555" i="1"/>
  <c r="J555" i="1" s="1"/>
  <c r="H555" i="1"/>
  <c r="H553" i="1"/>
  <c r="G553" i="1"/>
  <c r="H551" i="1"/>
  <c r="G551" i="1"/>
  <c r="G546" i="1"/>
  <c r="H546" i="1"/>
  <c r="G544" i="1"/>
  <c r="G539" i="1"/>
  <c r="H539" i="1"/>
  <c r="G542" i="1"/>
  <c r="H542" i="1"/>
  <c r="H532" i="1"/>
  <c r="G532" i="1"/>
  <c r="H544" i="1"/>
  <c r="H537" i="1"/>
  <c r="G537" i="1"/>
  <c r="H535" i="1"/>
  <c r="G535" i="1"/>
  <c r="G529" i="1"/>
  <c r="H529" i="1"/>
  <c r="G527" i="1"/>
  <c r="H527" i="1"/>
  <c r="H522" i="1"/>
  <c r="G522" i="1"/>
  <c r="G525" i="1"/>
  <c r="H525" i="1"/>
  <c r="G519" i="1"/>
  <c r="H519" i="1"/>
  <c r="G514" i="1"/>
  <c r="H514" i="1"/>
  <c r="H503" i="1"/>
  <c r="G503" i="1"/>
  <c r="H512" i="1"/>
  <c r="G512" i="1"/>
  <c r="G505" i="1"/>
  <c r="H505" i="1"/>
  <c r="H510" i="1"/>
  <c r="G510" i="1"/>
  <c r="H508" i="1"/>
  <c r="G508" i="1"/>
  <c r="G496" i="1"/>
  <c r="H496" i="1"/>
  <c r="H499" i="1"/>
  <c r="H501" i="1"/>
  <c r="G501" i="1"/>
  <c r="G499" i="1"/>
  <c r="H493" i="1"/>
  <c r="G493" i="1"/>
  <c r="H486" i="1"/>
  <c r="G486" i="1"/>
  <c r="H490" i="1"/>
  <c r="G490" i="1"/>
  <c r="J490" i="1" s="1"/>
  <c r="K508" i="1" s="1"/>
  <c r="K584" i="1" l="1"/>
  <c r="K582" i="1"/>
  <c r="K580" i="1"/>
  <c r="K578" i="1"/>
  <c r="K571" i="1"/>
  <c r="K560" i="1"/>
  <c r="K565" i="1"/>
  <c r="K558" i="1"/>
  <c r="K562" i="1"/>
  <c r="K568" i="1"/>
  <c r="K548" i="1"/>
  <c r="K553" i="1"/>
  <c r="K555" i="1"/>
  <c r="K551" i="1"/>
  <c r="J529" i="1"/>
  <c r="K529" i="1" s="1"/>
  <c r="K501" i="1"/>
  <c r="K496" i="1"/>
  <c r="K505" i="1"/>
  <c r="K499" i="1"/>
  <c r="K512" i="1"/>
  <c r="K510" i="1"/>
  <c r="K493" i="1"/>
  <c r="J503" i="1"/>
  <c r="K519" i="1" s="1"/>
  <c r="K490" i="1"/>
  <c r="H484" i="1"/>
  <c r="G484" i="1"/>
  <c r="H472" i="1"/>
  <c r="G472" i="1"/>
  <c r="J472" i="1" s="1"/>
  <c r="K486" i="1" s="1"/>
  <c r="H479" i="1"/>
  <c r="G479" i="1"/>
  <c r="H482" i="1"/>
  <c r="G482" i="1"/>
  <c r="H477" i="1"/>
  <c r="H475" i="1"/>
  <c r="G475" i="1"/>
  <c r="G477" i="1"/>
  <c r="G452" i="1"/>
  <c r="H452" i="1"/>
  <c r="H460" i="1"/>
  <c r="G469" i="1"/>
  <c r="H469" i="1"/>
  <c r="G466" i="1"/>
  <c r="H466" i="1"/>
  <c r="H463" i="1"/>
  <c r="G463" i="1"/>
  <c r="G460" i="1"/>
  <c r="H457" i="1"/>
  <c r="G457" i="1"/>
  <c r="H454" i="1"/>
  <c r="G454" i="1"/>
  <c r="K544" i="1" l="1"/>
  <c r="K546" i="1"/>
  <c r="K539" i="1"/>
  <c r="K542" i="1"/>
  <c r="K535" i="1"/>
  <c r="K537" i="1"/>
  <c r="K532" i="1"/>
  <c r="K484" i="1"/>
  <c r="K522" i="1"/>
  <c r="K527" i="1"/>
  <c r="K514" i="1"/>
  <c r="K525" i="1"/>
  <c r="K503" i="1"/>
  <c r="K475" i="1"/>
  <c r="K457" i="1"/>
  <c r="K479" i="1"/>
  <c r="K469" i="1"/>
  <c r="K477" i="1"/>
  <c r="K482" i="1"/>
  <c r="K460" i="1"/>
  <c r="K466" i="1"/>
  <c r="K454" i="1"/>
  <c r="K463" i="1"/>
  <c r="K472" i="1"/>
  <c r="G447" i="1"/>
  <c r="H447" i="1"/>
  <c r="H450" i="1"/>
  <c r="G450" i="1"/>
  <c r="H444" i="1"/>
  <c r="G444" i="1"/>
  <c r="H441" i="1"/>
  <c r="G441" i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41" i="1" l="1"/>
  <c r="K441" i="1" s="1"/>
  <c r="J416" i="1"/>
  <c r="K452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0" i="1"/>
  <c r="K444" i="1"/>
  <c r="K447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61" i="1" l="1"/>
  <c r="K57" i="1"/>
  <c r="K67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K33" i="1" s="1"/>
  <c r="H2" i="1"/>
  <c r="K7" i="1" l="1"/>
  <c r="K28" i="1"/>
  <c r="K35" i="1"/>
  <c r="K15" i="1"/>
  <c r="K25" i="1"/>
  <c r="K20" i="1"/>
  <c r="K23" i="1"/>
  <c r="K13" i="1"/>
  <c r="K10" i="1"/>
  <c r="K17" i="1"/>
  <c r="K2" i="1"/>
  <c r="K4" i="1"/>
</calcChain>
</file>

<file path=xl/sharedStrings.xml><?xml version="1.0" encoding="utf-8"?>
<sst xmlns="http://schemas.openxmlformats.org/spreadsheetml/2006/main" count="1923" uniqueCount="558">
  <si>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</si>
  <si>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</si>
  <si>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</si>
  <si>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</si>
  <si>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</si>
  <si>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</si>
  <si>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</si>
  <si>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</si>
  <si>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</si>
  <si>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</si>
  <si>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</si>
  <si>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</si>
  <si>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</si>
  <si>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</si>
  <si>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</si>
  <si>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</si>
  <si>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</si>
  <si>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</si>
  <si>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</si>
  <si>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</si>
  <si>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</si>
  <si>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</si>
  <si>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</si>
  <si>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</si>
  <si>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</si>
  <si>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</si>
  <si>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</si>
  <si>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</si>
  <si>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</si>
  <si>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</si>
  <si>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</si>
  <si>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</si>
  <si>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</si>
  <si>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</si>
  <si>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</si>
  <si>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</si>
  <si>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</si>
  <si>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</si>
  <si>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</si>
  <si>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</si>
  <si>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</si>
  <si>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</si>
  <si>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</si>
  <si>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</si>
  <si>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</si>
  <si>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</si>
  <si>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</si>
  <si>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</si>
  <si>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</si>
  <si>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</si>
  <si>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</si>
  <si>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</si>
  <si>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</si>
  <si>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</si>
  <si>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</si>
  <si>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</si>
  <si>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</si>
  <si>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</si>
  <si>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</si>
  <si>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</si>
  <si>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</si>
  <si>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</si>
  <si>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</si>
  <si>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</si>
  <si>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</si>
  <si>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</si>
  <si>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</si>
  <si>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</si>
  <si>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</si>
  <si>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</si>
  <si>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</si>
  <si>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</si>
  <si>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</si>
  <si>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</si>
  <si>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</si>
  <si>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</si>
  <si>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</si>
  <si>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</si>
  <si>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</si>
  <si>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</si>
  <si>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</si>
  <si>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</si>
  <si>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</si>
  <si>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</si>
  <si>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</si>
  <si>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</si>
  <si>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</si>
  <si>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</si>
  <si>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</si>
  <si>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</si>
  <si>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</si>
  <si>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</si>
  <si>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</si>
  <si>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</si>
  <si>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</si>
  <si>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</si>
  <si>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</si>
  <si>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</si>
  <si>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</si>
  <si>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</si>
  <si>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</si>
  <si>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</si>
  <si>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</si>
  <si>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</si>
  <si>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</si>
  <si>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</si>
  <si>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</si>
  <si>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</si>
  <si>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</si>
  <si>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</si>
  <si>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</si>
  <si>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</si>
  <si>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</si>
  <si>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</si>
  <si>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</si>
  <si>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</si>
  <si>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</si>
  <si>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</si>
  <si>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</si>
  <si>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</si>
  <si>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</si>
  <si>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</si>
  <si>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</si>
  <si>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</si>
  <si>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</si>
  <si>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</si>
  <si>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</si>
  <si>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</si>
  <si>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</si>
  <si>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</si>
  <si>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</si>
  <si>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</si>
  <si>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</si>
  <si>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</si>
  <si>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</si>
  <si>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</si>
  <si>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</si>
  <si>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</si>
  <si>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</si>
  <si>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</si>
  <si>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</si>
  <si>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</si>
  <si>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</si>
  <si>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</si>
  <si>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</si>
  <si>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</si>
  <si>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</si>
  <si>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</si>
  <si>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</si>
  <si>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</si>
  <si>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</si>
  <si>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</si>
  <si>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</si>
  <si>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</si>
  <si>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</si>
  <si>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</si>
  <si>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</si>
  <si>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</si>
  <si>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</si>
  <si>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</si>
  <si>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</si>
  <si>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</si>
  <si>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</si>
  <si>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</si>
  <si>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</si>
  <si>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</si>
  <si>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</si>
  <si>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</si>
  <si>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</si>
  <si>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</si>
  <si>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</si>
  <si>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</si>
  <si>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</si>
  <si>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</si>
  <si>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</si>
  <si>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</si>
  <si>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</si>
  <si>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</si>
  <si>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</si>
  <si>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</si>
  <si>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</si>
  <si>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</si>
  <si>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</si>
  <si>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</si>
  <si>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</si>
  <si>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</si>
  <si>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</si>
  <si>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</si>
  <si>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</si>
  <si>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</si>
  <si>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</si>
  <si>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</si>
  <si>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</si>
  <si>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</si>
  <si>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</si>
  <si>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</si>
  <si>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</si>
  <si>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</si>
  <si>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</si>
  <si>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</si>
  <si>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</si>
  <si>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</si>
  <si>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</si>
  <si>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</si>
  <si>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</si>
  <si>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</si>
  <si>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</si>
  <si>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</si>
  <si>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</si>
  <si>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</si>
  <si>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</si>
  <si>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</si>
  <si>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</si>
  <si>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</si>
  <si>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</si>
  <si>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</si>
  <si>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</si>
  <si>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</si>
  <si>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</si>
  <si>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</si>
  <si>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</si>
  <si>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</si>
  <si>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</si>
  <si>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</si>
  <si>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</si>
  <si>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</si>
  <si>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</si>
  <si>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</si>
  <si>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</si>
  <si>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</si>
  <si>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</si>
  <si>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</si>
  <si>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</si>
  <si>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</si>
  <si>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</si>
  <si>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</si>
  <si>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</si>
  <si>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</si>
  <si>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</si>
  <si>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</si>
  <si>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</si>
  <si>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</si>
  <si>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</si>
  <si>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</si>
  <si>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</si>
  <si>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</si>
  <si>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</si>
  <si>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</si>
  <si>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</si>
  <si>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</si>
  <si>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</si>
  <si>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</si>
  <si>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</si>
  <si>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</si>
  <si>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</si>
  <si>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</si>
  <si>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</si>
  <si>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</si>
  <si>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</si>
  <si>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</si>
  <si>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</si>
  <si>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</si>
  <si>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</si>
  <si>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</si>
  <si>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</si>
  <si>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</si>
  <si>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</si>
  <si>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</si>
  <si>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</si>
  <si>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</si>
  <si>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</si>
  <si>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</si>
  <si>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</si>
  <si>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</si>
  <si>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</si>
  <si>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</si>
  <si>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</si>
  <si>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</si>
  <si>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</si>
  <si>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</si>
  <si>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</si>
  <si>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</si>
  <si>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</si>
  <si>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</si>
  <si>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</si>
  <si>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</si>
  <si>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</si>
  <si>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</si>
  <si>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</si>
  <si>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</si>
  <si>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</si>
  <si>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</si>
  <si>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</si>
  <si>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</si>
  <si>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</si>
  <si>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</si>
  <si>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</si>
  <si>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</si>
  <si>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</si>
  <si>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</si>
  <si>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</si>
  <si>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</si>
  <si>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</si>
  <si>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</si>
  <si>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</si>
  <si>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</si>
  <si>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</si>
  <si>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</si>
  <si>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</si>
  <si>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</si>
  <si>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</si>
  <si>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</si>
  <si>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</si>
  <si>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</si>
  <si>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</si>
  <si>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</si>
  <si>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</si>
  <si>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</si>
  <si>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</si>
  <si>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</si>
  <si>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</si>
  <si>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</si>
  <si>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</si>
  <si>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</si>
  <si>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</si>
  <si>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</si>
  <si>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</si>
  <si>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</si>
  <si>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</si>
  <si>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</si>
  <si>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</si>
  <si>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</si>
  <si>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</si>
  <si>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</si>
  <si>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</si>
  <si>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</si>
  <si>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</si>
  <si>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</si>
  <si>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</si>
  <si>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</si>
  <si>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</si>
  <si>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</si>
  <si>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</si>
  <si>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</si>
  <si>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</si>
  <si>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</si>
  <si>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</si>
  <si>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</si>
  <si>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</si>
  <si>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</si>
  <si>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</si>
  <si>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</si>
  <si>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</si>
  <si>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</si>
  <si>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</si>
  <si>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</si>
  <si>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</si>
  <si>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</si>
  <si>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</si>
  <si>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</si>
  <si>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</si>
  <si>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</si>
  <si>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</si>
  <si>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</si>
  <si>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</si>
  <si>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</si>
  <si>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</si>
  <si>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</si>
  <si>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</si>
  <si>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</si>
  <si>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</si>
  <si>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</si>
  <si>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</si>
  <si>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</si>
  <si>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</si>
  <si>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</si>
  <si>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</si>
  <si>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</si>
  <si>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</si>
  <si>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</si>
  <si>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</si>
  <si>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</si>
  <si>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</si>
  <si>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</si>
  <si>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</si>
  <si>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</si>
  <si>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</si>
  <si>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</si>
  <si>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</si>
  <si>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</si>
  <si>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</si>
  <si>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</si>
  <si>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</si>
  <si>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</si>
  <si>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</si>
  <si>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</si>
  <si>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</si>
  <si>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</si>
  <si>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</si>
  <si>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</si>
  <si>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</si>
  <si>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</si>
  <si>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</si>
  <si>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</si>
  <si>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</si>
  <si>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</si>
  <si>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</si>
  <si>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</si>
  <si>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</si>
  <si>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</si>
  <si>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</si>
  <si>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</si>
  <si>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</si>
  <si>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</si>
  <si>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</si>
  <si>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</si>
  <si>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</si>
  <si>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</si>
  <si>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</si>
  <si>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</si>
  <si>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</si>
  <si>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</si>
  <si>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</si>
  <si>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</si>
  <si>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</si>
  <si>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</si>
  <si>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</si>
  <si>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Tn_t1_LOW_tile_03a</t>
  </si>
  <si>
    <t>Tn_t1_LOW_tile_03b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</si>
  <si>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</si>
  <si>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</si>
  <si>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</si>
  <si>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</si>
  <si>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</si>
  <si>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</si>
  <si>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</si>
  <si>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</si>
  <si>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</si>
  <si>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</si>
  <si>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</si>
  <si>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Tn_t1_LOW_blank_02a</t>
  </si>
  <si>
    <t>Tn_t1_LOW_blank_02b</t>
  </si>
  <si>
    <t>Tn_t1_AMB_tile_01a</t>
  </si>
  <si>
    <t>Tn_t1_AMB_tile_01b</t>
  </si>
  <si>
    <t>Tn_t1_AMB_tile_02a</t>
  </si>
  <si>
    <t>Tn_t1_AMB_tile_02b</t>
  </si>
  <si>
    <t>Tn_t1_AMB_tile_03a</t>
  </si>
  <si>
    <t>Tn_t1_AMB_tile_03b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</si>
  <si>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</si>
  <si>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</si>
  <si>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</si>
  <si>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</si>
  <si>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</si>
  <si>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</si>
  <si>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</si>
  <si>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</si>
  <si>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</si>
  <si>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</si>
  <si>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</si>
  <si>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Tn_t1_AMB_blank_02a</t>
  </si>
  <si>
    <t>Tn_t1_AMB_blank_02b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</si>
  <si>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</si>
  <si>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</si>
  <si>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</si>
  <si>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</si>
  <si>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</si>
  <si>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</si>
  <si>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</si>
  <si>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</si>
  <si>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Tn_t0_LOW_blank_02a</t>
  </si>
  <si>
    <t>Tn_t0_LOW_blank_02b</t>
  </si>
  <si>
    <t>Tn_t0_AMB_blank_01a</t>
  </si>
  <si>
    <t>Tn_t0_AMB_blank_01b</t>
  </si>
  <si>
    <t>Tn_t0_AMB_blank_01c</t>
  </si>
  <si>
    <t>Tn_t0_AMB_blank_02a</t>
  </si>
  <si>
    <t>Tn_t0_AMB_blank_02b</t>
  </si>
  <si>
    <t>T2_t0_ELOW_blank_01a</t>
  </si>
  <si>
    <t>T2_t0_ELOW_blank_01b</t>
  </si>
  <si>
    <t>T2_t0_ELOW_blank_01c</t>
  </si>
  <si>
    <t>T2_t0_ELOW_blank_02a</t>
  </si>
  <si>
    <t>T2_t0_ELOW_blank_02b</t>
  </si>
  <si>
    <t>T2_t1_ELOW_tile_01a</t>
  </si>
  <si>
    <t>T2_t1_ELOW_tile_01b</t>
  </si>
  <si>
    <t>T2_t1_ELOW_tile_02a</t>
  </si>
  <si>
    <t>T2_t1_ELOW_tile_02b</t>
  </si>
  <si>
    <t>T2_t1_ELOW_tile_02c</t>
  </si>
  <si>
    <t>T2_t1_ELOW_tile_03a</t>
  </si>
  <si>
    <t>T2_t1_ELOW_tile_03b</t>
  </si>
  <si>
    <t>T2_t1_ELOW_blank_01a</t>
  </si>
  <si>
    <t>T2_t1_ELOW_blank_01b</t>
  </si>
  <si>
    <t>T2_t1_ELOW_tile_04a</t>
  </si>
  <si>
    <t>T2_t1_ELOW_tile_04b</t>
  </si>
  <si>
    <t>T2_t1_ELOW_tile_05a</t>
  </si>
  <si>
    <t>T2_t1_ELOW_tile_05b</t>
  </si>
  <si>
    <t>T2_t1_ELOW_tile_05c</t>
  </si>
  <si>
    <t>T2_t1_ELOW_tile_06a</t>
  </si>
  <si>
    <t>T2_t1_ELOW_tile_06b</t>
  </si>
  <si>
    <t>T2_t1_ELOW_blank_02a</t>
  </si>
  <si>
    <t>T2_t1_ELOW_blank_02b</t>
  </si>
  <si>
    <t>T2_t0_LOW_blank_01a</t>
  </si>
  <si>
    <t>T2_t0_LOW_blank_01b</t>
  </si>
  <si>
    <t>T2_t0_LOW_blank_02a</t>
  </si>
  <si>
    <t>T2_t0_LOW_blank_02b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</si>
  <si>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</si>
  <si>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</si>
  <si>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</si>
  <si>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</si>
  <si>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</si>
  <si>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</si>
  <si>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</si>
  <si>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</si>
  <si>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</si>
  <si>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</si>
  <si>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</si>
  <si>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T2_t1_LOW_blank_01c</t>
  </si>
  <si>
    <t>T2_t1_LOW_tile_04a</t>
  </si>
  <si>
    <t>T2_t1_LOW_tile_04b</t>
  </si>
  <si>
    <t>T2_t1_LOW_tile_05a</t>
  </si>
  <si>
    <t>T2_t1_LOW_tile_05b</t>
  </si>
  <si>
    <t>T2_t1_LOW_tile_06a</t>
  </si>
  <si>
    <t>T2_t1_LOW_tile_06b</t>
  </si>
  <si>
    <t>T2_t1_LOW_blank_02a</t>
  </si>
  <si>
    <t>T2_t1_LOW_blank_02b</t>
  </si>
  <si>
    <t>T2_t0_AMB_blank_01a</t>
  </si>
  <si>
    <t>T2_t0_AMB_blank_01b</t>
  </si>
  <si>
    <t>T2_t0_AMB_blank_01c</t>
  </si>
  <si>
    <t>T2_t0_AMB_blank_02a</t>
  </si>
  <si>
    <t>T2_t0_AMB_blank_02b</t>
  </si>
  <si>
    <t>T2_t0_AMB_blank_02c</t>
  </si>
  <si>
    <t>T2_t1_AMB_tile_01a</t>
  </si>
  <si>
    <t>T2_t1_AMB_tile_01b</t>
  </si>
  <si>
    <t>T2_t1_AMB_tile_01c</t>
  </si>
  <si>
    <t>T2_t1_AMB_tile_02a</t>
  </si>
  <si>
    <t>T2_t1_AMB_tile_02b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</si>
  <si>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</si>
  <si>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</si>
  <si>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</si>
  <si>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</si>
  <si>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</si>
  <si>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</si>
  <si>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T2_t1_AMB_blank_01c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</si>
  <si>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</si>
  <si>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</si>
  <si>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</si>
  <si>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</si>
  <si>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</si>
  <si>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</si>
  <si>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</si>
  <si>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</si>
  <si>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T2_t1_AMB_tile_06c</t>
  </si>
  <si>
    <t>T2_t1_AMB_blank_02a</t>
  </si>
  <si>
    <t>T2_t1_AMB_blank_02b</t>
  </si>
  <si>
    <t>T2_t1_AMB_blank_02c</t>
  </si>
  <si>
    <t>PI_t5_AMB_Tile_3d</t>
  </si>
  <si>
    <t>PI_t6_AMB_Tile_3d</t>
  </si>
  <si>
    <t>Ali e Anto</t>
  </si>
  <si>
    <t>Tn_t1_LOW_blank_01d</t>
  </si>
  <si>
    <t>T2_t1_LOW_blank_01d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</si>
</sst>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16"/>
  <sheetViews>
    <sheetView tabSelected="1" zoomScale="90" zoomScaleNormal="73" workbookViewId="0">
      <pane ySplit="1" topLeftCell="A552" activePane="bottomLeft" state="frozen"/>
      <selection pane="bottomLeft" activeCell="K584" sqref="K584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2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2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2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2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2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2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2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2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2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2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2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2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2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2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2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2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2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2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2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2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2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2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2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2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2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2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2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2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2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2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2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2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2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2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2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2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2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2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2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2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2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2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2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2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2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2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2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2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2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2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2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2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2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2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2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2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2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2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2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2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2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2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2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2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2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2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2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2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2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2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2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2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2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2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2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2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2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2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2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2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2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2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2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2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2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2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2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2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2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2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2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2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2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2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2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2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553</v>
      </c>
    </row>
    <row r="425" spans="1:11" x14ac:dyDescent="0.2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2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2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2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2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554</v>
      </c>
    </row>
    <row r="433" spans="1:12" x14ac:dyDescent="0.2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2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2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2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2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2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2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2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2">
      <c r="A441" s="9" t="s">
        <v>11</v>
      </c>
      <c r="B441" s="31">
        <v>45090</v>
      </c>
      <c r="C441" s="10" t="s">
        <v>12</v>
      </c>
      <c r="D441" s="5">
        <v>50.05</v>
      </c>
      <c r="E441" s="14">
        <v>2312.7800000000002</v>
      </c>
      <c r="F441" s="16" t="s">
        <v>8</v>
      </c>
      <c r="G441" s="13">
        <f>AVERAGE(E442,E443)</f>
        <v>2232.69</v>
      </c>
      <c r="H441" s="18">
        <f>STDEV(E442,E443)</f>
        <v>2.9698484809833712</v>
      </c>
      <c r="I441" s="3">
        <v>2226.44</v>
      </c>
      <c r="J441" s="4">
        <f>I441-G441</f>
        <v>-6.25</v>
      </c>
      <c r="K441" s="5">
        <f>G441+J441</f>
        <v>2226.44</v>
      </c>
      <c r="L441" s="2" t="s">
        <v>94</v>
      </c>
    </row>
    <row r="442" spans="1:12" x14ac:dyDescent="0.2">
      <c r="A442" s="9" t="s">
        <v>11</v>
      </c>
      <c r="B442" s="31">
        <v>45090</v>
      </c>
      <c r="C442" s="10" t="s">
        <v>12</v>
      </c>
      <c r="D442" s="5">
        <v>48.78</v>
      </c>
      <c r="E442" s="5">
        <v>2230.59</v>
      </c>
      <c r="F442" s="16" t="s">
        <v>9</v>
      </c>
    </row>
    <row r="443" spans="1:12" x14ac:dyDescent="0.2">
      <c r="A443" s="9" t="s">
        <v>11</v>
      </c>
      <c r="B443" s="31">
        <v>45090</v>
      </c>
      <c r="C443" s="10" t="s">
        <v>12</v>
      </c>
      <c r="D443" s="5">
        <v>51.78</v>
      </c>
      <c r="E443" s="5">
        <v>2234.79</v>
      </c>
      <c r="F443" s="16" t="s">
        <v>96</v>
      </c>
    </row>
    <row r="444" spans="1:12" x14ac:dyDescent="0.2">
      <c r="A444" s="9" t="s">
        <v>11</v>
      </c>
      <c r="B444" s="31">
        <v>45090</v>
      </c>
      <c r="C444" s="10" t="s">
        <v>12</v>
      </c>
      <c r="D444" s="5">
        <v>49.72</v>
      </c>
      <c r="E444" s="5">
        <v>2797.88</v>
      </c>
      <c r="F444" s="16" t="s">
        <v>461</v>
      </c>
      <c r="G444" s="13">
        <f>AVERAGE(E444,E446)</f>
        <v>2794.82</v>
      </c>
      <c r="H444" s="18">
        <f>STDEV(E444,E446)</f>
        <v>4.3274935008615936</v>
      </c>
      <c r="K444" s="5">
        <f>G444+$J$416</f>
        <v>2791.2750000000001</v>
      </c>
    </row>
    <row r="445" spans="1:12" x14ac:dyDescent="0.2">
      <c r="A445" s="9" t="s">
        <v>11</v>
      </c>
      <c r="B445" s="31">
        <v>45090</v>
      </c>
      <c r="C445" s="10" t="s">
        <v>12</v>
      </c>
      <c r="D445" s="5">
        <v>48.28</v>
      </c>
      <c r="E445" s="14">
        <v>2892.7</v>
      </c>
      <c r="F445" s="16" t="s">
        <v>462</v>
      </c>
    </row>
    <row r="446" spans="1:12" x14ac:dyDescent="0.2">
      <c r="A446" s="9" t="s">
        <v>11</v>
      </c>
      <c r="B446" s="31">
        <v>45090</v>
      </c>
      <c r="C446" s="10" t="s">
        <v>12</v>
      </c>
      <c r="D446" s="5">
        <v>50.26</v>
      </c>
      <c r="E446" s="5">
        <v>2791.76</v>
      </c>
      <c r="F446" s="16" t="s">
        <v>463</v>
      </c>
    </row>
    <row r="447" spans="1:12" x14ac:dyDescent="0.2">
      <c r="A447" s="9" t="s">
        <v>11</v>
      </c>
      <c r="B447" s="31">
        <v>45090</v>
      </c>
      <c r="C447" s="10" t="s">
        <v>12</v>
      </c>
      <c r="D447" s="5">
        <v>50.21</v>
      </c>
      <c r="E447" s="14">
        <v>2776.09</v>
      </c>
      <c r="F447" s="16" t="s">
        <v>464</v>
      </c>
      <c r="G447" s="13">
        <f>AVERAGE(E448,E449)</f>
        <v>2792.2950000000001</v>
      </c>
      <c r="H447" s="18">
        <f>STDEV(E448,E449)</f>
        <v>3.995153313704058</v>
      </c>
      <c r="K447" s="5">
        <f>G447+$J$416</f>
        <v>2788.75</v>
      </c>
    </row>
    <row r="448" spans="1:12" x14ac:dyDescent="0.2">
      <c r="A448" s="9" t="s">
        <v>11</v>
      </c>
      <c r="B448" s="31">
        <v>45090</v>
      </c>
      <c r="C448" s="10" t="s">
        <v>12</v>
      </c>
      <c r="D448" s="5">
        <v>48.31</v>
      </c>
      <c r="E448" s="5">
        <v>2789.47</v>
      </c>
      <c r="F448" s="16" t="s">
        <v>465</v>
      </c>
    </row>
    <row r="449" spans="1:11" x14ac:dyDescent="0.2">
      <c r="A449" s="9" t="s">
        <v>11</v>
      </c>
      <c r="B449" s="31">
        <v>45090</v>
      </c>
      <c r="C449" s="10" t="s">
        <v>12</v>
      </c>
      <c r="D449" s="5">
        <v>51.2</v>
      </c>
      <c r="E449" s="5">
        <v>2795.12</v>
      </c>
      <c r="F449" s="16" t="s">
        <v>466</v>
      </c>
    </row>
    <row r="450" spans="1:11" x14ac:dyDescent="0.2">
      <c r="A450" s="9" t="s">
        <v>11</v>
      </c>
      <c r="B450" s="31">
        <v>45090</v>
      </c>
      <c r="C450" s="10" t="s">
        <v>12</v>
      </c>
      <c r="D450" s="5">
        <v>50.61</v>
      </c>
      <c r="E450" s="5">
        <v>2738.11</v>
      </c>
      <c r="F450" s="16" t="s">
        <v>400</v>
      </c>
      <c r="G450" s="13">
        <f>AVERAGE(E451,E450)</f>
        <v>2736.45</v>
      </c>
      <c r="H450" s="18">
        <f>STDEV(E451,E450)</f>
        <v>2.3475945135394536</v>
      </c>
      <c r="K450" s="5">
        <f>G450+$J$416</f>
        <v>2732.9049999999997</v>
      </c>
    </row>
    <row r="451" spans="1:11" x14ac:dyDescent="0.2">
      <c r="A451" s="9" t="s">
        <v>11</v>
      </c>
      <c r="B451" s="31">
        <v>45090</v>
      </c>
      <c r="C451" s="10" t="s">
        <v>12</v>
      </c>
      <c r="D451" s="5">
        <v>50.35</v>
      </c>
      <c r="E451" s="5">
        <v>2734.79</v>
      </c>
      <c r="F451" s="16" t="s">
        <v>401</v>
      </c>
    </row>
    <row r="452" spans="1:11" x14ac:dyDescent="0.2">
      <c r="A452" s="9" t="s">
        <v>11</v>
      </c>
      <c r="B452" s="31">
        <v>45090</v>
      </c>
      <c r="C452" s="10" t="s">
        <v>12</v>
      </c>
      <c r="D452" s="5">
        <v>51.43</v>
      </c>
      <c r="E452" s="5">
        <v>2773.66</v>
      </c>
      <c r="F452" s="16" t="s">
        <v>402</v>
      </c>
      <c r="G452" s="13">
        <f>AVERAGE(E452:E453)</f>
        <v>2775.7049999999999</v>
      </c>
      <c r="H452" s="18">
        <f>STDEV(E452:E453)</f>
        <v>2.8920667350530822</v>
      </c>
      <c r="K452" s="5">
        <f>G452+$J$416</f>
        <v>2772.16</v>
      </c>
    </row>
    <row r="453" spans="1:11" x14ac:dyDescent="0.2">
      <c r="A453" s="9" t="s">
        <v>11</v>
      </c>
      <c r="B453" s="31">
        <v>45090</v>
      </c>
      <c r="C453" s="10" t="s">
        <v>12</v>
      </c>
      <c r="D453" s="5">
        <v>51.73</v>
      </c>
      <c r="E453" s="5">
        <v>2777.75</v>
      </c>
      <c r="F453" s="16" t="s">
        <v>403</v>
      </c>
    </row>
    <row r="454" spans="1:11" x14ac:dyDescent="0.2">
      <c r="A454" s="9" t="s">
        <v>152</v>
      </c>
      <c r="B454" s="31">
        <v>45091</v>
      </c>
      <c r="C454" s="10" t="s">
        <v>12</v>
      </c>
      <c r="D454" s="5">
        <v>53.38</v>
      </c>
      <c r="E454" s="14">
        <v>2759.05</v>
      </c>
      <c r="F454" s="16" t="s">
        <v>404</v>
      </c>
      <c r="G454" s="13">
        <f>AVERAGE(E455,E456)</f>
        <v>2765.8450000000003</v>
      </c>
      <c r="H454" s="18">
        <f>STDEV(E455,E456)</f>
        <v>1.8879751057678118</v>
      </c>
      <c r="K454" s="5">
        <f>G454+$J$472</f>
        <v>2756.5550000000003</v>
      </c>
    </row>
    <row r="455" spans="1:11" x14ac:dyDescent="0.2">
      <c r="A455" s="9" t="s">
        <v>152</v>
      </c>
      <c r="B455" s="31">
        <v>45091</v>
      </c>
      <c r="C455" s="10" t="s">
        <v>12</v>
      </c>
      <c r="D455" s="5">
        <v>54.79</v>
      </c>
      <c r="E455" s="5">
        <v>2764.51</v>
      </c>
      <c r="F455" s="16" t="s">
        <v>405</v>
      </c>
    </row>
    <row r="456" spans="1:11" x14ac:dyDescent="0.2">
      <c r="A456" s="9" t="s">
        <v>152</v>
      </c>
      <c r="B456" s="31">
        <v>45091</v>
      </c>
      <c r="C456" s="10" t="s">
        <v>12</v>
      </c>
      <c r="D456" s="5">
        <v>50.74</v>
      </c>
      <c r="E456" s="5">
        <v>2767.18</v>
      </c>
      <c r="F456" s="16" t="s">
        <v>406</v>
      </c>
    </row>
    <row r="457" spans="1:11" x14ac:dyDescent="0.2">
      <c r="A457" s="9" t="s">
        <v>152</v>
      </c>
      <c r="B457" s="31">
        <v>45091</v>
      </c>
      <c r="C457" s="10" t="s">
        <v>12</v>
      </c>
      <c r="D457" s="5">
        <v>52.02</v>
      </c>
      <c r="E457" s="5">
        <v>2799.11</v>
      </c>
      <c r="F457" s="16" t="s">
        <v>407</v>
      </c>
      <c r="G457" s="13">
        <f>AVERAGE(E457,E459)</f>
        <v>2795.8500000000004</v>
      </c>
      <c r="H457" s="18">
        <f>STDEV(E457,E459)</f>
        <v>4.6103362133362769</v>
      </c>
      <c r="K457" s="5">
        <f>G457+$J$472</f>
        <v>2786.5600000000004</v>
      </c>
    </row>
    <row r="458" spans="1:11" x14ac:dyDescent="0.2">
      <c r="A458" s="9" t="s">
        <v>152</v>
      </c>
      <c r="B458" s="31">
        <v>45091</v>
      </c>
      <c r="C458" s="10" t="s">
        <v>12</v>
      </c>
      <c r="D458" s="5">
        <v>49.72</v>
      </c>
      <c r="E458" s="14">
        <v>2776.97</v>
      </c>
      <c r="F458" s="16" t="s">
        <v>408</v>
      </c>
    </row>
    <row r="459" spans="1:11" x14ac:dyDescent="0.2">
      <c r="A459" s="9" t="s">
        <v>152</v>
      </c>
      <c r="B459" s="31">
        <v>45091</v>
      </c>
      <c r="C459" s="10" t="s">
        <v>12</v>
      </c>
      <c r="D459" s="5">
        <v>52.05</v>
      </c>
      <c r="E459" s="5">
        <v>2792.59</v>
      </c>
      <c r="F459" s="16" t="s">
        <v>409</v>
      </c>
    </row>
    <row r="460" spans="1:11" x14ac:dyDescent="0.2">
      <c r="A460" s="9" t="s">
        <v>152</v>
      </c>
      <c r="B460" s="31">
        <v>45091</v>
      </c>
      <c r="C460" s="10" t="s">
        <v>12</v>
      </c>
      <c r="D460" s="5">
        <v>49.12</v>
      </c>
      <c r="E460" s="5">
        <v>2820.28</v>
      </c>
      <c r="F460" s="16" t="s">
        <v>410</v>
      </c>
      <c r="G460" s="13">
        <f>AVERAGE(E460,E462)</f>
        <v>2816.7449999999999</v>
      </c>
      <c r="H460" s="18">
        <f>STDEV(E460,E462)</f>
        <v>4.9992449429890069</v>
      </c>
      <c r="K460" s="5">
        <f>G460+$J$472</f>
        <v>2807.4549999999999</v>
      </c>
    </row>
    <row r="461" spans="1:11" x14ac:dyDescent="0.2">
      <c r="A461" s="9" t="s">
        <v>152</v>
      </c>
      <c r="B461" s="31">
        <v>45091</v>
      </c>
      <c r="C461" s="10" t="s">
        <v>12</v>
      </c>
      <c r="D461" s="5">
        <v>50.75</v>
      </c>
      <c r="E461" s="14">
        <v>2805.14</v>
      </c>
      <c r="F461" s="16" t="s">
        <v>411</v>
      </c>
    </row>
    <row r="462" spans="1:11" x14ac:dyDescent="0.2">
      <c r="A462" s="9" t="s">
        <v>152</v>
      </c>
      <c r="B462" s="31">
        <v>45091</v>
      </c>
      <c r="C462" s="10" t="s">
        <v>12</v>
      </c>
      <c r="D462" s="5">
        <v>53.14</v>
      </c>
      <c r="E462" s="5">
        <v>2813.21</v>
      </c>
      <c r="F462" s="16" t="s">
        <v>412</v>
      </c>
    </row>
    <row r="463" spans="1:11" x14ac:dyDescent="0.2">
      <c r="A463" s="9" t="s">
        <v>152</v>
      </c>
      <c r="B463" s="31">
        <v>45091</v>
      </c>
      <c r="C463" s="10" t="s">
        <v>12</v>
      </c>
      <c r="D463" s="5">
        <v>47.87</v>
      </c>
      <c r="E463" s="5">
        <v>2834.96</v>
      </c>
      <c r="F463" s="16" t="s">
        <v>413</v>
      </c>
      <c r="G463" s="13">
        <f>AVERAGE(E463,E464,E465)</f>
        <v>2835.0566666666668</v>
      </c>
      <c r="H463" s="18">
        <f>STDEV(E463,E464,E465)</f>
        <v>4.4457882690626178</v>
      </c>
      <c r="K463" s="5">
        <f>G463+$J$472</f>
        <v>2825.7666666666669</v>
      </c>
    </row>
    <row r="464" spans="1:11" x14ac:dyDescent="0.2">
      <c r="A464" s="9" t="s">
        <v>152</v>
      </c>
      <c r="B464" s="31">
        <v>45091</v>
      </c>
      <c r="C464" s="10" t="s">
        <v>12</v>
      </c>
      <c r="D464" s="5">
        <v>52.1</v>
      </c>
      <c r="E464" s="5">
        <v>2830.66</v>
      </c>
      <c r="F464" s="16" t="s">
        <v>414</v>
      </c>
    </row>
    <row r="465" spans="1:12" x14ac:dyDescent="0.2">
      <c r="A465" s="9" t="s">
        <v>152</v>
      </c>
      <c r="B465" s="31">
        <v>45091</v>
      </c>
      <c r="C465" s="10" t="s">
        <v>12</v>
      </c>
      <c r="D465" s="5">
        <v>49.24</v>
      </c>
      <c r="E465" s="5">
        <v>2839.55</v>
      </c>
      <c r="F465" s="16" t="s">
        <v>415</v>
      </c>
    </row>
    <row r="466" spans="1:12" x14ac:dyDescent="0.2">
      <c r="A466" s="9" t="s">
        <v>152</v>
      </c>
      <c r="B466" s="31">
        <v>45091</v>
      </c>
      <c r="C466" s="10" t="s">
        <v>12</v>
      </c>
      <c r="D466" s="5">
        <v>53.72</v>
      </c>
      <c r="E466" s="5">
        <v>2817.37</v>
      </c>
      <c r="F466" s="16" t="s">
        <v>416</v>
      </c>
      <c r="G466" s="13">
        <f>AVERAGE(E466,E468)</f>
        <v>2818.42</v>
      </c>
      <c r="H466" s="18">
        <f>STDEV(E466,E468)</f>
        <v>1.4849242404916856</v>
      </c>
      <c r="K466" s="5">
        <f>G466+$J$472</f>
        <v>2809.13</v>
      </c>
    </row>
    <row r="467" spans="1:12" x14ac:dyDescent="0.2">
      <c r="A467" s="9" t="s">
        <v>152</v>
      </c>
      <c r="B467" s="31">
        <v>45091</v>
      </c>
      <c r="C467" s="10" t="s">
        <v>12</v>
      </c>
      <c r="D467" s="5">
        <v>50.92</v>
      </c>
      <c r="E467" s="14">
        <v>2802.53</v>
      </c>
      <c r="F467" s="16" t="s">
        <v>417</v>
      </c>
    </row>
    <row r="468" spans="1:12" x14ac:dyDescent="0.2">
      <c r="A468" s="9" t="s">
        <v>152</v>
      </c>
      <c r="B468" s="31">
        <v>45091</v>
      </c>
      <c r="C468" s="10" t="s">
        <v>12</v>
      </c>
      <c r="D468" s="5">
        <v>52.46</v>
      </c>
      <c r="E468" s="5">
        <v>2819.47</v>
      </c>
      <c r="F468" s="16" t="s">
        <v>418</v>
      </c>
    </row>
    <row r="469" spans="1:12" x14ac:dyDescent="0.2">
      <c r="A469" s="9" t="s">
        <v>152</v>
      </c>
      <c r="B469" s="31">
        <v>45091</v>
      </c>
      <c r="C469" s="10" t="s">
        <v>12</v>
      </c>
      <c r="D469" s="5">
        <v>54.89</v>
      </c>
      <c r="E469" s="5">
        <v>2796.16</v>
      </c>
      <c r="F469" s="16" t="s">
        <v>419</v>
      </c>
      <c r="G469" s="13">
        <f>AVERAGE(E469,E471)</f>
        <v>2797.2049999999999</v>
      </c>
      <c r="H469" s="18">
        <f>STDEV(E469,E471)</f>
        <v>1.4778531726799873</v>
      </c>
      <c r="K469" s="5">
        <f>G469+$J$472</f>
        <v>2787.915</v>
      </c>
    </row>
    <row r="470" spans="1:12" x14ac:dyDescent="0.2">
      <c r="A470" s="9" t="s">
        <v>152</v>
      </c>
      <c r="B470" s="31">
        <v>45091</v>
      </c>
      <c r="C470" s="10" t="s">
        <v>12</v>
      </c>
      <c r="D470" s="5">
        <v>53.11</v>
      </c>
      <c r="E470" s="14">
        <v>2788.74</v>
      </c>
      <c r="F470" s="16" t="s">
        <v>420</v>
      </c>
    </row>
    <row r="471" spans="1:12" x14ac:dyDescent="0.2">
      <c r="A471" s="9" t="s">
        <v>152</v>
      </c>
      <c r="B471" s="31">
        <v>45091</v>
      </c>
      <c r="C471" s="10" t="s">
        <v>12</v>
      </c>
      <c r="D471" s="5">
        <v>48.88</v>
      </c>
      <c r="E471" s="5">
        <v>2798.25</v>
      </c>
      <c r="F471" s="16" t="s">
        <v>421</v>
      </c>
    </row>
    <row r="472" spans="1:12" x14ac:dyDescent="0.2">
      <c r="A472" s="9" t="s">
        <v>152</v>
      </c>
      <c r="B472" s="31">
        <v>45091</v>
      </c>
      <c r="C472" s="10" t="s">
        <v>12</v>
      </c>
      <c r="D472" s="5">
        <v>54.11</v>
      </c>
      <c r="E472" s="5">
        <v>2234.58</v>
      </c>
      <c r="F472" s="16" t="s">
        <v>8</v>
      </c>
      <c r="G472" s="13">
        <f>AVERAGE(E472,E474)</f>
        <v>2235.73</v>
      </c>
      <c r="H472" s="18">
        <f>STDEV(E472,E474)</f>
        <v>1.626345596729188</v>
      </c>
      <c r="I472" s="3">
        <v>2226.44</v>
      </c>
      <c r="J472" s="4">
        <f>I472-G472</f>
        <v>-9.2899999999999636</v>
      </c>
      <c r="K472" s="5">
        <f>G472+J472</f>
        <v>2226.44</v>
      </c>
      <c r="L472" s="2" t="s">
        <v>94</v>
      </c>
    </row>
    <row r="473" spans="1:12" x14ac:dyDescent="0.2">
      <c r="A473" s="9" t="s">
        <v>152</v>
      </c>
      <c r="B473" s="31">
        <v>45091</v>
      </c>
      <c r="C473" s="10" t="s">
        <v>12</v>
      </c>
      <c r="D473" s="5">
        <v>51.07</v>
      </c>
      <c r="E473" s="5">
        <v>2230.42</v>
      </c>
      <c r="F473" s="16" t="s">
        <v>9</v>
      </c>
    </row>
    <row r="474" spans="1:12" x14ac:dyDescent="0.2">
      <c r="A474" s="9" t="s">
        <v>152</v>
      </c>
      <c r="B474" s="31">
        <v>45091</v>
      </c>
      <c r="C474" s="10" t="s">
        <v>12</v>
      </c>
      <c r="D474" s="5">
        <v>55.91</v>
      </c>
      <c r="E474" s="5">
        <v>2236.88</v>
      </c>
      <c r="F474" s="16" t="s">
        <v>96</v>
      </c>
    </row>
    <row r="475" spans="1:12" x14ac:dyDescent="0.2">
      <c r="A475" s="9" t="s">
        <v>11</v>
      </c>
      <c r="B475" s="31">
        <v>45091</v>
      </c>
      <c r="C475" s="10" t="s">
        <v>12</v>
      </c>
      <c r="D475" s="5">
        <v>50.54</v>
      </c>
      <c r="E475" s="5">
        <v>2724.69</v>
      </c>
      <c r="F475" s="16" t="s">
        <v>467</v>
      </c>
      <c r="G475" s="13">
        <f>AVERAGE(E475:E476)</f>
        <v>2723.1849999999999</v>
      </c>
      <c r="H475" s="18">
        <f>STDEV(E475,E476)</f>
        <v>2.1283914113716627</v>
      </c>
      <c r="K475" s="5">
        <f>G475+$J$472</f>
        <v>2713.895</v>
      </c>
    </row>
    <row r="476" spans="1:12" x14ac:dyDescent="0.2">
      <c r="A476" s="9" t="s">
        <v>11</v>
      </c>
      <c r="B476" s="31">
        <v>45091</v>
      </c>
      <c r="C476" s="10" t="s">
        <v>12</v>
      </c>
      <c r="D476" s="5">
        <v>48.78</v>
      </c>
      <c r="E476" s="5">
        <v>2721.68</v>
      </c>
      <c r="F476" s="16" t="s">
        <v>468</v>
      </c>
    </row>
    <row r="477" spans="1:12" x14ac:dyDescent="0.2">
      <c r="A477" s="9" t="s">
        <v>11</v>
      </c>
      <c r="B477" s="31">
        <v>45091</v>
      </c>
      <c r="C477" s="10" t="s">
        <v>12</v>
      </c>
      <c r="D477" s="5">
        <v>49.21</v>
      </c>
      <c r="E477" s="5">
        <v>2703.56</v>
      </c>
      <c r="F477" s="16" t="s">
        <v>469</v>
      </c>
      <c r="G477" s="13">
        <f>AVERAGE(E477,E479)</f>
        <v>2680.0749999999998</v>
      </c>
      <c r="H477" s="18">
        <f>STDEV(E477,E478)</f>
        <v>4.0305086527631921</v>
      </c>
      <c r="K477" s="5">
        <f>G477+$J$472</f>
        <v>2670.7849999999999</v>
      </c>
    </row>
    <row r="478" spans="1:12" x14ac:dyDescent="0.2">
      <c r="A478" s="9" t="s">
        <v>11</v>
      </c>
      <c r="B478" s="31">
        <v>45091</v>
      </c>
      <c r="C478" s="10" t="s">
        <v>12</v>
      </c>
      <c r="D478" s="5">
        <v>49.8</v>
      </c>
      <c r="E478" s="5">
        <v>2697.86</v>
      </c>
      <c r="F478" s="16" t="s">
        <v>470</v>
      </c>
    </row>
    <row r="479" spans="1:12" x14ac:dyDescent="0.2">
      <c r="A479" s="9" t="s">
        <v>11</v>
      </c>
      <c r="B479" s="31">
        <v>45091</v>
      </c>
      <c r="C479" s="10" t="s">
        <v>12</v>
      </c>
      <c r="D479" s="5">
        <v>51.62</v>
      </c>
      <c r="E479" s="14">
        <v>2656.59</v>
      </c>
      <c r="F479" s="16" t="s">
        <v>422</v>
      </c>
      <c r="G479" s="13">
        <f>AVERAGE(E480,E481)</f>
        <v>2647.81</v>
      </c>
      <c r="H479" s="18">
        <f>STDEV(E480,E481)</f>
        <v>0.82024386617629219</v>
      </c>
      <c r="K479" s="5">
        <f>G479+$J$472</f>
        <v>2638.52</v>
      </c>
    </row>
    <row r="480" spans="1:12" x14ac:dyDescent="0.2">
      <c r="A480" s="9" t="s">
        <v>11</v>
      </c>
      <c r="B480" s="31">
        <v>45091</v>
      </c>
      <c r="C480" s="10" t="s">
        <v>12</v>
      </c>
      <c r="D480" s="5">
        <v>49.21</v>
      </c>
      <c r="E480" s="5">
        <v>2647.23</v>
      </c>
      <c r="F480" s="16" t="s">
        <v>423</v>
      </c>
    </row>
    <row r="481" spans="1:12" x14ac:dyDescent="0.2">
      <c r="A481" s="9" t="s">
        <v>11</v>
      </c>
      <c r="B481" s="31">
        <v>45091</v>
      </c>
      <c r="C481" s="10" t="s">
        <v>12</v>
      </c>
      <c r="D481" s="5">
        <v>48.69</v>
      </c>
      <c r="E481" s="5">
        <v>2648.39</v>
      </c>
      <c r="F481" s="16" t="s">
        <v>424</v>
      </c>
    </row>
    <row r="482" spans="1:12" x14ac:dyDescent="0.2">
      <c r="A482" s="9" t="s">
        <v>11</v>
      </c>
      <c r="B482" s="31">
        <v>45091</v>
      </c>
      <c r="C482" s="10" t="s">
        <v>12</v>
      </c>
      <c r="D482" s="5">
        <v>51.12</v>
      </c>
      <c r="E482" s="5">
        <v>2656.91</v>
      </c>
      <c r="F482" s="16" t="s">
        <v>425</v>
      </c>
      <c r="G482" s="13">
        <f>AVERAGE(E482,E483)</f>
        <v>2656.1099999999997</v>
      </c>
      <c r="H482" s="18">
        <f>STDEV(E482,E483)</f>
        <v>1.1313708498984119</v>
      </c>
      <c r="K482" s="5">
        <f>G482+$J$472</f>
        <v>2646.8199999999997</v>
      </c>
    </row>
    <row r="483" spans="1:12" x14ac:dyDescent="0.2">
      <c r="A483" s="9" t="s">
        <v>11</v>
      </c>
      <c r="B483" s="31">
        <v>45091</v>
      </c>
      <c r="C483" s="10" t="s">
        <v>12</v>
      </c>
      <c r="D483" s="5">
        <v>51.4</v>
      </c>
      <c r="E483" s="5">
        <v>2655.31</v>
      </c>
      <c r="F483" s="16" t="s">
        <v>426</v>
      </c>
    </row>
    <row r="484" spans="1:12" x14ac:dyDescent="0.2">
      <c r="A484" s="9" t="s">
        <v>11</v>
      </c>
      <c r="B484" s="31">
        <v>45091</v>
      </c>
      <c r="C484" s="10" t="s">
        <v>12</v>
      </c>
      <c r="D484" s="5">
        <v>49.41</v>
      </c>
      <c r="E484" s="5">
        <v>2684.74</v>
      </c>
      <c r="F484" s="16" t="s">
        <v>427</v>
      </c>
      <c r="G484" s="13">
        <f>AVERAGE(E484,E485)</f>
        <v>2684.2649999999999</v>
      </c>
      <c r="H484" s="18">
        <f>STDEV(E484,E485)</f>
        <v>0.67175144212709148</v>
      </c>
      <c r="K484" s="5">
        <f>G484+$J$472</f>
        <v>2674.9749999999999</v>
      </c>
    </row>
    <row r="485" spans="1:12" x14ac:dyDescent="0.2">
      <c r="A485" s="9" t="s">
        <v>11</v>
      </c>
      <c r="B485" s="31">
        <v>45091</v>
      </c>
      <c r="C485" s="10" t="s">
        <v>12</v>
      </c>
      <c r="D485" s="5">
        <v>49.72</v>
      </c>
      <c r="E485" s="5">
        <v>2683.79</v>
      </c>
      <c r="F485" s="16" t="s">
        <v>428</v>
      </c>
    </row>
    <row r="486" spans="1:12" x14ac:dyDescent="0.2">
      <c r="A486" s="9" t="s">
        <v>11</v>
      </c>
      <c r="B486" s="31">
        <v>45091</v>
      </c>
      <c r="C486" s="10" t="s">
        <v>12</v>
      </c>
      <c r="D486" s="5">
        <v>50.83</v>
      </c>
      <c r="E486" s="14">
        <v>2735.14</v>
      </c>
      <c r="F486" s="16" t="s">
        <v>429</v>
      </c>
      <c r="G486" s="13">
        <f>AVERAGE(E487,E489)</f>
        <v>2724.0650000000001</v>
      </c>
      <c r="H486" s="18">
        <f>STDEV(E487,E489)</f>
        <v>1.0960155108392773</v>
      </c>
      <c r="K486" s="5">
        <f>G486+$J$472</f>
        <v>2714.7750000000001</v>
      </c>
    </row>
    <row r="487" spans="1:12" x14ac:dyDescent="0.2">
      <c r="A487" s="9" t="s">
        <v>11</v>
      </c>
      <c r="B487" s="31">
        <v>45091</v>
      </c>
      <c r="C487" s="10" t="s">
        <v>12</v>
      </c>
      <c r="D487" s="5">
        <v>48.96</v>
      </c>
      <c r="E487" s="5">
        <v>2723.29</v>
      </c>
      <c r="F487" s="16" t="s">
        <v>430</v>
      </c>
    </row>
    <row r="488" spans="1:12" x14ac:dyDescent="0.2">
      <c r="A488" s="9" t="s">
        <v>11</v>
      </c>
      <c r="B488" s="31">
        <v>45091</v>
      </c>
      <c r="C488" s="10" t="s">
        <v>12</v>
      </c>
      <c r="D488" s="5">
        <v>50.39</v>
      </c>
      <c r="E488" s="14">
        <v>2558.9699999999998</v>
      </c>
      <c r="F488" s="16" t="s">
        <v>431</v>
      </c>
    </row>
    <row r="489" spans="1:12" x14ac:dyDescent="0.2">
      <c r="A489" s="9" t="s">
        <v>555</v>
      </c>
      <c r="B489" s="31">
        <v>45092</v>
      </c>
      <c r="C489" s="10" t="s">
        <v>12</v>
      </c>
      <c r="D489" s="5">
        <v>53.63</v>
      </c>
      <c r="E489" s="5">
        <v>2724.84</v>
      </c>
      <c r="F489" s="16" t="s">
        <v>556</v>
      </c>
    </row>
    <row r="490" spans="1:12" x14ac:dyDescent="0.2">
      <c r="A490" s="9" t="s">
        <v>555</v>
      </c>
      <c r="B490" s="31">
        <v>45092</v>
      </c>
      <c r="C490" s="10" t="s">
        <v>12</v>
      </c>
      <c r="D490" s="5">
        <v>50.86</v>
      </c>
      <c r="E490" s="5">
        <v>2237.83</v>
      </c>
      <c r="F490" s="16" t="s">
        <v>8</v>
      </c>
      <c r="G490" s="13">
        <f>AVERAGE(E490:E491)</f>
        <v>2236.6949999999997</v>
      </c>
      <c r="H490" s="18">
        <f>STDEV(E490:E491)</f>
        <v>1.60513239329345</v>
      </c>
      <c r="I490" s="3">
        <v>2226.44</v>
      </c>
      <c r="J490" s="4">
        <f>I490-G490</f>
        <v>-10.254999999999654</v>
      </c>
      <c r="K490" s="5">
        <f>G490+J490</f>
        <v>2226.44</v>
      </c>
      <c r="L490" s="2" t="s">
        <v>94</v>
      </c>
    </row>
    <row r="491" spans="1:12" x14ac:dyDescent="0.2">
      <c r="A491" s="9" t="s">
        <v>555</v>
      </c>
      <c r="B491" s="31">
        <v>45092</v>
      </c>
      <c r="C491" s="10" t="s">
        <v>12</v>
      </c>
      <c r="D491" s="5">
        <v>50.82</v>
      </c>
      <c r="E491" s="5">
        <v>2235.56</v>
      </c>
      <c r="F491" s="16" t="s">
        <v>9</v>
      </c>
    </row>
    <row r="492" spans="1:12" x14ac:dyDescent="0.2">
      <c r="A492" s="9" t="s">
        <v>555</v>
      </c>
      <c r="B492" s="31">
        <v>45092</v>
      </c>
      <c r="C492" s="10" t="s">
        <v>12</v>
      </c>
      <c r="D492" s="5">
        <v>50.73</v>
      </c>
      <c r="E492" s="14">
        <v>2249.09</v>
      </c>
      <c r="F492" s="16" t="s">
        <v>96</v>
      </c>
    </row>
    <row r="493" spans="1:12" x14ac:dyDescent="0.2">
      <c r="A493" s="9" t="s">
        <v>555</v>
      </c>
      <c r="B493" s="31">
        <v>45092</v>
      </c>
      <c r="C493" s="10" t="s">
        <v>12</v>
      </c>
      <c r="D493" s="5">
        <v>53.5</v>
      </c>
      <c r="E493" s="5">
        <v>2646.16</v>
      </c>
      <c r="F493" s="16" t="s">
        <v>432</v>
      </c>
      <c r="G493" s="13">
        <f>AVERAGE(E493:E494)</f>
        <v>2648.3599999999997</v>
      </c>
      <c r="H493" s="18">
        <f>STDEV(E493:E494)</f>
        <v>3.1112698372208736</v>
      </c>
      <c r="K493" s="5">
        <f>G493+$J$490</f>
        <v>2638.105</v>
      </c>
    </row>
    <row r="494" spans="1:12" x14ac:dyDescent="0.2">
      <c r="A494" s="9" t="s">
        <v>555</v>
      </c>
      <c r="B494" s="31">
        <v>45092</v>
      </c>
      <c r="C494" s="10" t="s">
        <v>12</v>
      </c>
      <c r="D494" s="5">
        <v>53.83</v>
      </c>
      <c r="E494" s="5">
        <v>2650.56</v>
      </c>
      <c r="F494" s="16" t="s">
        <v>433</v>
      </c>
    </row>
    <row r="495" spans="1:12" x14ac:dyDescent="0.2">
      <c r="A495" s="9" t="s">
        <v>555</v>
      </c>
      <c r="B495" s="31">
        <v>45092</v>
      </c>
      <c r="C495" s="10" t="s">
        <v>12</v>
      </c>
      <c r="D495" s="5">
        <v>51.93</v>
      </c>
      <c r="E495" s="14">
        <v>2665.89</v>
      </c>
      <c r="F495" s="16" t="s">
        <v>434</v>
      </c>
    </row>
    <row r="496" spans="1:12" x14ac:dyDescent="0.2">
      <c r="A496" s="9" t="s">
        <v>11</v>
      </c>
      <c r="B496" s="31">
        <v>45092</v>
      </c>
      <c r="C496" s="10" t="s">
        <v>12</v>
      </c>
      <c r="D496" s="5">
        <v>48.59</v>
      </c>
      <c r="E496" s="14">
        <v>2623.61</v>
      </c>
      <c r="F496" s="16" t="s">
        <v>435</v>
      </c>
      <c r="G496" s="13">
        <f>AVERAGE(E497:E498)</f>
        <v>2562.915</v>
      </c>
      <c r="H496" s="18">
        <f>STDEV(E497:E498)</f>
        <v>1.2798632739476123</v>
      </c>
      <c r="K496" s="5">
        <f>G496+$J$490</f>
        <v>2552.6600000000003</v>
      </c>
    </row>
    <row r="497" spans="1:11" x14ac:dyDescent="0.2">
      <c r="A497" s="9" t="s">
        <v>11</v>
      </c>
      <c r="B497" s="31">
        <v>45092</v>
      </c>
      <c r="C497" s="10" t="s">
        <v>12</v>
      </c>
      <c r="D497" s="5">
        <v>50.54</v>
      </c>
      <c r="E497" s="5">
        <v>2563.8200000000002</v>
      </c>
      <c r="F497" s="16" t="s">
        <v>436</v>
      </c>
    </row>
    <row r="498" spans="1:11" x14ac:dyDescent="0.2">
      <c r="A498" s="9" t="s">
        <v>11</v>
      </c>
      <c r="B498" s="31">
        <v>45092</v>
      </c>
      <c r="C498" s="10" t="s">
        <v>12</v>
      </c>
      <c r="D498" s="5">
        <v>51.73</v>
      </c>
      <c r="E498" s="5">
        <v>2562.0100000000002</v>
      </c>
      <c r="F498" s="16" t="s">
        <v>437</v>
      </c>
    </row>
    <row r="499" spans="1:11" x14ac:dyDescent="0.2">
      <c r="A499" s="9" t="s">
        <v>11</v>
      </c>
      <c r="B499" s="31">
        <v>45092</v>
      </c>
      <c r="C499" s="10" t="s">
        <v>12</v>
      </c>
      <c r="D499" s="5">
        <v>50.45</v>
      </c>
      <c r="E499" s="5">
        <v>2596.41</v>
      </c>
      <c r="F499" s="16" t="s">
        <v>438</v>
      </c>
      <c r="G499" s="13">
        <f>AVERAGE(E499:E500)</f>
        <v>2595.605</v>
      </c>
      <c r="H499" s="18">
        <f>STDEV(E499:E500)</f>
        <v>1.1384419177101099</v>
      </c>
      <c r="K499" s="5">
        <f>G499+$J$490</f>
        <v>2585.3500000000004</v>
      </c>
    </row>
    <row r="500" spans="1:11" x14ac:dyDescent="0.2">
      <c r="A500" s="9" t="s">
        <v>11</v>
      </c>
      <c r="B500" s="31">
        <v>45092</v>
      </c>
      <c r="C500" s="10" t="s">
        <v>12</v>
      </c>
      <c r="D500" s="5">
        <v>49.91</v>
      </c>
      <c r="E500" s="5">
        <v>2594.8000000000002</v>
      </c>
      <c r="F500" s="16" t="s">
        <v>439</v>
      </c>
    </row>
    <row r="501" spans="1:11" x14ac:dyDescent="0.2">
      <c r="A501" s="9" t="s">
        <v>11</v>
      </c>
      <c r="B501" s="31">
        <v>45092</v>
      </c>
      <c r="C501" s="10" t="s">
        <v>12</v>
      </c>
      <c r="D501" s="5">
        <v>49.75</v>
      </c>
      <c r="E501" s="5">
        <v>2716.89</v>
      </c>
      <c r="F501" s="16" t="s">
        <v>440</v>
      </c>
      <c r="G501" s="13">
        <f>AVERAGE(E501:E502)</f>
        <v>2715.01</v>
      </c>
      <c r="H501" s="18">
        <f>STDEV(E501:E502)</f>
        <v>2.6587214972612516</v>
      </c>
      <c r="K501" s="5">
        <f>G501+$J$490</f>
        <v>2704.7550000000006</v>
      </c>
    </row>
    <row r="502" spans="1:11" x14ac:dyDescent="0.2">
      <c r="A502" s="9" t="s">
        <v>11</v>
      </c>
      <c r="B502" s="31">
        <v>45092</v>
      </c>
      <c r="C502" s="10" t="s">
        <v>12</v>
      </c>
      <c r="D502" s="5">
        <v>51.38</v>
      </c>
      <c r="E502" s="5">
        <v>2713.13</v>
      </c>
      <c r="F502" s="16" t="s">
        <v>441</v>
      </c>
    </row>
    <row r="503" spans="1:11" x14ac:dyDescent="0.2">
      <c r="A503" s="9" t="s">
        <v>11</v>
      </c>
      <c r="B503" s="31">
        <v>45093</v>
      </c>
      <c r="C503" s="10" t="s">
        <v>12</v>
      </c>
      <c r="D503" s="5">
        <v>51.01</v>
      </c>
      <c r="E503" s="5">
        <v>2223.71</v>
      </c>
      <c r="F503" s="16" t="s">
        <v>8</v>
      </c>
      <c r="G503" s="13">
        <f>AVERAGE(E503:E504)</f>
        <v>2226.5150000000003</v>
      </c>
      <c r="H503" s="18">
        <f>STDEV(E503:E504)</f>
        <v>3.9668690424566218</v>
      </c>
      <c r="I503" s="3">
        <v>2226.44</v>
      </c>
      <c r="J503" s="4">
        <f>I503-G503</f>
        <v>-7.5000000000272848E-2</v>
      </c>
      <c r="K503" s="5">
        <f>G503+J503</f>
        <v>2226.44</v>
      </c>
    </row>
    <row r="504" spans="1:11" x14ac:dyDescent="0.2">
      <c r="A504" s="9" t="s">
        <v>11</v>
      </c>
      <c r="B504" s="31">
        <v>45093</v>
      </c>
      <c r="C504" s="10" t="s">
        <v>12</v>
      </c>
      <c r="D504" s="5">
        <v>51.14</v>
      </c>
      <c r="E504" s="5">
        <v>2229.3200000000002</v>
      </c>
      <c r="F504" s="16" t="s">
        <v>9</v>
      </c>
    </row>
    <row r="505" spans="1:11" x14ac:dyDescent="0.2">
      <c r="A505" s="9" t="s">
        <v>11</v>
      </c>
      <c r="B505" s="31">
        <v>45092</v>
      </c>
      <c r="C505" s="10" t="s">
        <v>12</v>
      </c>
      <c r="D505" s="5">
        <v>50.1</v>
      </c>
      <c r="E505" s="14">
        <v>2667.86</v>
      </c>
      <c r="F505" s="16" t="s">
        <v>471</v>
      </c>
      <c r="G505" s="13">
        <f>AVERAGE(E506:E507)</f>
        <v>2658.04</v>
      </c>
      <c r="H505" s="18">
        <f>STDEV(E506:E507)</f>
        <v>1.9657568516984221</v>
      </c>
      <c r="K505" s="5">
        <f>G505+$J$490</f>
        <v>2647.7850000000003</v>
      </c>
    </row>
    <row r="506" spans="1:11" x14ac:dyDescent="0.2">
      <c r="A506" s="9" t="s">
        <v>11</v>
      </c>
      <c r="B506" s="31">
        <v>45092</v>
      </c>
      <c r="C506" s="10" t="s">
        <v>12</v>
      </c>
      <c r="D506" s="5">
        <v>49.52</v>
      </c>
      <c r="E506" s="5">
        <v>2656.65</v>
      </c>
      <c r="F506" s="16" t="s">
        <v>472</v>
      </c>
    </row>
    <row r="507" spans="1:11" x14ac:dyDescent="0.2">
      <c r="A507" s="9" t="s">
        <v>11</v>
      </c>
      <c r="B507" s="31">
        <v>45092</v>
      </c>
      <c r="C507" s="10" t="s">
        <v>12</v>
      </c>
      <c r="D507" s="5">
        <v>49.55</v>
      </c>
      <c r="E507" s="5">
        <v>2659.43</v>
      </c>
      <c r="F507" s="16" t="s">
        <v>473</v>
      </c>
    </row>
    <row r="508" spans="1:11" x14ac:dyDescent="0.2">
      <c r="A508" s="9" t="s">
        <v>11</v>
      </c>
      <c r="B508" s="31">
        <v>45092</v>
      </c>
      <c r="C508" s="10" t="s">
        <v>12</v>
      </c>
      <c r="D508" s="5">
        <v>48.88</v>
      </c>
      <c r="E508" s="5">
        <v>2642.93</v>
      </c>
      <c r="F508" s="16" t="s">
        <v>474</v>
      </c>
      <c r="G508" s="13">
        <f>AVERAGE(E508:E509)</f>
        <v>2640.355</v>
      </c>
      <c r="H508" s="18">
        <f>STDEV(E508:E509)</f>
        <v>3.6415999231104625</v>
      </c>
      <c r="K508" s="5">
        <f>G508+$J$490</f>
        <v>2630.1000000000004</v>
      </c>
    </row>
    <row r="509" spans="1:11" x14ac:dyDescent="0.2">
      <c r="A509" s="9" t="s">
        <v>11</v>
      </c>
      <c r="B509" s="31">
        <v>45092</v>
      </c>
      <c r="C509" s="10" t="s">
        <v>12</v>
      </c>
      <c r="D509" s="5">
        <v>50.76</v>
      </c>
      <c r="E509" s="5">
        <v>2637.78</v>
      </c>
      <c r="F509" s="16" t="s">
        <v>475</v>
      </c>
    </row>
    <row r="510" spans="1:11" x14ac:dyDescent="0.2">
      <c r="A510" s="9" t="s">
        <v>11</v>
      </c>
      <c r="B510" s="31">
        <v>45092</v>
      </c>
      <c r="C510" s="10" t="s">
        <v>12</v>
      </c>
      <c r="D510" s="5">
        <v>50.53</v>
      </c>
      <c r="E510" s="5">
        <v>2563.23</v>
      </c>
      <c r="F510" s="16" t="s">
        <v>442</v>
      </c>
      <c r="G510" s="13">
        <f>AVERAGE(E510:E511)</f>
        <v>2560.4749999999999</v>
      </c>
      <c r="H510" s="18">
        <f>STDEV(E510:E511)</f>
        <v>3.8961583643380311</v>
      </c>
      <c r="K510" s="5">
        <f>G510+$J$490</f>
        <v>2550.2200000000003</v>
      </c>
    </row>
    <row r="511" spans="1:11" x14ac:dyDescent="0.2">
      <c r="A511" s="9" t="s">
        <v>11</v>
      </c>
      <c r="B511" s="31">
        <v>45092</v>
      </c>
      <c r="C511" s="10" t="s">
        <v>12</v>
      </c>
      <c r="D511" s="5">
        <v>50.23</v>
      </c>
      <c r="E511" s="5">
        <v>2557.7199999999998</v>
      </c>
      <c r="F511" s="16" t="s">
        <v>443</v>
      </c>
    </row>
    <row r="512" spans="1:11" x14ac:dyDescent="0.2">
      <c r="A512" s="9" t="s">
        <v>11</v>
      </c>
      <c r="B512" s="31">
        <v>45092</v>
      </c>
      <c r="C512" s="10" t="s">
        <v>12</v>
      </c>
      <c r="D512" s="5">
        <v>49.45</v>
      </c>
      <c r="E512" s="5">
        <v>2567.5</v>
      </c>
      <c r="F512" s="16" t="s">
        <v>444</v>
      </c>
      <c r="G512" s="13">
        <f>AVERAGE(E512:E513)</f>
        <v>2567.0150000000003</v>
      </c>
      <c r="H512" s="18">
        <f>STDEV(E512:E513)</f>
        <v>0.68589357775080961</v>
      </c>
      <c r="K512" s="5">
        <f>G512+$J$490</f>
        <v>2556.7600000000007</v>
      </c>
    </row>
    <row r="513" spans="1:11" x14ac:dyDescent="0.2">
      <c r="A513" s="9" t="s">
        <v>11</v>
      </c>
      <c r="B513" s="31">
        <v>45092</v>
      </c>
      <c r="C513" s="10" t="s">
        <v>12</v>
      </c>
      <c r="D513" s="5">
        <v>48.68</v>
      </c>
      <c r="E513" s="5">
        <v>2566.5300000000002</v>
      </c>
      <c r="F513" s="16" t="s">
        <v>445</v>
      </c>
    </row>
    <row r="514" spans="1:11" x14ac:dyDescent="0.2">
      <c r="A514" s="9" t="s">
        <v>11</v>
      </c>
      <c r="B514" s="31">
        <v>45093</v>
      </c>
      <c r="C514" s="10" t="s">
        <v>12</v>
      </c>
      <c r="D514" s="5">
        <v>48.97</v>
      </c>
      <c r="E514" s="5">
        <v>2517.75</v>
      </c>
      <c r="F514" s="16" t="s">
        <v>446</v>
      </c>
      <c r="G514" s="13">
        <f>AVERAGE(E514:E515)</f>
        <v>2517.4049999999997</v>
      </c>
      <c r="H514" s="18">
        <f>STDEV(E514:E515)</f>
        <v>0.48790367901875636</v>
      </c>
      <c r="K514" s="5">
        <f>G514+$J$503</f>
        <v>2517.3299999999995</v>
      </c>
    </row>
    <row r="515" spans="1:11" x14ac:dyDescent="0.2">
      <c r="A515" s="9" t="s">
        <v>11</v>
      </c>
      <c r="B515" s="31">
        <v>45093</v>
      </c>
      <c r="C515" s="10" t="s">
        <v>12</v>
      </c>
      <c r="D515" s="5">
        <v>49.58</v>
      </c>
      <c r="E515" s="5">
        <v>2517.06</v>
      </c>
      <c r="F515" s="16" t="s">
        <v>447</v>
      </c>
    </row>
    <row r="516" spans="1:11" x14ac:dyDescent="0.2">
      <c r="A516" s="9" t="s">
        <v>11</v>
      </c>
      <c r="B516" s="31">
        <v>45093</v>
      </c>
      <c r="C516" s="10" t="s">
        <v>12</v>
      </c>
      <c r="D516" s="5" t="s">
        <v>153</v>
      </c>
      <c r="E516" s="5" t="s">
        <v>153</v>
      </c>
      <c r="F516" s="16" t="s">
        <v>448</v>
      </c>
      <c r="G516" s="13" t="s">
        <v>153</v>
      </c>
      <c r="H516" s="18" t="s">
        <v>153</v>
      </c>
      <c r="K516" s="5" t="s">
        <v>153</v>
      </c>
    </row>
    <row r="517" spans="1:11" x14ac:dyDescent="0.2">
      <c r="A517" s="9" t="s">
        <v>11</v>
      </c>
      <c r="B517" s="31">
        <v>45093</v>
      </c>
      <c r="C517" s="10" t="s">
        <v>12</v>
      </c>
      <c r="D517" s="5" t="s">
        <v>153</v>
      </c>
      <c r="E517" s="5" t="s">
        <v>153</v>
      </c>
      <c r="F517" s="16" t="s">
        <v>449</v>
      </c>
    </row>
    <row r="518" spans="1:11" x14ac:dyDescent="0.2">
      <c r="A518" s="9" t="s">
        <v>11</v>
      </c>
      <c r="B518" s="31">
        <v>45093</v>
      </c>
      <c r="C518" s="10" t="s">
        <v>12</v>
      </c>
      <c r="D518" s="5" t="s">
        <v>153</v>
      </c>
      <c r="E518" s="5" t="s">
        <v>153</v>
      </c>
      <c r="F518" s="16" t="s">
        <v>450</v>
      </c>
    </row>
    <row r="519" spans="1:11" x14ac:dyDescent="0.2">
      <c r="A519" s="9" t="s">
        <v>11</v>
      </c>
      <c r="B519" s="31">
        <v>45093</v>
      </c>
      <c r="C519" s="10" t="s">
        <v>12</v>
      </c>
      <c r="D519" s="5">
        <v>50.4</v>
      </c>
      <c r="E519" s="5">
        <v>2507.29</v>
      </c>
      <c r="F519" s="16" t="s">
        <v>451</v>
      </c>
      <c r="G519" s="13">
        <f>AVERAGE(E519,E521)</f>
        <v>2506.02</v>
      </c>
      <c r="H519" s="18">
        <f>STDEV(E519,E521)</f>
        <v>1.7960512242138049</v>
      </c>
      <c r="K519" s="5">
        <f>G519+$J$503</f>
        <v>2505.9449999999997</v>
      </c>
    </row>
    <row r="520" spans="1:11" x14ac:dyDescent="0.2">
      <c r="A520" s="9" t="s">
        <v>11</v>
      </c>
      <c r="B520" s="31">
        <v>45093</v>
      </c>
      <c r="C520" s="10" t="s">
        <v>12</v>
      </c>
      <c r="D520" s="5">
        <v>49.48</v>
      </c>
      <c r="E520" s="14">
        <v>2496.6</v>
      </c>
      <c r="F520" s="16" t="s">
        <v>452</v>
      </c>
    </row>
    <row r="521" spans="1:11" x14ac:dyDescent="0.2">
      <c r="A521" s="9" t="s">
        <v>11</v>
      </c>
      <c r="B521" s="31">
        <v>45093</v>
      </c>
      <c r="C521" s="10" t="s">
        <v>12</v>
      </c>
      <c r="D521" s="5">
        <v>48.81</v>
      </c>
      <c r="E521" s="5">
        <v>2504.75</v>
      </c>
      <c r="F521" s="16" t="s">
        <v>453</v>
      </c>
    </row>
    <row r="522" spans="1:11" x14ac:dyDescent="0.2">
      <c r="A522" s="9" t="s">
        <v>11</v>
      </c>
      <c r="B522" s="31">
        <v>45093</v>
      </c>
      <c r="C522" s="10" t="s">
        <v>12</v>
      </c>
      <c r="D522" s="5">
        <v>48.83</v>
      </c>
      <c r="E522" s="5">
        <v>2568.86</v>
      </c>
      <c r="F522" s="16" t="s">
        <v>454</v>
      </c>
      <c r="G522" s="13">
        <f>AVERAGE(E522,E524)</f>
        <v>2567.92</v>
      </c>
      <c r="H522" s="18">
        <f>STDEV(E522,E524)</f>
        <v>1.3293607486307866</v>
      </c>
      <c r="K522" s="5">
        <f>G522+$J$503</f>
        <v>2567.8449999999998</v>
      </c>
    </row>
    <row r="523" spans="1:11" x14ac:dyDescent="0.2">
      <c r="A523" s="9" t="s">
        <v>11</v>
      </c>
      <c r="B523" s="31">
        <v>45093</v>
      </c>
      <c r="C523" s="10" t="s">
        <v>12</v>
      </c>
      <c r="D523" s="5">
        <v>51.07</v>
      </c>
      <c r="E523" s="14">
        <v>2558.5700000000002</v>
      </c>
      <c r="F523" s="16" t="s">
        <v>455</v>
      </c>
    </row>
    <row r="524" spans="1:11" x14ac:dyDescent="0.2">
      <c r="A524" s="9" t="s">
        <v>11</v>
      </c>
      <c r="B524" s="31">
        <v>45093</v>
      </c>
      <c r="C524" s="10" t="s">
        <v>12</v>
      </c>
      <c r="D524" s="5">
        <v>49.28</v>
      </c>
      <c r="E524" s="5">
        <v>2566.98</v>
      </c>
      <c r="F524" s="16" t="s">
        <v>456</v>
      </c>
    </row>
    <row r="525" spans="1:11" x14ac:dyDescent="0.2">
      <c r="A525" s="9" t="s">
        <v>11</v>
      </c>
      <c r="B525" s="31">
        <v>45093</v>
      </c>
      <c r="C525" s="10" t="s">
        <v>12</v>
      </c>
      <c r="D525" s="5">
        <v>50.65</v>
      </c>
      <c r="E525" s="5">
        <v>2515.42</v>
      </c>
      <c r="F525" s="16" t="s">
        <v>457</v>
      </c>
      <c r="G525" s="13">
        <f>AVERAGE(E525:E526)</f>
        <v>2516.4650000000001</v>
      </c>
      <c r="H525" s="18">
        <f>STDEV(E525:E526)</f>
        <v>1.4778531726799873</v>
      </c>
      <c r="K525" s="5">
        <f>G525+$J$503</f>
        <v>2516.39</v>
      </c>
    </row>
    <row r="526" spans="1:11" x14ac:dyDescent="0.2">
      <c r="A526" s="9" t="s">
        <v>11</v>
      </c>
      <c r="B526" s="31">
        <v>45093</v>
      </c>
      <c r="C526" s="10" t="s">
        <v>12</v>
      </c>
      <c r="D526" s="5">
        <v>49.4</v>
      </c>
      <c r="E526" s="5">
        <v>2517.5100000000002</v>
      </c>
      <c r="F526" s="16" t="s">
        <v>458</v>
      </c>
    </row>
    <row r="527" spans="1:11" x14ac:dyDescent="0.2">
      <c r="A527" s="9" t="s">
        <v>11</v>
      </c>
      <c r="B527" s="31">
        <v>45093</v>
      </c>
      <c r="C527" s="10" t="s">
        <v>12</v>
      </c>
      <c r="D527" s="5">
        <v>50.65</v>
      </c>
      <c r="E527" s="5">
        <v>2632.19</v>
      </c>
      <c r="F527" s="16" t="s">
        <v>459</v>
      </c>
      <c r="G527" s="13">
        <f>AVERAGE(E527:E528)</f>
        <v>2633.46</v>
      </c>
      <c r="H527" s="18">
        <f>STDEV(E527:E528)</f>
        <v>1.7960512242138049</v>
      </c>
      <c r="K527" s="5">
        <f>G527+$J$503</f>
        <v>2633.3849999999998</v>
      </c>
    </row>
    <row r="528" spans="1:11" x14ac:dyDescent="0.2">
      <c r="A528" s="9" t="s">
        <v>11</v>
      </c>
      <c r="B528" s="31">
        <v>45093</v>
      </c>
      <c r="C528" s="10" t="s">
        <v>12</v>
      </c>
      <c r="D528" s="5">
        <v>49.16</v>
      </c>
      <c r="E528" s="5">
        <v>2634.73</v>
      </c>
      <c r="F528" s="16" t="s">
        <v>460</v>
      </c>
    </row>
    <row r="529" spans="1:12" x14ac:dyDescent="0.2">
      <c r="A529" s="15" t="s">
        <v>11</v>
      </c>
      <c r="B529" s="31">
        <v>45096</v>
      </c>
      <c r="C529" s="10" t="s">
        <v>12</v>
      </c>
      <c r="D529" s="5">
        <v>47.84</v>
      </c>
      <c r="E529" s="14">
        <v>2289.73</v>
      </c>
      <c r="F529" s="16" t="s">
        <v>8</v>
      </c>
      <c r="G529" s="13">
        <f>AVERAGE(E530:E531)</f>
        <v>2232.855</v>
      </c>
      <c r="H529" s="18">
        <f>STDEV(E530:E531)</f>
        <v>3.387041481883537</v>
      </c>
      <c r="I529" s="3">
        <v>2226.44</v>
      </c>
      <c r="J529" s="4">
        <f>I529-G529</f>
        <v>-6.4149999999999636</v>
      </c>
      <c r="K529" s="5">
        <f>G529+J529</f>
        <v>2226.44</v>
      </c>
      <c r="L529" s="2" t="s">
        <v>94</v>
      </c>
    </row>
    <row r="530" spans="1:12" x14ac:dyDescent="0.2">
      <c r="A530" s="15" t="s">
        <v>11</v>
      </c>
      <c r="B530" s="31">
        <v>45096</v>
      </c>
      <c r="C530" s="10" t="s">
        <v>12</v>
      </c>
      <c r="D530" s="5">
        <v>49.84</v>
      </c>
      <c r="E530" s="5">
        <v>2235.25</v>
      </c>
      <c r="F530" s="16" t="s">
        <v>9</v>
      </c>
    </row>
    <row r="531" spans="1:12" x14ac:dyDescent="0.2">
      <c r="A531" s="15" t="s">
        <v>11</v>
      </c>
      <c r="B531" s="31">
        <v>45096</v>
      </c>
      <c r="C531" s="10" t="s">
        <v>12</v>
      </c>
      <c r="D531" s="5">
        <v>49.74</v>
      </c>
      <c r="E531" s="5">
        <v>2230.46</v>
      </c>
      <c r="F531" s="16" t="s">
        <v>96</v>
      </c>
    </row>
    <row r="532" spans="1:12" x14ac:dyDescent="0.2">
      <c r="A532" s="15" t="s">
        <v>11</v>
      </c>
      <c r="B532" s="31">
        <v>45096</v>
      </c>
      <c r="C532" s="10" t="s">
        <v>12</v>
      </c>
      <c r="D532" s="5">
        <v>51.05</v>
      </c>
      <c r="E532" s="5">
        <v>2715.31</v>
      </c>
      <c r="F532" s="16" t="s">
        <v>476</v>
      </c>
      <c r="G532" s="13">
        <f>AVERAGE(E532,E534)</f>
        <v>2715.12</v>
      </c>
      <c r="H532" s="18">
        <f>STDEV(E532,E534)</f>
        <v>0.26870057685096521</v>
      </c>
      <c r="K532" s="5">
        <f>G532+$J$529</f>
        <v>2708.7049999999999</v>
      </c>
    </row>
    <row r="533" spans="1:12" x14ac:dyDescent="0.2">
      <c r="A533" s="15" t="s">
        <v>11</v>
      </c>
      <c r="B533" s="31">
        <v>45096</v>
      </c>
      <c r="C533" s="10" t="s">
        <v>12</v>
      </c>
      <c r="D533" s="5">
        <v>51.15</v>
      </c>
      <c r="E533" s="14">
        <v>2703.06</v>
      </c>
      <c r="F533" s="16" t="s">
        <v>477</v>
      </c>
    </row>
    <row r="534" spans="1:12" x14ac:dyDescent="0.2">
      <c r="A534" s="15" t="s">
        <v>11</v>
      </c>
      <c r="B534" s="31">
        <v>45096</v>
      </c>
      <c r="C534" s="10" t="s">
        <v>12</v>
      </c>
      <c r="D534" s="5">
        <v>51.33</v>
      </c>
      <c r="E534" s="5">
        <v>2714.93</v>
      </c>
      <c r="F534" s="16" t="s">
        <v>478</v>
      </c>
    </row>
    <row r="535" spans="1:12" x14ac:dyDescent="0.2">
      <c r="A535" s="15" t="s">
        <v>11</v>
      </c>
      <c r="B535" s="31">
        <v>45096</v>
      </c>
      <c r="C535" s="10" t="s">
        <v>12</v>
      </c>
      <c r="D535" s="5">
        <v>49.91</v>
      </c>
      <c r="E535" s="5">
        <v>2713.86</v>
      </c>
      <c r="F535" s="16" t="s">
        <v>479</v>
      </c>
      <c r="G535" s="13">
        <f>AVERAGE(E535:E536)</f>
        <v>2712.165</v>
      </c>
      <c r="H535" s="18">
        <f>STDEV(E535:E536)</f>
        <v>2.3970919882226274</v>
      </c>
      <c r="K535" s="5">
        <f>G535+$J$529</f>
        <v>2705.75</v>
      </c>
    </row>
    <row r="536" spans="1:12" x14ac:dyDescent="0.2">
      <c r="A536" s="15" t="s">
        <v>11</v>
      </c>
      <c r="B536" s="31">
        <v>45096</v>
      </c>
      <c r="C536" s="10" t="s">
        <v>12</v>
      </c>
      <c r="D536" s="5">
        <v>50.17</v>
      </c>
      <c r="E536" s="5">
        <v>2710.47</v>
      </c>
      <c r="F536" s="16" t="s">
        <v>480</v>
      </c>
    </row>
    <row r="537" spans="1:12" x14ac:dyDescent="0.2">
      <c r="A537" s="15" t="s">
        <v>11</v>
      </c>
      <c r="B537" s="31">
        <v>45096</v>
      </c>
      <c r="C537" s="10" t="s">
        <v>12</v>
      </c>
      <c r="D537" s="5">
        <v>50.84</v>
      </c>
      <c r="E537" s="5">
        <v>2603.8000000000002</v>
      </c>
      <c r="F537" s="16" t="s">
        <v>481</v>
      </c>
      <c r="G537" s="13">
        <f>AVERAGE(E537:E538)</f>
        <v>2604.88</v>
      </c>
      <c r="H537" s="18">
        <f>STDEV(E537:E538)</f>
        <v>1.5273506473628398</v>
      </c>
      <c r="K537" s="5">
        <f>G537+$J$529</f>
        <v>2598.4650000000001</v>
      </c>
    </row>
    <row r="538" spans="1:12" x14ac:dyDescent="0.2">
      <c r="A538" s="15" t="s">
        <v>11</v>
      </c>
      <c r="B538" s="31">
        <v>45096</v>
      </c>
      <c r="C538" s="10" t="s">
        <v>12</v>
      </c>
      <c r="D538" s="5">
        <v>50.31</v>
      </c>
      <c r="E538" s="5">
        <v>2605.96</v>
      </c>
      <c r="F538" s="16" t="s">
        <v>482</v>
      </c>
    </row>
    <row r="539" spans="1:12" x14ac:dyDescent="0.2">
      <c r="A539" s="15" t="s">
        <v>11</v>
      </c>
      <c r="B539" s="31">
        <v>45096</v>
      </c>
      <c r="C539" s="10" t="s">
        <v>12</v>
      </c>
      <c r="D539" s="5">
        <v>51.51</v>
      </c>
      <c r="E539" s="5">
        <v>2699.83</v>
      </c>
      <c r="F539" s="16" t="s">
        <v>483</v>
      </c>
      <c r="G539" s="13">
        <f>AVERAGE(E539,E541)</f>
        <v>2700.51</v>
      </c>
      <c r="H539" s="18">
        <f>STDEV(E539,E541)</f>
        <v>0.96166522241379471</v>
      </c>
      <c r="K539" s="5">
        <f>G539+$J$529</f>
        <v>2694.0950000000003</v>
      </c>
    </row>
    <row r="540" spans="1:12" x14ac:dyDescent="0.2">
      <c r="A540" s="15" t="s">
        <v>11</v>
      </c>
      <c r="B540" s="31">
        <v>45096</v>
      </c>
      <c r="C540" s="10" t="s">
        <v>12</v>
      </c>
      <c r="D540" s="5">
        <v>49.63</v>
      </c>
      <c r="E540" s="14">
        <v>2712.05</v>
      </c>
      <c r="F540" s="16" t="s">
        <v>484</v>
      </c>
    </row>
    <row r="541" spans="1:12" x14ac:dyDescent="0.2">
      <c r="A541" s="15" t="s">
        <v>11</v>
      </c>
      <c r="B541" s="31">
        <v>45096</v>
      </c>
      <c r="C541" s="10" t="s">
        <v>12</v>
      </c>
      <c r="D541" s="5">
        <v>49.62</v>
      </c>
      <c r="E541" s="5">
        <v>2701.19</v>
      </c>
      <c r="F541" s="16" t="s">
        <v>485</v>
      </c>
    </row>
    <row r="542" spans="1:12" x14ac:dyDescent="0.2">
      <c r="A542" s="15" t="s">
        <v>11</v>
      </c>
      <c r="B542" s="31">
        <v>45096</v>
      </c>
      <c r="C542" s="10" t="s">
        <v>12</v>
      </c>
      <c r="D542" s="5">
        <v>49.51</v>
      </c>
      <c r="E542" s="5">
        <v>2692.09</v>
      </c>
      <c r="F542" s="16" t="s">
        <v>486</v>
      </c>
      <c r="G542" s="13">
        <f>AVERAGE(E542:E543)</f>
        <v>2688.82</v>
      </c>
      <c r="H542" s="18">
        <f>STDEV(E542:E543)</f>
        <v>4.624478348959995</v>
      </c>
      <c r="K542" s="5">
        <f>G542+$J$529</f>
        <v>2682.4050000000002</v>
      </c>
    </row>
    <row r="543" spans="1:12" x14ac:dyDescent="0.2">
      <c r="A543" s="15" t="s">
        <v>11</v>
      </c>
      <c r="B543" s="31">
        <v>45096</v>
      </c>
      <c r="C543" s="10" t="s">
        <v>12</v>
      </c>
      <c r="D543" s="5">
        <v>51.95</v>
      </c>
      <c r="E543" s="5">
        <v>2685.55</v>
      </c>
      <c r="F543" s="16" t="s">
        <v>487</v>
      </c>
    </row>
    <row r="544" spans="1:12" x14ac:dyDescent="0.2">
      <c r="A544" s="15" t="s">
        <v>11</v>
      </c>
      <c r="B544" s="31">
        <v>45096</v>
      </c>
      <c r="C544" s="10" t="s">
        <v>12</v>
      </c>
      <c r="D544" s="5">
        <v>51.54</v>
      </c>
      <c r="E544" s="5">
        <v>2709.31</v>
      </c>
      <c r="F544" s="16" t="s">
        <v>488</v>
      </c>
      <c r="G544" s="13">
        <f>AVERAGE(E544:E545)</f>
        <v>2709.2449999999999</v>
      </c>
      <c r="H544" s="18">
        <f>STDEV(E544:E545)</f>
        <v>9.1923881554328346E-2</v>
      </c>
      <c r="K544" s="5">
        <f>G544+$J$529</f>
        <v>2702.83</v>
      </c>
    </row>
    <row r="545" spans="1:12" x14ac:dyDescent="0.2">
      <c r="A545" s="15" t="s">
        <v>11</v>
      </c>
      <c r="B545" s="31">
        <v>45096</v>
      </c>
      <c r="C545" s="10" t="s">
        <v>12</v>
      </c>
      <c r="D545" s="5">
        <v>50.78</v>
      </c>
      <c r="E545" s="5">
        <v>2709.18</v>
      </c>
      <c r="F545" s="16" t="s">
        <v>489</v>
      </c>
    </row>
    <row r="546" spans="1:12" x14ac:dyDescent="0.2">
      <c r="A546" s="15" t="s">
        <v>11</v>
      </c>
      <c r="B546" s="31">
        <v>45096</v>
      </c>
      <c r="C546" s="10" t="s">
        <v>12</v>
      </c>
      <c r="D546" s="5">
        <v>51.56</v>
      </c>
      <c r="E546" s="5">
        <v>2672.65</v>
      </c>
      <c r="F546" s="16" t="s">
        <v>490</v>
      </c>
      <c r="G546" s="13">
        <f>AVERAGE(E546:E547)</f>
        <v>2673.2250000000004</v>
      </c>
      <c r="H546" s="18">
        <f>STDEV(E546:E547)</f>
        <v>0.813172798364594</v>
      </c>
      <c r="K546" s="5">
        <f>G546+$J$529</f>
        <v>2666.8100000000004</v>
      </c>
    </row>
    <row r="547" spans="1:12" x14ac:dyDescent="0.2">
      <c r="A547" s="15" t="s">
        <v>11</v>
      </c>
      <c r="B547" s="31">
        <v>45096</v>
      </c>
      <c r="C547" s="10" t="s">
        <v>12</v>
      </c>
      <c r="D547" s="5">
        <v>52.15</v>
      </c>
      <c r="E547" s="5">
        <v>2673.8</v>
      </c>
      <c r="F547" s="16" t="s">
        <v>491</v>
      </c>
    </row>
    <row r="548" spans="1:12" x14ac:dyDescent="0.2">
      <c r="A548" s="15" t="s">
        <v>11</v>
      </c>
      <c r="B548" s="31">
        <v>45097</v>
      </c>
      <c r="C548" s="10" t="s">
        <v>12</v>
      </c>
      <c r="D548" s="5">
        <v>48.87</v>
      </c>
      <c r="E548" s="5">
        <v>2704.4</v>
      </c>
      <c r="F548" s="16" t="s">
        <v>492</v>
      </c>
      <c r="G548" s="13">
        <f>AVERAGE(E548,E550)</f>
        <v>2701.8249999999998</v>
      </c>
      <c r="H548" s="18">
        <f>STDEV(E548,E550)</f>
        <v>3.6415999231107841</v>
      </c>
      <c r="K548" s="5">
        <f>G548+$J$555</f>
        <v>2689.5349999999999</v>
      </c>
    </row>
    <row r="549" spans="1:12" x14ac:dyDescent="0.2">
      <c r="A549" s="15" t="s">
        <v>11</v>
      </c>
      <c r="B549" s="31">
        <v>45097</v>
      </c>
      <c r="C549" s="10" t="s">
        <v>12</v>
      </c>
      <c r="D549" s="5">
        <v>52.52</v>
      </c>
      <c r="E549" s="14">
        <v>2683.22</v>
      </c>
      <c r="F549" s="16" t="s">
        <v>493</v>
      </c>
    </row>
    <row r="550" spans="1:12" x14ac:dyDescent="0.2">
      <c r="A550" s="15" t="s">
        <v>11</v>
      </c>
      <c r="B550" s="31">
        <v>45097</v>
      </c>
      <c r="C550" s="10" t="s">
        <v>12</v>
      </c>
      <c r="D550" s="5">
        <v>49.36</v>
      </c>
      <c r="E550" s="5">
        <v>2699.25</v>
      </c>
      <c r="F550" s="16" t="s">
        <v>494</v>
      </c>
    </row>
    <row r="551" spans="1:12" x14ac:dyDescent="0.2">
      <c r="A551" s="15" t="s">
        <v>11</v>
      </c>
      <c r="B551" s="31">
        <v>45097</v>
      </c>
      <c r="C551" s="10" t="s">
        <v>12</v>
      </c>
      <c r="D551" s="5">
        <v>51.3</v>
      </c>
      <c r="E551" s="5">
        <v>2640.94</v>
      </c>
      <c r="F551" s="16" t="s">
        <v>495</v>
      </c>
      <c r="G551" s="13">
        <f>AVERAGE(E551:E552)</f>
        <v>2638.4750000000004</v>
      </c>
      <c r="H551" s="18">
        <f>STDEV(E551:E552)</f>
        <v>3.4860364312495635</v>
      </c>
      <c r="K551" s="5">
        <f>G551+$J$555</f>
        <v>2626.1850000000004</v>
      </c>
    </row>
    <row r="552" spans="1:12" x14ac:dyDescent="0.2">
      <c r="A552" s="15" t="s">
        <v>11</v>
      </c>
      <c r="B552" s="31">
        <v>45097</v>
      </c>
      <c r="C552" s="10" t="s">
        <v>12</v>
      </c>
      <c r="D552" s="5">
        <v>51.34</v>
      </c>
      <c r="E552" s="5">
        <v>2636.01</v>
      </c>
      <c r="F552" s="16" t="s">
        <v>496</v>
      </c>
    </row>
    <row r="553" spans="1:12" x14ac:dyDescent="0.2">
      <c r="A553" s="15" t="s">
        <v>11</v>
      </c>
      <c r="B553" s="31">
        <v>45097</v>
      </c>
      <c r="C553" s="10" t="s">
        <v>12</v>
      </c>
      <c r="D553" s="5">
        <v>50.11</v>
      </c>
      <c r="E553" s="5">
        <v>2711.66</v>
      </c>
      <c r="F553" s="16" t="s">
        <v>497</v>
      </c>
      <c r="G553" s="13">
        <f>AVERAGE(E553:E554)</f>
        <v>2712.0249999999996</v>
      </c>
      <c r="H553" s="18">
        <f>STDEV(E553:E554)</f>
        <v>0.51618795026619257</v>
      </c>
      <c r="K553" s="5">
        <f>G553+$J$555</f>
        <v>2699.7349999999997</v>
      </c>
    </row>
    <row r="554" spans="1:12" x14ac:dyDescent="0.2">
      <c r="A554" s="15" t="s">
        <v>11</v>
      </c>
      <c r="B554" s="31">
        <v>45097</v>
      </c>
      <c r="C554" s="10" t="s">
        <v>12</v>
      </c>
      <c r="D554" s="5">
        <v>48.8</v>
      </c>
      <c r="E554" s="5">
        <v>2712.39</v>
      </c>
      <c r="F554" s="16" t="s">
        <v>498</v>
      </c>
    </row>
    <row r="555" spans="1:12" x14ac:dyDescent="0.2">
      <c r="A555" s="15" t="s">
        <v>11</v>
      </c>
      <c r="B555" s="31">
        <v>45097</v>
      </c>
      <c r="C555" s="10" t="s">
        <v>12</v>
      </c>
      <c r="D555" s="5">
        <v>51.36</v>
      </c>
      <c r="E555" s="5">
        <v>2239.0100000000002</v>
      </c>
      <c r="F555" s="16" t="s">
        <v>8</v>
      </c>
      <c r="G555" s="13">
        <f>AVERAGE(E555,E557)</f>
        <v>2238.73</v>
      </c>
      <c r="H555" s="18">
        <f>STDEV(E555,E557)</f>
        <v>0.39597979746474959</v>
      </c>
      <c r="I555" s="3">
        <v>2226.44</v>
      </c>
      <c r="J555" s="4">
        <f>I555-G555</f>
        <v>-12.289999999999964</v>
      </c>
      <c r="K555" s="5">
        <f>G555+J555</f>
        <v>2226.44</v>
      </c>
      <c r="L555" s="2" t="s">
        <v>94</v>
      </c>
    </row>
    <row r="556" spans="1:12" x14ac:dyDescent="0.2">
      <c r="A556" s="15" t="s">
        <v>11</v>
      </c>
      <c r="B556" s="31">
        <v>45097</v>
      </c>
      <c r="C556" s="10" t="s">
        <v>12</v>
      </c>
      <c r="D556" s="5">
        <v>50.73</v>
      </c>
      <c r="E556" s="14">
        <v>2231.81</v>
      </c>
      <c r="F556" s="16" t="s">
        <v>9</v>
      </c>
    </row>
    <row r="557" spans="1:12" x14ac:dyDescent="0.2">
      <c r="A557" s="15" t="s">
        <v>11</v>
      </c>
      <c r="B557" s="31">
        <v>45097</v>
      </c>
      <c r="C557" s="10" t="s">
        <v>12</v>
      </c>
      <c r="D557" s="5">
        <v>50.26</v>
      </c>
      <c r="E557" s="5">
        <v>2238.4499999999998</v>
      </c>
      <c r="F557" s="16" t="s">
        <v>96</v>
      </c>
    </row>
    <row r="558" spans="1:12" x14ac:dyDescent="0.2">
      <c r="A558" s="15" t="s">
        <v>11</v>
      </c>
      <c r="B558" s="31">
        <v>45097</v>
      </c>
      <c r="C558" s="10" t="s">
        <v>12</v>
      </c>
      <c r="D558" s="5">
        <v>51.47</v>
      </c>
      <c r="E558" s="5">
        <v>2690.61</v>
      </c>
      <c r="F558" s="16" t="s">
        <v>499</v>
      </c>
      <c r="G558" s="13">
        <f>AVERAGE(E558:E559)</f>
        <v>2690.6800000000003</v>
      </c>
      <c r="H558" s="18">
        <f>STDEV(E558:E559)</f>
        <v>9.8994949366026611E-2</v>
      </c>
      <c r="K558" s="5">
        <f>G558+$J$555</f>
        <v>2678.3900000000003</v>
      </c>
    </row>
    <row r="559" spans="1:12" x14ac:dyDescent="0.2">
      <c r="A559" s="15" t="s">
        <v>11</v>
      </c>
      <c r="B559" s="31">
        <v>45097</v>
      </c>
      <c r="C559" s="10" t="s">
        <v>12</v>
      </c>
      <c r="D559" s="5">
        <v>50.06</v>
      </c>
      <c r="E559" s="5">
        <v>2690.75</v>
      </c>
      <c r="F559" s="16" t="s">
        <v>500</v>
      </c>
    </row>
    <row r="560" spans="1:12" x14ac:dyDescent="0.2">
      <c r="A560" s="15" t="s">
        <v>11</v>
      </c>
      <c r="B560" s="31">
        <v>45097</v>
      </c>
      <c r="C560" s="10" t="s">
        <v>12</v>
      </c>
      <c r="D560" s="5">
        <v>50.17</v>
      </c>
      <c r="E560" s="5">
        <v>2691.62</v>
      </c>
      <c r="F560" s="16" t="s">
        <v>501</v>
      </c>
      <c r="G560" s="13">
        <f>AVERAGE(E560:E561)</f>
        <v>2689.1549999999997</v>
      </c>
      <c r="H560" s="18">
        <f>STDEV(E560:E561)</f>
        <v>3.4860364312495635</v>
      </c>
      <c r="K560" s="5">
        <f>G560+$J$555</f>
        <v>2676.8649999999998</v>
      </c>
    </row>
    <row r="561" spans="1:12" x14ac:dyDescent="0.2">
      <c r="A561" s="15" t="s">
        <v>11</v>
      </c>
      <c r="B561" s="31">
        <v>45097</v>
      </c>
      <c r="C561" s="10" t="s">
        <v>12</v>
      </c>
      <c r="D561" s="5">
        <v>48.26</v>
      </c>
      <c r="E561" s="5">
        <v>2686.69</v>
      </c>
      <c r="F561" s="16" t="s">
        <v>502</v>
      </c>
    </row>
    <row r="562" spans="1:12" x14ac:dyDescent="0.2">
      <c r="A562" s="15" t="s">
        <v>11</v>
      </c>
      <c r="B562" s="31">
        <v>45097</v>
      </c>
      <c r="C562" s="10" t="s">
        <v>12</v>
      </c>
      <c r="D562" s="5">
        <v>50.08</v>
      </c>
      <c r="E562" s="14">
        <v>2557.08</v>
      </c>
      <c r="F562" s="16" t="s">
        <v>503</v>
      </c>
      <c r="G562" s="13">
        <f>AVERAGE(E563:E564)</f>
        <v>2536</v>
      </c>
      <c r="H562" s="18">
        <f>STDEV(E563:E564)</f>
        <v>3.450681092190429</v>
      </c>
      <c r="K562" s="5">
        <f>G562+$J$555</f>
        <v>2523.71</v>
      </c>
    </row>
    <row r="563" spans="1:12" x14ac:dyDescent="0.2">
      <c r="A563" s="15" t="s">
        <v>11</v>
      </c>
      <c r="B563" s="31">
        <v>45097</v>
      </c>
      <c r="C563" s="10" t="s">
        <v>12</v>
      </c>
      <c r="D563" s="5">
        <v>50.13</v>
      </c>
      <c r="E563" s="5">
        <v>2533.56</v>
      </c>
      <c r="F563" s="16" t="s">
        <v>504</v>
      </c>
    </row>
    <row r="564" spans="1:12" x14ac:dyDescent="0.2">
      <c r="A564" s="15" t="s">
        <v>11</v>
      </c>
      <c r="B564" s="31">
        <v>45097</v>
      </c>
      <c r="C564" s="10" t="s">
        <v>12</v>
      </c>
      <c r="D564" s="5">
        <v>50.27</v>
      </c>
      <c r="E564" s="5">
        <v>2538.44</v>
      </c>
      <c r="F564" s="16" t="s">
        <v>505</v>
      </c>
    </row>
    <row r="565" spans="1:12" x14ac:dyDescent="0.2">
      <c r="A565" s="15" t="s">
        <v>11</v>
      </c>
      <c r="B565" s="31">
        <v>45097</v>
      </c>
      <c r="C565" s="10" t="s">
        <v>12</v>
      </c>
      <c r="D565" s="5">
        <v>49.95</v>
      </c>
      <c r="E565" s="5">
        <v>2543.7600000000002</v>
      </c>
      <c r="F565" s="16" t="s">
        <v>506</v>
      </c>
      <c r="G565" s="13">
        <f>AVERAGE(E565,E567)</f>
        <v>2541.835</v>
      </c>
      <c r="H565" s="18">
        <f>STDEV(E565,E567)</f>
        <v>2.7223611075684651</v>
      </c>
      <c r="K565" s="5">
        <f>G565+$J$555</f>
        <v>2529.5450000000001</v>
      </c>
    </row>
    <row r="566" spans="1:12" x14ac:dyDescent="0.2">
      <c r="A566" s="15" t="s">
        <v>11</v>
      </c>
      <c r="B566" s="31">
        <v>45097</v>
      </c>
      <c r="C566" s="10" t="s">
        <v>12</v>
      </c>
      <c r="D566" s="5">
        <v>50.02</v>
      </c>
      <c r="E566" s="14">
        <v>2532.9699999999998</v>
      </c>
      <c r="F566" s="16" t="s">
        <v>507</v>
      </c>
    </row>
    <row r="567" spans="1:12" x14ac:dyDescent="0.2">
      <c r="A567" s="15" t="s">
        <v>11</v>
      </c>
      <c r="B567" s="31">
        <v>45097</v>
      </c>
      <c r="C567" s="10" t="s">
        <v>12</v>
      </c>
      <c r="D567" s="5">
        <v>50.06</v>
      </c>
      <c r="E567" s="5">
        <v>2539.91</v>
      </c>
      <c r="F567" s="16" t="s">
        <v>508</v>
      </c>
    </row>
    <row r="568" spans="1:12" x14ac:dyDescent="0.2">
      <c r="A568" s="15" t="s">
        <v>11</v>
      </c>
      <c r="B568" s="31">
        <v>45097</v>
      </c>
      <c r="C568" s="10" t="s">
        <v>12</v>
      </c>
      <c r="D568" s="5">
        <v>50.55</v>
      </c>
      <c r="E568" s="5">
        <v>2542.6</v>
      </c>
      <c r="F568" s="16" t="s">
        <v>509</v>
      </c>
      <c r="G568" s="13">
        <f>AVERAGE(E568,E570)</f>
        <v>2540.7649999999999</v>
      </c>
      <c r="H568" s="18">
        <f>STDEV(E568,E570)</f>
        <v>2.5950818869546808</v>
      </c>
      <c r="K568" s="5">
        <f>G568+$J$555</f>
        <v>2528.4749999999999</v>
      </c>
    </row>
    <row r="569" spans="1:12" x14ac:dyDescent="0.2">
      <c r="A569" s="15" t="s">
        <v>11</v>
      </c>
      <c r="B569" s="31">
        <v>45097</v>
      </c>
      <c r="C569" s="10" t="s">
        <v>12</v>
      </c>
      <c r="D569" s="5">
        <v>48.6</v>
      </c>
      <c r="E569" s="14">
        <v>2526.31</v>
      </c>
      <c r="F569" s="16" t="s">
        <v>510</v>
      </c>
    </row>
    <row r="570" spans="1:12" x14ac:dyDescent="0.2">
      <c r="A570" s="15" t="s">
        <v>11</v>
      </c>
      <c r="B570" s="31">
        <v>45097</v>
      </c>
      <c r="C570" s="10" t="s">
        <v>12</v>
      </c>
      <c r="D570" s="5">
        <v>50.59</v>
      </c>
      <c r="E570" s="5">
        <v>2538.9299999999998</v>
      </c>
      <c r="F570" s="16" t="s">
        <v>511</v>
      </c>
    </row>
    <row r="571" spans="1:12" x14ac:dyDescent="0.2">
      <c r="A571" s="15" t="s">
        <v>11</v>
      </c>
      <c r="B571" s="31">
        <v>45097</v>
      </c>
      <c r="C571" s="10" t="s">
        <v>12</v>
      </c>
      <c r="D571" s="5">
        <v>50.83</v>
      </c>
      <c r="E571" s="5">
        <v>2701.73</v>
      </c>
      <c r="F571" s="16" t="s">
        <v>512</v>
      </c>
      <c r="G571" s="13">
        <f>AVERAGE(E571,E574)</f>
        <v>2700.95</v>
      </c>
      <c r="H571" s="18">
        <f>STDEV(E571,E574)</f>
        <v>1.1030865786509756</v>
      </c>
      <c r="K571" s="5">
        <f>G571+$J$555</f>
        <v>2688.66</v>
      </c>
    </row>
    <row r="572" spans="1:12" x14ac:dyDescent="0.2">
      <c r="A572" s="15" t="s">
        <v>11</v>
      </c>
      <c r="B572" s="31">
        <v>45097</v>
      </c>
      <c r="C572" s="10" t="s">
        <v>12</v>
      </c>
      <c r="D572" s="5">
        <v>50.75</v>
      </c>
      <c r="E572" s="14">
        <v>2690.09</v>
      </c>
      <c r="F572" s="16" t="s">
        <v>513</v>
      </c>
    </row>
    <row r="573" spans="1:12" x14ac:dyDescent="0.2">
      <c r="A573" s="15" t="s">
        <v>11</v>
      </c>
      <c r="B573" s="31">
        <v>45097</v>
      </c>
      <c r="C573" s="10" t="s">
        <v>12</v>
      </c>
      <c r="D573" s="5">
        <v>48.88</v>
      </c>
      <c r="E573" s="14">
        <v>2710.48</v>
      </c>
      <c r="F573" s="16" t="s">
        <v>514</v>
      </c>
    </row>
    <row r="574" spans="1:12" x14ac:dyDescent="0.2">
      <c r="A574" s="15" t="s">
        <v>11</v>
      </c>
      <c r="B574" s="31">
        <v>45098</v>
      </c>
      <c r="C574" s="10" t="s">
        <v>12</v>
      </c>
      <c r="D574" s="5">
        <v>48.6</v>
      </c>
      <c r="E574" s="5">
        <v>2700.17</v>
      </c>
      <c r="F574" s="16" t="s">
        <v>557</v>
      </c>
    </row>
    <row r="575" spans="1:12" x14ac:dyDescent="0.2">
      <c r="A575" s="15" t="s">
        <v>11</v>
      </c>
      <c r="B575" s="31">
        <v>45098</v>
      </c>
      <c r="C575" s="10" t="s">
        <v>12</v>
      </c>
      <c r="D575" s="5">
        <v>50.3</v>
      </c>
      <c r="E575" s="14">
        <v>2240.85</v>
      </c>
      <c r="F575" s="16" t="s">
        <v>8</v>
      </c>
      <c r="G575" s="13">
        <f>AVERAGE(E576,E577)</f>
        <v>2235.2750000000001</v>
      </c>
      <c r="H575" s="18">
        <f>STDEV(E576,E577)</f>
        <v>2.7647875144392979</v>
      </c>
      <c r="I575" s="3">
        <v>2226.44</v>
      </c>
      <c r="J575" s="4">
        <f>I575-G575</f>
        <v>-8.8350000000000364</v>
      </c>
      <c r="K575" s="5">
        <f>G575+J575</f>
        <v>2226.44</v>
      </c>
      <c r="L575" s="2" t="s">
        <v>94</v>
      </c>
    </row>
    <row r="576" spans="1:12" x14ac:dyDescent="0.2">
      <c r="A576" s="15" t="s">
        <v>11</v>
      </c>
      <c r="B576" s="31">
        <v>45098</v>
      </c>
      <c r="C576" s="10" t="s">
        <v>12</v>
      </c>
      <c r="D576" s="5">
        <v>51.28</v>
      </c>
      <c r="E576" s="5">
        <v>2233.3200000000002</v>
      </c>
      <c r="F576" s="16" t="s">
        <v>9</v>
      </c>
    </row>
    <row r="577" spans="1:11" x14ac:dyDescent="0.2">
      <c r="A577" s="15" t="s">
        <v>11</v>
      </c>
      <c r="B577" s="31">
        <v>45098</v>
      </c>
      <c r="C577" s="10" t="s">
        <v>12</v>
      </c>
      <c r="D577" s="5">
        <v>50.69</v>
      </c>
      <c r="E577" s="5">
        <v>2237.23</v>
      </c>
      <c r="F577" s="16" t="s">
        <v>96</v>
      </c>
    </row>
    <row r="578" spans="1:11" x14ac:dyDescent="0.2">
      <c r="A578" s="15" t="s">
        <v>11</v>
      </c>
      <c r="B578" s="31">
        <v>45098</v>
      </c>
      <c r="C578" s="10" t="s">
        <v>12</v>
      </c>
      <c r="D578" s="5">
        <v>48.44</v>
      </c>
      <c r="E578" s="5">
        <v>2593.87</v>
      </c>
      <c r="F578" s="16" t="s">
        <v>515</v>
      </c>
      <c r="G578" s="13">
        <f>AVERAGE(E578:E579)</f>
        <v>2595.9299999999998</v>
      </c>
      <c r="H578" s="18">
        <f>STDEV(E578:E579)</f>
        <v>2.9132799384884986</v>
      </c>
      <c r="K578" s="5">
        <f>G578+$J$575</f>
        <v>2587.0949999999998</v>
      </c>
    </row>
    <row r="579" spans="1:11" x14ac:dyDescent="0.2">
      <c r="A579" s="15" t="s">
        <v>11</v>
      </c>
      <c r="B579" s="31">
        <v>45098</v>
      </c>
      <c r="C579" s="10" t="s">
        <v>12</v>
      </c>
      <c r="D579" s="5">
        <v>50.4</v>
      </c>
      <c r="E579" s="5">
        <v>2597.9899999999998</v>
      </c>
      <c r="F579" s="16" t="s">
        <v>516</v>
      </c>
    </row>
    <row r="580" spans="1:11" x14ac:dyDescent="0.2">
      <c r="A580" s="15" t="s">
        <v>11</v>
      </c>
      <c r="B580" s="31">
        <v>45098</v>
      </c>
      <c r="C580" s="10" t="s">
        <v>12</v>
      </c>
      <c r="D580" s="5">
        <v>50.8</v>
      </c>
      <c r="E580" s="5">
        <v>2601.64</v>
      </c>
      <c r="F580" s="16" t="s">
        <v>517</v>
      </c>
      <c r="G580" s="13">
        <f>AVERAGE(E580:E581)</f>
        <v>2599.62</v>
      </c>
      <c r="H580" s="18">
        <f>STDEV(E580:E581)</f>
        <v>2.8567113959936261</v>
      </c>
      <c r="K580" s="5">
        <f>G580+$J$575</f>
        <v>2590.7849999999999</v>
      </c>
    </row>
    <row r="581" spans="1:11" x14ac:dyDescent="0.2">
      <c r="A581" s="15" t="s">
        <v>11</v>
      </c>
      <c r="B581" s="31">
        <v>45098</v>
      </c>
      <c r="C581" s="10" t="s">
        <v>12</v>
      </c>
      <c r="D581" s="5">
        <v>51.91</v>
      </c>
      <c r="E581" s="5">
        <v>2597.6</v>
      </c>
      <c r="F581" s="16" t="s">
        <v>518</v>
      </c>
    </row>
    <row r="582" spans="1:11" x14ac:dyDescent="0.2">
      <c r="A582" s="15" t="s">
        <v>11</v>
      </c>
      <c r="B582" s="31">
        <v>45098</v>
      </c>
      <c r="C582" s="10" t="s">
        <v>12</v>
      </c>
      <c r="D582" s="5">
        <v>51.17</v>
      </c>
      <c r="E582" s="5">
        <v>2555.08</v>
      </c>
      <c r="F582" s="16" t="s">
        <v>519</v>
      </c>
      <c r="G582" s="13">
        <f>AVERAGE(E582:E583)</f>
        <v>2558.5349999999999</v>
      </c>
      <c r="H582" s="18">
        <f>STDEV(E582:E583)</f>
        <v>4.8861078579989403</v>
      </c>
      <c r="K582" s="5">
        <f>G582+$J$575</f>
        <v>2549.6999999999998</v>
      </c>
    </row>
    <row r="583" spans="1:11" x14ac:dyDescent="0.2">
      <c r="A583" s="15" t="s">
        <v>11</v>
      </c>
      <c r="B583" s="31">
        <v>45098</v>
      </c>
      <c r="C583" s="10" t="s">
        <v>12</v>
      </c>
      <c r="D583" s="5">
        <v>51.28</v>
      </c>
      <c r="E583" s="5">
        <v>2561.9899999999998</v>
      </c>
      <c r="F583" s="16" t="s">
        <v>520</v>
      </c>
    </row>
    <row r="584" spans="1:11" x14ac:dyDescent="0.2">
      <c r="A584" s="15" t="s">
        <v>11</v>
      </c>
      <c r="B584" s="31">
        <v>45098</v>
      </c>
      <c r="C584" s="10" t="s">
        <v>12</v>
      </c>
      <c r="D584" s="5">
        <v>51.51</v>
      </c>
      <c r="E584" s="5">
        <v>2684.96</v>
      </c>
      <c r="F584" s="16" t="s">
        <v>521</v>
      </c>
      <c r="G584" s="13">
        <f>AVERAGE(E584:E585)</f>
        <v>2683.2950000000001</v>
      </c>
      <c r="H584" s="18">
        <f>STDEV(E584:E585)</f>
        <v>2.3546655813511519</v>
      </c>
      <c r="K584" s="5">
        <f>G584+$J$575</f>
        <v>2674.46</v>
      </c>
    </row>
    <row r="585" spans="1:11" x14ac:dyDescent="0.2">
      <c r="A585" s="15" t="s">
        <v>11</v>
      </c>
      <c r="B585" s="31">
        <v>45098</v>
      </c>
      <c r="C585" s="10" t="s">
        <v>12</v>
      </c>
      <c r="D585" s="5">
        <v>49.79</v>
      </c>
      <c r="E585" s="5">
        <v>2681.63</v>
      </c>
      <c r="F585" s="16" t="s">
        <v>522</v>
      </c>
    </row>
    <row r="586" spans="1:11" x14ac:dyDescent="0.2">
      <c r="C586" s="10"/>
      <c r="F586" s="16"/>
    </row>
    <row r="587" spans="1:11" x14ac:dyDescent="0.2">
      <c r="C587" s="10" t="s">
        <v>12</v>
      </c>
      <c r="F587" s="16" t="s">
        <v>523</v>
      </c>
    </row>
    <row r="588" spans="1:11" x14ac:dyDescent="0.2">
      <c r="C588" s="10" t="s">
        <v>12</v>
      </c>
      <c r="F588" s="16" t="s">
        <v>524</v>
      </c>
    </row>
    <row r="589" spans="1:11" x14ac:dyDescent="0.2">
      <c r="C589" s="10" t="s">
        <v>12</v>
      </c>
      <c r="F589" s="16" t="s">
        <v>525</v>
      </c>
    </row>
    <row r="590" spans="1:11" x14ac:dyDescent="0.2">
      <c r="C590" s="10" t="s">
        <v>12</v>
      </c>
      <c r="F590" s="16" t="s">
        <v>526</v>
      </c>
    </row>
    <row r="591" spans="1:11" x14ac:dyDescent="0.2">
      <c r="C591" s="10" t="s">
        <v>12</v>
      </c>
      <c r="F591" s="16" t="s">
        <v>527</v>
      </c>
    </row>
    <row r="592" spans="1:11" x14ac:dyDescent="0.2">
      <c r="C592" s="10" t="s">
        <v>12</v>
      </c>
      <c r="F592" s="16" t="s">
        <v>528</v>
      </c>
    </row>
    <row r="593" spans="3:6" x14ac:dyDescent="0.2">
      <c r="C593" s="10" t="s">
        <v>12</v>
      </c>
      <c r="F593" s="16" t="s">
        <v>529</v>
      </c>
    </row>
    <row r="594" spans="3:6" x14ac:dyDescent="0.2">
      <c r="C594" s="10" t="s">
        <v>12</v>
      </c>
      <c r="F594" s="16" t="s">
        <v>530</v>
      </c>
    </row>
    <row r="595" spans="3:6" x14ac:dyDescent="0.2">
      <c r="C595" s="10" t="s">
        <v>12</v>
      </c>
      <c r="F595" s="16" t="s">
        <v>531</v>
      </c>
    </row>
    <row r="596" spans="3:6" x14ac:dyDescent="0.2">
      <c r="C596" s="10" t="s">
        <v>12</v>
      </c>
      <c r="F596" s="16" t="s">
        <v>532</v>
      </c>
    </row>
    <row r="597" spans="3:6" x14ac:dyDescent="0.2">
      <c r="C597" s="10" t="s">
        <v>12</v>
      </c>
      <c r="F597" s="16" t="s">
        <v>533</v>
      </c>
    </row>
    <row r="598" spans="3:6" x14ac:dyDescent="0.2">
      <c r="C598" s="10" t="s">
        <v>12</v>
      </c>
      <c r="F598" s="16" t="s">
        <v>534</v>
      </c>
    </row>
    <row r="599" spans="3:6" x14ac:dyDescent="0.2">
      <c r="C599" s="10" t="s">
        <v>12</v>
      </c>
      <c r="F599" s="16" t="s">
        <v>535</v>
      </c>
    </row>
    <row r="600" spans="3:6" x14ac:dyDescent="0.2">
      <c r="C600" s="10" t="s">
        <v>12</v>
      </c>
      <c r="F600" s="16" t="s">
        <v>536</v>
      </c>
    </row>
    <row r="601" spans="3:6" x14ac:dyDescent="0.2">
      <c r="C601" s="10" t="s">
        <v>12</v>
      </c>
      <c r="F601" s="16" t="s">
        <v>537</v>
      </c>
    </row>
    <row r="602" spans="3:6" x14ac:dyDescent="0.2">
      <c r="C602" s="10" t="s">
        <v>12</v>
      </c>
      <c r="F602" s="16" t="s">
        <v>538</v>
      </c>
    </row>
    <row r="603" spans="3:6" x14ac:dyDescent="0.2">
      <c r="C603" s="10" t="s">
        <v>12</v>
      </c>
      <c r="F603" s="16" t="s">
        <v>539</v>
      </c>
    </row>
    <row r="604" spans="3:6" x14ac:dyDescent="0.2">
      <c r="C604" s="10" t="s">
        <v>12</v>
      </c>
      <c r="F604" s="16" t="s">
        <v>540</v>
      </c>
    </row>
    <row r="605" spans="3:6" x14ac:dyDescent="0.2">
      <c r="C605" s="10" t="s">
        <v>12</v>
      </c>
      <c r="F605" s="16" t="s">
        <v>541</v>
      </c>
    </row>
    <row r="606" spans="3:6" x14ac:dyDescent="0.2">
      <c r="C606" s="10" t="s">
        <v>12</v>
      </c>
      <c r="F606" s="16" t="s">
        <v>542</v>
      </c>
    </row>
    <row r="607" spans="3:6" x14ac:dyDescent="0.2">
      <c r="C607" s="10" t="s">
        <v>12</v>
      </c>
      <c r="F607" s="16" t="s">
        <v>543</v>
      </c>
    </row>
    <row r="608" spans="3:6" x14ac:dyDescent="0.2">
      <c r="C608" s="10" t="s">
        <v>12</v>
      </c>
      <c r="F608" s="16" t="s">
        <v>544</v>
      </c>
    </row>
    <row r="609" spans="3:6" x14ac:dyDescent="0.2">
      <c r="C609" s="10" t="s">
        <v>12</v>
      </c>
      <c r="F609" s="16" t="s">
        <v>545</v>
      </c>
    </row>
    <row r="610" spans="3:6" x14ac:dyDescent="0.2">
      <c r="C610" s="10" t="s">
        <v>12</v>
      </c>
      <c r="F610" s="16" t="s">
        <v>546</v>
      </c>
    </row>
    <row r="611" spans="3:6" x14ac:dyDescent="0.2">
      <c r="C611" s="10" t="s">
        <v>12</v>
      </c>
      <c r="F611" s="16" t="s">
        <v>547</v>
      </c>
    </row>
    <row r="612" spans="3:6" x14ac:dyDescent="0.2">
      <c r="C612" s="10" t="s">
        <v>12</v>
      </c>
      <c r="F612" s="16" t="s">
        <v>548</v>
      </c>
    </row>
    <row r="613" spans="3:6" x14ac:dyDescent="0.2">
      <c r="C613" s="10" t="s">
        <v>12</v>
      </c>
      <c r="F613" s="16" t="s">
        <v>549</v>
      </c>
    </row>
    <row r="614" spans="3:6" x14ac:dyDescent="0.2">
      <c r="C614" s="10" t="s">
        <v>12</v>
      </c>
      <c r="F614" s="16" t="s">
        <v>550</v>
      </c>
    </row>
    <row r="615" spans="3:6" x14ac:dyDescent="0.2">
      <c r="C615" s="10" t="s">
        <v>12</v>
      </c>
      <c r="F615" s="16" t="s">
        <v>551</v>
      </c>
    </row>
    <row r="616" spans="3:6" x14ac:dyDescent="0.2">
      <c r="C616" s="10" t="s">
        <v>12</v>
      </c>
      <c r="F616" s="16" t="s">
        <v>552</v>
      </c>
    </row>
  </sheetData>
  <autoFilter ref="A1:L554" xr:uid="{00000000-0009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2023-06-21T16:51:09Z</dcterms:modified>
</cp:coreProperties>
</file>