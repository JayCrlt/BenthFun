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163E1137-16C9-8D42-99B2-D3244A48FC05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Sheet1!$A$1:$L$502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13" i="1" l="1"/>
  <c r="G513" i="1"/>
  <c r="G506" i="1"/>
  <c r="H506" i="1"/>
  <c r="H511" i="1"/>
  <c r="G511" i="1"/>
  <c r="H509" i="1"/>
  <c r="G509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490" i="1" l="1"/>
  <c r="H484" i="1"/>
  <c r="G484" i="1"/>
  <c r="H472" i="1"/>
  <c r="G472" i="1"/>
  <c r="J472" i="1" s="1"/>
  <c r="K493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513" i="1" l="1"/>
  <c r="K511" i="1"/>
  <c r="K509" i="1"/>
  <c r="K506" i="1"/>
  <c r="K486" i="1"/>
  <c r="K501" i="1"/>
  <c r="K499" i="1"/>
  <c r="K496" i="1"/>
  <c r="K475" i="1"/>
  <c r="K484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57" i="1" l="1"/>
  <c r="K67" i="1"/>
  <c r="K61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5" i="1" l="1"/>
  <c r="K7" i="1"/>
  <c r="K33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<sst xmlns="http://schemas.openxmlformats.org/spreadsheetml/2006/main" count="1867" uniqueCount="573">
  <si>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</si>
  <si>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</si>
  <si>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</si>
  <si>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</si>
  <si>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</si>
  <si>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</si>
  <si>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</si>
  <si>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</si>
  <si>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</si>
  <si>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</si>
  <si>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</si>
  <si>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</si>
  <si>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</si>
  <si>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</si>
  <si>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</si>
  <si>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</si>
  <si>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</si>
  <si>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</si>
  <si>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</si>
  <si>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</si>
  <si>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</si>
  <si>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</si>
  <si>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</si>
  <si>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</si>
  <si>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</si>
  <si>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</si>
  <si>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</si>
  <si>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</si>
  <si>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</si>
  <si>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</si>
  <si>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</si>
  <si>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</si>
  <si>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</si>
  <si>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</si>
  <si>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</si>
  <si>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</si>
  <si>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</si>
  <si>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</si>
  <si>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</si>
  <si>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</si>
  <si>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</si>
  <si>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</si>
  <si>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</si>
  <si>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</si>
  <si>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</si>
  <si>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</si>
  <si>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</si>
  <si>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</si>
  <si>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</si>
  <si>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</si>
  <si>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</si>
  <si>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</si>
  <si>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</si>
  <si>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</si>
  <si>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</si>
  <si>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</si>
  <si>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</si>
  <si>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</si>
  <si>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</si>
  <si>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</si>
  <si>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</si>
  <si>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</si>
  <si>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</si>
  <si>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</si>
  <si>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</si>
  <si>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</si>
  <si>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</si>
  <si>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</si>
  <si>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</si>
  <si>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</si>
  <si>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</si>
  <si>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</si>
  <si>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</si>
  <si>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</si>
  <si>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</si>
  <si>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</si>
  <si>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</si>
  <si>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</si>
  <si>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</si>
  <si>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</si>
  <si>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</si>
  <si>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</si>
  <si>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</si>
  <si>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</si>
  <si>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</si>
  <si>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</si>
  <si>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</si>
  <si>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</si>
  <si>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</si>
  <si>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</si>
  <si>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</si>
  <si>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</si>
  <si>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</si>
  <si>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</si>
  <si>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</si>
  <si>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</si>
  <si>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</si>
  <si>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</si>
  <si>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</si>
  <si>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</si>
  <si>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</si>
  <si>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</si>
  <si>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</si>
  <si>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</si>
  <si>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</si>
  <si>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</si>
  <si>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</si>
  <si>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</si>
  <si>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</si>
  <si>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</si>
  <si>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</si>
  <si>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</si>
  <si>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</si>
  <si>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</si>
  <si>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</si>
  <si>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</si>
  <si>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</si>
  <si>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</si>
  <si>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</si>
  <si>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</si>
  <si>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</si>
  <si>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</si>
  <si>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</si>
  <si>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</si>
  <si>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</si>
  <si>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</si>
  <si>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</si>
  <si>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</si>
  <si>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</si>
  <si>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</si>
  <si>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</si>
  <si>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</si>
  <si>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</si>
  <si>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</si>
  <si>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</si>
  <si>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</si>
  <si>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</si>
  <si>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</si>
  <si>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</si>
  <si>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</si>
  <si>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</si>
  <si>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</si>
  <si>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</si>
  <si>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</si>
  <si>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</si>
  <si>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</si>
  <si>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</si>
  <si>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</si>
  <si>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</si>
  <si>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</si>
  <si>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</si>
  <si>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</si>
  <si>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</si>
  <si>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</si>
  <si>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</si>
  <si>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</si>
  <si>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</si>
  <si>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</si>
  <si>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</si>
  <si>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</si>
  <si>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</si>
  <si>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</si>
  <si>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</si>
  <si>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</si>
  <si>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</si>
  <si>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</si>
  <si>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</si>
  <si>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</si>
  <si>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</si>
  <si>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</si>
  <si>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</si>
  <si>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</si>
  <si>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</si>
  <si>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</si>
  <si>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</si>
  <si>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</si>
  <si>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</si>
  <si>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</si>
  <si>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</si>
  <si>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</si>
  <si>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</si>
  <si>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</si>
  <si>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</si>
  <si>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</si>
  <si>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</si>
  <si>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</si>
  <si>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</si>
  <si>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</si>
  <si>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</si>
  <si>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</si>
  <si>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</si>
  <si>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</si>
  <si>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</si>
  <si>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</si>
  <si>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</si>
  <si>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</si>
  <si>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</si>
  <si>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</si>
  <si>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</si>
  <si>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</si>
  <si>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</si>
  <si>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</si>
  <si>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</si>
  <si>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</si>
  <si>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</si>
  <si>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</si>
  <si>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</si>
  <si>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</si>
  <si>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</si>
  <si>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</si>
  <si>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</si>
  <si>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</si>
  <si>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</si>
  <si>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</si>
  <si>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</si>
  <si>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</si>
  <si>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</si>
  <si>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</si>
  <si>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</si>
  <si>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</si>
  <si>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</si>
  <si>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</si>
  <si>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</si>
  <si>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</si>
  <si>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</si>
  <si>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</si>
  <si>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</si>
  <si>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</si>
  <si>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</si>
  <si>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</si>
  <si>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</si>
  <si>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</si>
  <si>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</si>
  <si>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</si>
  <si>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</si>
  <si>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</si>
  <si>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</si>
  <si>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</si>
  <si>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</si>
  <si>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</si>
  <si>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</si>
  <si>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</si>
  <si>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</si>
  <si>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</si>
  <si>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</si>
  <si>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</si>
  <si>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</si>
  <si>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</si>
  <si>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</si>
  <si>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</si>
  <si>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</si>
  <si>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</si>
  <si>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</si>
  <si>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</si>
  <si>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</si>
  <si>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</si>
  <si>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</si>
  <si>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</si>
  <si>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</si>
  <si>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</si>
  <si>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</si>
  <si>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</si>
  <si>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</si>
  <si>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</si>
  <si>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</si>
  <si>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</si>
  <si>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</si>
  <si>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</si>
  <si>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</si>
  <si>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</si>
  <si>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</si>
  <si>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</si>
  <si>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</si>
  <si>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</si>
  <si>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</si>
  <si>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</si>
  <si>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</si>
  <si>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</si>
  <si>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</si>
  <si>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</si>
  <si>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</si>
  <si>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</si>
  <si>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</si>
  <si>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</si>
  <si>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</si>
  <si>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</si>
  <si>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</si>
  <si>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</si>
  <si>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</si>
  <si>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</si>
  <si>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</si>
  <si>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</si>
  <si>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</si>
  <si>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</si>
  <si>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</si>
  <si>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</si>
  <si>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</si>
  <si>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</si>
  <si>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</si>
  <si>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</si>
  <si>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</si>
  <si>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</si>
  <si>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</si>
  <si>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</si>
  <si>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</si>
  <si>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</si>
  <si>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</si>
  <si>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</si>
  <si>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</si>
  <si>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</si>
  <si>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</si>
  <si>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</si>
  <si>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</si>
  <si>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</si>
  <si>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</si>
  <si>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</si>
  <si>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</si>
  <si>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</si>
  <si>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</si>
  <si>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</si>
  <si>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</si>
  <si>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</si>
  <si>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</si>
  <si>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</si>
  <si>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</si>
  <si>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</si>
  <si>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</si>
  <si>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</si>
  <si>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</si>
  <si>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</si>
  <si>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</si>
  <si>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</si>
  <si>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</si>
  <si>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</si>
  <si>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</si>
  <si>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</si>
  <si>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</si>
  <si>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</si>
  <si>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</si>
  <si>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</si>
  <si>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</si>
  <si>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</si>
  <si>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</si>
  <si>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</si>
  <si>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</si>
  <si>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</si>
  <si>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</si>
  <si>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</si>
  <si>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</si>
  <si>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</si>
  <si>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</si>
  <si>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</si>
  <si>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</si>
  <si>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</si>
  <si>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</si>
  <si>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</si>
  <si>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</si>
  <si>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</si>
  <si>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</si>
  <si>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</si>
  <si>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</si>
  <si>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</si>
  <si>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</si>
  <si>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</si>
  <si>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</si>
  <si>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</si>
  <si>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</si>
  <si>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</si>
  <si>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</si>
  <si>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</si>
  <si>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</si>
  <si>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</si>
  <si>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</si>
  <si>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</si>
  <si>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</si>
  <si>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</si>
  <si>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</si>
  <si>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</si>
  <si>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</si>
  <si>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</si>
  <si>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</si>
  <si>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</si>
  <si>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</si>
  <si>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</si>
  <si>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</si>
  <si>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</si>
  <si>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</si>
  <si>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</si>
  <si>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</si>
  <si>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</si>
  <si>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</si>
  <si>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</si>
  <si>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</si>
  <si>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</si>
  <si>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</si>
  <si>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</si>
  <si>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</si>
  <si>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</si>
  <si>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</si>
  <si>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</si>
  <si>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</si>
  <si>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</si>
  <si>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</si>
  <si>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</si>
  <si>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</si>
  <si>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</si>
  <si>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</si>
  <si>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</si>
  <si>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</si>
  <si>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</si>
  <si>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</si>
  <si>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</si>
  <si>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</si>
  <si>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</si>
  <si>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</si>
  <si>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</si>
  <si>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</si>
  <si>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</si>
  <si>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</si>
  <si>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</si>
  <si>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</si>
  <si>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</si>
  <si>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</si>
  <si>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</si>
  <si>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</si>
  <si>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</si>
  <si>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</si>
  <si>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</si>
  <si>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</si>
  <si>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</si>
  <si>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</si>
  <si>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</si>
  <si>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</si>
  <si>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</si>
  <si>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</si>
  <si>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</si>
  <si>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</si>
  <si>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</si>
  <si>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</si>
  <si>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</si>
  <si>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</si>
  <si>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</si>
  <si>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</si>
  <si>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</si>
  <si>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</si>
  <si>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</si>
  <si>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</si>
  <si>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</si>
  <si>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Tn_t1_AMB_tile_03c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</si>
  <si>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</si>
  <si>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</si>
  <si>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</si>
  <si>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</si>
  <si>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</si>
  <si>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</si>
  <si>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</si>
  <si>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</si>
  <si>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</si>
  <si>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</si>
  <si>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</si>
  <si>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Tn_t1_AMB_tile_06c</t>
  </si>
  <si>
    <t>Tn_t1_AMB_blank_02a</t>
  </si>
  <si>
    <t>Tn_t1_AMB_blank_02b</t>
  </si>
  <si>
    <t>Tn_t1_AMB_blank_02c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</si>
  <si>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</si>
  <si>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</si>
  <si>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</si>
  <si>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</si>
  <si>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</si>
  <si>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</si>
  <si>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</si>
  <si>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</si>
  <si>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</si>
  <si>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</si>
  <si>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</si>
  <si>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</si>
  <si>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</si>
  <si>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</si>
  <si>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</si>
  <si>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</si>
  <si>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</si>
  <si>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</si>
  <si>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</si>
  <si>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</si>
  <si>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T2_t0_ELOW_blank_02c</t>
  </si>
  <si>
    <t>T2_t1_ELOW_tile_01a</t>
  </si>
  <si>
    <t>T2_t1_ELOW_tile_01b</t>
  </si>
  <si>
    <t>T2_t1_ELOW_tile_01c</t>
  </si>
  <si>
    <t>T2_t1_ELOW_tile_02a</t>
  </si>
  <si>
    <t>T2_t1_ELOW_tile_02b</t>
  </si>
  <si>
    <t>T2_t1_ELOW_tile_02c</t>
  </si>
  <si>
    <t>T2_t1_ELOW_tile_03a</t>
  </si>
  <si>
    <t>T2_t1_ELOW_tile_03b</t>
  </si>
  <si>
    <t>T2_t1_ELOW_tile_03c</t>
  </si>
  <si>
    <t>T2_t1_ELOW_blank_01a</t>
  </si>
  <si>
    <t>T2_t1_ELOW_blank_01b</t>
  </si>
  <si>
    <t>T2_t1_ELOW_blank_01c</t>
  </si>
  <si>
    <t>T2_t1_ELOW_tile_04a</t>
  </si>
  <si>
    <t>T2_t1_ELOW_tile_04b</t>
  </si>
  <si>
    <t>T2_t1_ELOW_tile_04c</t>
  </si>
  <si>
    <t>T2_t1_ELOW_tile_05a</t>
  </si>
  <si>
    <t>T2_t1_ELOW_tile_05b</t>
  </si>
  <si>
    <t>T2_t1_ELOW_tile_05c</t>
  </si>
  <si>
    <t>T2_t1_ELOW_tile_06a</t>
  </si>
  <si>
    <t>T2_t1_ELOW_tile_06b</t>
  </si>
  <si>
    <t>T2_t1_ELOW_tile_06c</t>
  </si>
  <si>
    <t>T2_t1_ELOW_blank_02a</t>
  </si>
  <si>
    <t>T2_t1_ELOW_blank_02b</t>
  </si>
  <si>
    <t>T2_t1_ELOW_blank_02c</t>
  </si>
  <si>
    <t>T2_t0_LOW_blank_01a</t>
  </si>
  <si>
    <t>T2_t0_LOW_blank_01b</t>
  </si>
  <si>
    <t>T2_t0_LOW_blank_01c</t>
  </si>
  <si>
    <t>T2_t0_LOW_blank_02a</t>
  </si>
  <si>
    <t>T2_t0_LOW_blank_02b</t>
  </si>
  <si>
    <t>T2_t0_LOW_blank_02c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</si>
  <si>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</si>
  <si>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</si>
  <si>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</si>
  <si>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</si>
  <si>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</si>
  <si>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</si>
  <si>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</si>
  <si>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</si>
  <si>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</si>
  <si>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</si>
  <si>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</si>
  <si>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</si>
  <si>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</si>
  <si>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</si>
  <si>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T2_t1_LOW_tile_04c</t>
  </si>
  <si>
    <t>T2_t1_LOW_tile_05a</t>
  </si>
  <si>
    <t>T2_t1_LOW_tile_05b</t>
  </si>
  <si>
    <t>T2_t1_LOW_tile_05c</t>
  </si>
  <si>
    <t>T2_t1_LOW_tile_06a</t>
  </si>
  <si>
    <t>T2_t1_LOW_tile_06b</t>
  </si>
  <si>
    <t>T2_t1_LOW_tile_06c</t>
  </si>
  <si>
    <t>T2_t1_LOW_blank_02a</t>
  </si>
  <si>
    <t>T2_t1_LOW_blank_02b</t>
  </si>
  <si>
    <t>T2_t1_LOW_blank_02c</t>
  </si>
  <si>
    <t>T2_t0_AMB_blank_01a</t>
  </si>
  <si>
    <t>T2_t0_AMB_blank_01b</t>
  </si>
  <si>
    <t>T2_t0_AMB_blank_01c</t>
  </si>
  <si>
    <t>T2_t0_AMB_blank_02a</t>
  </si>
  <si>
    <t>T2_t0_AMB_blank_02b</t>
  </si>
  <si>
    <t>T2_t0_AMB_blank_02c</t>
  </si>
  <si>
    <t>T2_t1_AMB_tile_01a</t>
  </si>
  <si>
    <t>T2_t1_AMB_tile_01b</t>
  </si>
  <si>
    <t>T2_t1_AMB_tile_01c</t>
  </si>
  <si>
    <t>T2_t1_AMB_tile_02a</t>
  </si>
  <si>
    <t>T2_t1_AMB_tile_02b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</si>
  <si>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</si>
  <si>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</si>
  <si>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</si>
  <si>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</si>
  <si>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</si>
  <si>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</si>
  <si>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T2_t1_AMB_blank_01c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</si>
  <si>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</si>
  <si>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</si>
  <si>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</si>
  <si>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</si>
  <si>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</si>
  <si>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</si>
  <si>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</si>
  <si>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</si>
  <si>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T2_t1_AMB_tile_06c</t>
  </si>
  <si>
    <t>T2_t1_AMB_blank_02a</t>
  </si>
  <si>
    <t>T2_t1_AMB_blank_02b</t>
  </si>
  <si>
    <t>T2_t1_AMB_blank_02c</t>
  </si>
  <si>
    <t>PI_t5_AMB_Tile_3d</t>
  </si>
  <si>
    <t>PI_t6_AMB_Tile_3d</t>
  </si>
  <si>
    <t>Ali e Anto</t>
  </si>
  <si>
    <t>Tn_t1_LOW_blank_01d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</si>
</sst>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34"/>
  <sheetViews>
    <sheetView tabSelected="1" zoomScale="90" zoomScaleNormal="73" workbookViewId="0">
      <pane ySplit="1" topLeftCell="A502" activePane="bottomLeft" state="frozen"/>
      <selection pane="bottomLeft" activeCell="I521" sqref="I521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569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570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464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465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466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467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468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469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1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1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1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1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1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1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1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1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</row>
    <row r="473" spans="1:11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1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1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470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1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471</v>
      </c>
    </row>
    <row r="477" spans="1:11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472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1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473</v>
      </c>
    </row>
    <row r="479" spans="1:11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1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1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1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1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1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1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1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1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1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1" x14ac:dyDescent="0.2">
      <c r="A489" s="9" t="s">
        <v>571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572</v>
      </c>
    </row>
    <row r="490" spans="1:11" x14ac:dyDescent="0.2">
      <c r="A490" s="9" t="s">
        <v>571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</row>
    <row r="491" spans="1:11" x14ac:dyDescent="0.2">
      <c r="A491" s="9" t="s">
        <v>571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1" x14ac:dyDescent="0.2">
      <c r="A492" s="9" t="s">
        <v>571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1" x14ac:dyDescent="0.2">
      <c r="A493" s="9" t="s">
        <v>571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G493+$J$472</f>
        <v>2639.0699999999997</v>
      </c>
    </row>
    <row r="494" spans="1:11" x14ac:dyDescent="0.2">
      <c r="A494" s="9" t="s">
        <v>571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1" x14ac:dyDescent="0.2">
      <c r="A495" s="9" t="s">
        <v>571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1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G496+$J$472</f>
        <v>2553.625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G499+$J$472</f>
        <v>2586.3150000000001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G501+$J$472</f>
        <v>2705.7200000000003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2">
      <c r="A503" s="9"/>
      <c r="C503" s="10" t="s">
        <v>12</v>
      </c>
      <c r="F503" s="16" t="s">
        <v>8</v>
      </c>
    </row>
    <row r="504" spans="1:11" x14ac:dyDescent="0.2">
      <c r="A504" s="9"/>
      <c r="C504" s="10" t="s">
        <v>12</v>
      </c>
      <c r="F504" s="16" t="s">
        <v>9</v>
      </c>
    </row>
    <row r="505" spans="1:11" x14ac:dyDescent="0.2">
      <c r="A505" s="9"/>
      <c r="C505" s="10" t="s">
        <v>12</v>
      </c>
      <c r="F505" s="16" t="s">
        <v>96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50.1</v>
      </c>
      <c r="E506" s="14">
        <v>2667.86</v>
      </c>
      <c r="F506" s="16" t="s">
        <v>474</v>
      </c>
      <c r="G506" s="13">
        <f>AVERAGE(E507:E508)</f>
        <v>2658.04</v>
      </c>
      <c r="H506" s="18">
        <f>STDEV(E507:E508)</f>
        <v>1.9657568516984221</v>
      </c>
      <c r="K506" s="5">
        <f>G506+$J$472</f>
        <v>2648.75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49.52</v>
      </c>
      <c r="E507" s="5">
        <v>2656.65</v>
      </c>
      <c r="F507" s="16" t="s">
        <v>475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49.55</v>
      </c>
      <c r="E508" s="5">
        <v>2659.43</v>
      </c>
      <c r="F508" s="16" t="s">
        <v>476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48.88</v>
      </c>
      <c r="E509" s="5">
        <v>2642.93</v>
      </c>
      <c r="F509" s="16" t="s">
        <v>477</v>
      </c>
      <c r="G509" s="13">
        <f>AVERAGE(E509:E510)</f>
        <v>2640.355</v>
      </c>
      <c r="H509" s="18">
        <f>STDEV(E509:E510)</f>
        <v>3.6415999231104625</v>
      </c>
      <c r="K509" s="5">
        <f>G509+$J$472</f>
        <v>2631.0650000000001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50.76</v>
      </c>
      <c r="E510" s="5">
        <v>2637.78</v>
      </c>
      <c r="F510" s="16" t="s">
        <v>478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50.53</v>
      </c>
      <c r="E511" s="5">
        <v>2563.23</v>
      </c>
      <c r="F511" s="16" t="s">
        <v>442</v>
      </c>
      <c r="G511" s="13">
        <f>AVERAGE(E511:E512)</f>
        <v>2560.4749999999999</v>
      </c>
      <c r="H511" s="18">
        <f>STDEV(E511:E512)</f>
        <v>3.8961583643380311</v>
      </c>
      <c r="K511" s="5">
        <f>G511+$J$472</f>
        <v>2551.1849999999999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50.23</v>
      </c>
      <c r="E512" s="5">
        <v>2557.7199999999998</v>
      </c>
      <c r="F512" s="16" t="s">
        <v>443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49.45</v>
      </c>
      <c r="E513" s="5">
        <v>2567.5</v>
      </c>
      <c r="F513" s="16" t="s">
        <v>444</v>
      </c>
      <c r="G513" s="13">
        <f>AVERAGE(E513:E514)</f>
        <v>2567.0150000000003</v>
      </c>
      <c r="H513" s="18">
        <f>STDEV(E513:E514)</f>
        <v>0.68589357775080961</v>
      </c>
      <c r="K513" s="5">
        <f>G513+$J$472</f>
        <v>2557.7250000000004</v>
      </c>
    </row>
    <row r="514" spans="1:11" x14ac:dyDescent="0.2">
      <c r="A514" s="9" t="s">
        <v>11</v>
      </c>
      <c r="B514" s="31">
        <v>45092</v>
      </c>
      <c r="C514" s="10" t="s">
        <v>12</v>
      </c>
      <c r="D514" s="5">
        <v>48.68</v>
      </c>
      <c r="E514" s="5">
        <v>2566.5300000000002</v>
      </c>
      <c r="F514" s="16" t="s">
        <v>445</v>
      </c>
    </row>
    <row r="515" spans="1:11" x14ac:dyDescent="0.2">
      <c r="C515" s="10" t="s">
        <v>12</v>
      </c>
      <c r="F515" s="16" t="s">
        <v>446</v>
      </c>
    </row>
    <row r="516" spans="1:11" x14ac:dyDescent="0.2">
      <c r="C516" s="10" t="s">
        <v>12</v>
      </c>
      <c r="F516" s="16" t="s">
        <v>447</v>
      </c>
    </row>
    <row r="517" spans="1:11" x14ac:dyDescent="0.2">
      <c r="C517" s="10" t="s">
        <v>12</v>
      </c>
      <c r="F517" s="16" t="s">
        <v>448</v>
      </c>
    </row>
    <row r="518" spans="1:11" x14ac:dyDescent="0.2">
      <c r="C518" s="10" t="s">
        <v>12</v>
      </c>
      <c r="F518" s="16" t="s">
        <v>449</v>
      </c>
    </row>
    <row r="519" spans="1:11" x14ac:dyDescent="0.2">
      <c r="C519" s="10" t="s">
        <v>12</v>
      </c>
      <c r="F519" s="16" t="s">
        <v>450</v>
      </c>
    </row>
    <row r="520" spans="1:11" x14ac:dyDescent="0.2">
      <c r="C520" s="10" t="s">
        <v>12</v>
      </c>
      <c r="F520" s="16" t="s">
        <v>451</v>
      </c>
    </row>
    <row r="521" spans="1:11" x14ac:dyDescent="0.2">
      <c r="C521" s="10" t="s">
        <v>12</v>
      </c>
      <c r="F521" s="16" t="s">
        <v>452</v>
      </c>
    </row>
    <row r="522" spans="1:11" x14ac:dyDescent="0.2">
      <c r="C522" s="10" t="s">
        <v>12</v>
      </c>
      <c r="F522" s="16" t="s">
        <v>453</v>
      </c>
    </row>
    <row r="523" spans="1:11" x14ac:dyDescent="0.2">
      <c r="C523" s="10" t="s">
        <v>12</v>
      </c>
      <c r="F523" s="16" t="s">
        <v>454</v>
      </c>
    </row>
    <row r="524" spans="1:11" x14ac:dyDescent="0.2">
      <c r="C524" s="10" t="s">
        <v>12</v>
      </c>
      <c r="F524" s="16" t="s">
        <v>455</v>
      </c>
    </row>
    <row r="525" spans="1:11" x14ac:dyDescent="0.2">
      <c r="C525" s="10" t="s">
        <v>12</v>
      </c>
      <c r="F525" s="16" t="s">
        <v>456</v>
      </c>
    </row>
    <row r="526" spans="1:11" x14ac:dyDescent="0.2">
      <c r="C526" s="10" t="s">
        <v>12</v>
      </c>
      <c r="F526" s="16" t="s">
        <v>457</v>
      </c>
    </row>
    <row r="527" spans="1:11" x14ac:dyDescent="0.2">
      <c r="C527" s="10" t="s">
        <v>12</v>
      </c>
      <c r="F527" s="16" t="s">
        <v>458</v>
      </c>
    </row>
    <row r="528" spans="1:11" x14ac:dyDescent="0.2">
      <c r="C528" s="10" t="s">
        <v>12</v>
      </c>
      <c r="F528" s="16" t="s">
        <v>459</v>
      </c>
    </row>
    <row r="529" spans="3:6" x14ac:dyDescent="0.2">
      <c r="C529" s="10" t="s">
        <v>12</v>
      </c>
      <c r="F529" s="16" t="s">
        <v>460</v>
      </c>
    </row>
    <row r="530" spans="3:6" x14ac:dyDescent="0.2">
      <c r="C530" s="10" t="s">
        <v>12</v>
      </c>
      <c r="F530" s="16" t="s">
        <v>461</v>
      </c>
    </row>
    <row r="531" spans="3:6" x14ac:dyDescent="0.2">
      <c r="C531" s="10" t="s">
        <v>12</v>
      </c>
      <c r="F531" s="16" t="s">
        <v>462</v>
      </c>
    </row>
    <row r="532" spans="3:6" x14ac:dyDescent="0.2">
      <c r="C532" s="10" t="s">
        <v>12</v>
      </c>
      <c r="F532" s="16" t="s">
        <v>463</v>
      </c>
    </row>
    <row r="534" spans="3:6" x14ac:dyDescent="0.2">
      <c r="C534" s="10" t="s">
        <v>12</v>
      </c>
      <c r="F534" s="16" t="s">
        <v>8</v>
      </c>
    </row>
    <row r="535" spans="3:6" x14ac:dyDescent="0.2">
      <c r="C535" s="10" t="s">
        <v>12</v>
      </c>
      <c r="F535" s="16" t="s">
        <v>9</v>
      </c>
    </row>
    <row r="536" spans="3:6" x14ac:dyDescent="0.2">
      <c r="C536" s="10" t="s">
        <v>12</v>
      </c>
      <c r="F536" s="16" t="s">
        <v>96</v>
      </c>
    </row>
    <row r="537" spans="3:6" x14ac:dyDescent="0.2">
      <c r="C537" s="10" t="s">
        <v>12</v>
      </c>
      <c r="F537" s="16" t="s">
        <v>479</v>
      </c>
    </row>
    <row r="538" spans="3:6" x14ac:dyDescent="0.2">
      <c r="C538" s="10" t="s">
        <v>12</v>
      </c>
      <c r="F538" s="16" t="s">
        <v>480</v>
      </c>
    </row>
    <row r="539" spans="3:6" x14ac:dyDescent="0.2">
      <c r="C539" s="10" t="s">
        <v>12</v>
      </c>
      <c r="F539" s="16" t="s">
        <v>481</v>
      </c>
    </row>
    <row r="540" spans="3:6" x14ac:dyDescent="0.2">
      <c r="C540" s="10" t="s">
        <v>12</v>
      </c>
      <c r="F540" s="16" t="s">
        <v>482</v>
      </c>
    </row>
    <row r="541" spans="3:6" x14ac:dyDescent="0.2">
      <c r="C541" s="10" t="s">
        <v>12</v>
      </c>
      <c r="F541" s="16" t="s">
        <v>483</v>
      </c>
    </row>
    <row r="542" spans="3:6" x14ac:dyDescent="0.2">
      <c r="C542" s="10" t="s">
        <v>12</v>
      </c>
      <c r="F542" s="16" t="s">
        <v>484</v>
      </c>
    </row>
    <row r="543" spans="3:6" x14ac:dyDescent="0.2">
      <c r="C543" s="10" t="s">
        <v>12</v>
      </c>
      <c r="F543" s="16" t="s">
        <v>485</v>
      </c>
    </row>
    <row r="544" spans="3:6" x14ac:dyDescent="0.2">
      <c r="C544" s="10" t="s">
        <v>12</v>
      </c>
      <c r="F544" s="16" t="s">
        <v>486</v>
      </c>
    </row>
    <row r="545" spans="3:6" x14ac:dyDescent="0.2">
      <c r="C545" s="10" t="s">
        <v>12</v>
      </c>
      <c r="F545" s="16" t="s">
        <v>487</v>
      </c>
    </row>
    <row r="546" spans="3:6" x14ac:dyDescent="0.2">
      <c r="C546" s="10" t="s">
        <v>12</v>
      </c>
      <c r="F546" s="16" t="s">
        <v>488</v>
      </c>
    </row>
    <row r="547" spans="3:6" x14ac:dyDescent="0.2">
      <c r="C547" s="10" t="s">
        <v>12</v>
      </c>
      <c r="F547" s="16" t="s">
        <v>489</v>
      </c>
    </row>
    <row r="548" spans="3:6" x14ac:dyDescent="0.2">
      <c r="C548" s="10" t="s">
        <v>12</v>
      </c>
      <c r="F548" s="16" t="s">
        <v>490</v>
      </c>
    </row>
    <row r="549" spans="3:6" x14ac:dyDescent="0.2">
      <c r="C549" s="10" t="s">
        <v>12</v>
      </c>
      <c r="F549" s="16" t="s">
        <v>491</v>
      </c>
    </row>
    <row r="550" spans="3:6" x14ac:dyDescent="0.2">
      <c r="C550" s="10" t="s">
        <v>12</v>
      </c>
      <c r="F550" s="16" t="s">
        <v>492</v>
      </c>
    </row>
    <row r="551" spans="3:6" x14ac:dyDescent="0.2">
      <c r="C551" s="10" t="s">
        <v>12</v>
      </c>
      <c r="F551" s="16" t="s">
        <v>493</v>
      </c>
    </row>
    <row r="552" spans="3:6" x14ac:dyDescent="0.2">
      <c r="C552" s="10" t="s">
        <v>12</v>
      </c>
      <c r="F552" s="16" t="s">
        <v>494</v>
      </c>
    </row>
    <row r="553" spans="3:6" x14ac:dyDescent="0.2">
      <c r="C553" s="10" t="s">
        <v>12</v>
      </c>
      <c r="F553" s="16" t="s">
        <v>495</v>
      </c>
    </row>
    <row r="554" spans="3:6" x14ac:dyDescent="0.2">
      <c r="C554" s="10" t="s">
        <v>12</v>
      </c>
      <c r="F554" s="16" t="s">
        <v>496</v>
      </c>
    </row>
    <row r="555" spans="3:6" x14ac:dyDescent="0.2">
      <c r="C555" s="10" t="s">
        <v>12</v>
      </c>
      <c r="F555" s="16" t="s">
        <v>497</v>
      </c>
    </row>
    <row r="556" spans="3:6" x14ac:dyDescent="0.2">
      <c r="C556" s="10" t="s">
        <v>12</v>
      </c>
      <c r="F556" s="16" t="s">
        <v>498</v>
      </c>
    </row>
    <row r="557" spans="3:6" x14ac:dyDescent="0.2">
      <c r="C557" s="10" t="s">
        <v>12</v>
      </c>
      <c r="F557" s="16" t="s">
        <v>499</v>
      </c>
    </row>
    <row r="558" spans="3:6" x14ac:dyDescent="0.2">
      <c r="C558" s="10" t="s">
        <v>12</v>
      </c>
      <c r="F558" s="16" t="s">
        <v>500</v>
      </c>
    </row>
    <row r="559" spans="3:6" x14ac:dyDescent="0.2">
      <c r="C559" s="10" t="s">
        <v>12</v>
      </c>
      <c r="F559" s="16" t="s">
        <v>501</v>
      </c>
    </row>
    <row r="560" spans="3:6" x14ac:dyDescent="0.2">
      <c r="C560" s="10" t="s">
        <v>12</v>
      </c>
      <c r="F560" s="16" t="s">
        <v>502</v>
      </c>
    </row>
    <row r="561" spans="3:6" x14ac:dyDescent="0.2">
      <c r="C561" s="10" t="s">
        <v>12</v>
      </c>
      <c r="F561" s="16" t="s">
        <v>503</v>
      </c>
    </row>
    <row r="562" spans="3:6" x14ac:dyDescent="0.2">
      <c r="C562" s="10" t="s">
        <v>12</v>
      </c>
      <c r="F562" s="16" t="s">
        <v>504</v>
      </c>
    </row>
    <row r="563" spans="3:6" x14ac:dyDescent="0.2">
      <c r="C563" s="10" t="s">
        <v>12</v>
      </c>
      <c r="F563" s="16" t="s">
        <v>505</v>
      </c>
    </row>
    <row r="564" spans="3:6" x14ac:dyDescent="0.2">
      <c r="C564" s="10" t="s">
        <v>12</v>
      </c>
      <c r="F564" s="16" t="s">
        <v>506</v>
      </c>
    </row>
    <row r="565" spans="3:6" x14ac:dyDescent="0.2">
      <c r="C565" s="10" t="s">
        <v>12</v>
      </c>
      <c r="F565" s="16" t="s">
        <v>507</v>
      </c>
    </row>
    <row r="566" spans="3:6" x14ac:dyDescent="0.2">
      <c r="C566" s="10" t="s">
        <v>12</v>
      </c>
      <c r="F566" s="16" t="s">
        <v>508</v>
      </c>
    </row>
    <row r="567" spans="3:6" x14ac:dyDescent="0.2">
      <c r="F567" s="16"/>
    </row>
    <row r="568" spans="3:6" x14ac:dyDescent="0.2">
      <c r="C568" s="10" t="s">
        <v>12</v>
      </c>
      <c r="F568" s="16" t="s">
        <v>8</v>
      </c>
    </row>
    <row r="569" spans="3:6" x14ac:dyDescent="0.2">
      <c r="C569" s="10" t="s">
        <v>12</v>
      </c>
      <c r="F569" s="16" t="s">
        <v>9</v>
      </c>
    </row>
    <row r="570" spans="3:6" x14ac:dyDescent="0.2">
      <c r="C570" s="10" t="s">
        <v>12</v>
      </c>
      <c r="F570" s="16" t="s">
        <v>96</v>
      </c>
    </row>
    <row r="571" spans="3:6" x14ac:dyDescent="0.2">
      <c r="C571" s="10" t="s">
        <v>12</v>
      </c>
      <c r="F571" s="16" t="s">
        <v>509</v>
      </c>
    </row>
    <row r="572" spans="3:6" x14ac:dyDescent="0.2">
      <c r="C572" s="10" t="s">
        <v>12</v>
      </c>
      <c r="F572" s="16" t="s">
        <v>510</v>
      </c>
    </row>
    <row r="573" spans="3:6" x14ac:dyDescent="0.2">
      <c r="C573" s="10" t="s">
        <v>12</v>
      </c>
      <c r="F573" s="16" t="s">
        <v>511</v>
      </c>
    </row>
    <row r="574" spans="3:6" x14ac:dyDescent="0.2">
      <c r="C574" s="10" t="s">
        <v>12</v>
      </c>
      <c r="F574" s="16" t="s">
        <v>512</v>
      </c>
    </row>
    <row r="575" spans="3:6" x14ac:dyDescent="0.2">
      <c r="C575" s="10" t="s">
        <v>12</v>
      </c>
      <c r="F575" s="16" t="s">
        <v>513</v>
      </c>
    </row>
    <row r="576" spans="3:6" x14ac:dyDescent="0.2">
      <c r="C576" s="10" t="s">
        <v>12</v>
      </c>
      <c r="F576" s="16" t="s">
        <v>514</v>
      </c>
    </row>
    <row r="577" spans="3:6" x14ac:dyDescent="0.2">
      <c r="C577" s="10" t="s">
        <v>12</v>
      </c>
      <c r="F577" s="16" t="s">
        <v>515</v>
      </c>
    </row>
    <row r="578" spans="3:6" x14ac:dyDescent="0.2">
      <c r="C578" s="10" t="s">
        <v>12</v>
      </c>
      <c r="F578" s="16" t="s">
        <v>516</v>
      </c>
    </row>
    <row r="579" spans="3:6" x14ac:dyDescent="0.2">
      <c r="C579" s="10" t="s">
        <v>12</v>
      </c>
      <c r="F579" s="16" t="s">
        <v>517</v>
      </c>
    </row>
    <row r="580" spans="3:6" x14ac:dyDescent="0.2">
      <c r="C580" s="10" t="s">
        <v>12</v>
      </c>
      <c r="F580" s="16" t="s">
        <v>518</v>
      </c>
    </row>
    <row r="581" spans="3:6" x14ac:dyDescent="0.2">
      <c r="C581" s="10" t="s">
        <v>12</v>
      </c>
      <c r="F581" s="16" t="s">
        <v>519</v>
      </c>
    </row>
    <row r="582" spans="3:6" x14ac:dyDescent="0.2">
      <c r="C582" s="10" t="s">
        <v>12</v>
      </c>
      <c r="F582" s="16" t="s">
        <v>520</v>
      </c>
    </row>
    <row r="583" spans="3:6" x14ac:dyDescent="0.2">
      <c r="C583" s="10" t="s">
        <v>12</v>
      </c>
      <c r="F583" s="16" t="s">
        <v>521</v>
      </c>
    </row>
    <row r="584" spans="3:6" x14ac:dyDescent="0.2">
      <c r="C584" s="10" t="s">
        <v>12</v>
      </c>
      <c r="F584" s="16" t="s">
        <v>522</v>
      </c>
    </row>
    <row r="585" spans="3:6" x14ac:dyDescent="0.2">
      <c r="C585" s="10" t="s">
        <v>12</v>
      </c>
      <c r="F585" s="16" t="s">
        <v>523</v>
      </c>
    </row>
    <row r="586" spans="3:6" x14ac:dyDescent="0.2">
      <c r="C586" s="10" t="s">
        <v>12</v>
      </c>
      <c r="F586" s="16" t="s">
        <v>524</v>
      </c>
    </row>
    <row r="587" spans="3:6" x14ac:dyDescent="0.2">
      <c r="C587" s="10" t="s">
        <v>12</v>
      </c>
      <c r="F587" s="16" t="s">
        <v>525</v>
      </c>
    </row>
    <row r="588" spans="3:6" x14ac:dyDescent="0.2">
      <c r="C588" s="10" t="s">
        <v>12</v>
      </c>
      <c r="F588" s="16" t="s">
        <v>526</v>
      </c>
    </row>
    <row r="589" spans="3:6" x14ac:dyDescent="0.2">
      <c r="C589" s="10" t="s">
        <v>12</v>
      </c>
      <c r="F589" s="16" t="s">
        <v>527</v>
      </c>
    </row>
    <row r="590" spans="3:6" x14ac:dyDescent="0.2">
      <c r="C590" s="10" t="s">
        <v>12</v>
      </c>
      <c r="F590" s="16" t="s">
        <v>528</v>
      </c>
    </row>
    <row r="591" spans="3:6" x14ac:dyDescent="0.2">
      <c r="C591" s="10" t="s">
        <v>12</v>
      </c>
      <c r="F591" s="16" t="s">
        <v>529</v>
      </c>
    </row>
    <row r="592" spans="3:6" x14ac:dyDescent="0.2">
      <c r="C592" s="10" t="s">
        <v>12</v>
      </c>
      <c r="F592" s="16" t="s">
        <v>530</v>
      </c>
    </row>
    <row r="593" spans="3:6" x14ac:dyDescent="0.2">
      <c r="C593" s="10" t="s">
        <v>12</v>
      </c>
      <c r="F593" s="16" t="s">
        <v>531</v>
      </c>
    </row>
    <row r="594" spans="3:6" x14ac:dyDescent="0.2">
      <c r="C594" s="10" t="s">
        <v>12</v>
      </c>
      <c r="F594" s="16" t="s">
        <v>532</v>
      </c>
    </row>
    <row r="595" spans="3:6" x14ac:dyDescent="0.2">
      <c r="C595" s="10" t="s">
        <v>12</v>
      </c>
      <c r="F595" s="16" t="s">
        <v>533</v>
      </c>
    </row>
    <row r="596" spans="3:6" x14ac:dyDescent="0.2">
      <c r="C596" s="10" t="s">
        <v>12</v>
      </c>
      <c r="F596" s="16" t="s">
        <v>534</v>
      </c>
    </row>
    <row r="597" spans="3:6" x14ac:dyDescent="0.2">
      <c r="C597" s="10" t="s">
        <v>12</v>
      </c>
      <c r="F597" s="16" t="s">
        <v>535</v>
      </c>
    </row>
    <row r="598" spans="3:6" x14ac:dyDescent="0.2">
      <c r="C598" s="10" t="s">
        <v>12</v>
      </c>
      <c r="F598" s="16" t="s">
        <v>536</v>
      </c>
    </row>
    <row r="599" spans="3:6" x14ac:dyDescent="0.2">
      <c r="C599" s="10" t="s">
        <v>12</v>
      </c>
      <c r="F599" s="16" t="s">
        <v>537</v>
      </c>
    </row>
    <row r="600" spans="3:6" x14ac:dyDescent="0.2">
      <c r="C600" s="10" t="s">
        <v>12</v>
      </c>
      <c r="F600" s="16" t="s">
        <v>538</v>
      </c>
    </row>
    <row r="602" spans="3:6" x14ac:dyDescent="0.2">
      <c r="C602" s="10" t="s">
        <v>12</v>
      </c>
      <c r="F602" s="16" t="s">
        <v>8</v>
      </c>
    </row>
    <row r="603" spans="3:6" x14ac:dyDescent="0.2">
      <c r="C603" s="10" t="s">
        <v>12</v>
      </c>
      <c r="F603" s="16" t="s">
        <v>9</v>
      </c>
    </row>
    <row r="604" spans="3:6" x14ac:dyDescent="0.2">
      <c r="C604" s="10" t="s">
        <v>12</v>
      </c>
      <c r="F604" s="16" t="s">
        <v>96</v>
      </c>
    </row>
    <row r="605" spans="3:6" x14ac:dyDescent="0.2">
      <c r="C605" s="10" t="s">
        <v>12</v>
      </c>
      <c r="F605" s="16" t="s">
        <v>539</v>
      </c>
    </row>
    <row r="606" spans="3:6" x14ac:dyDescent="0.2">
      <c r="C606" s="10" t="s">
        <v>12</v>
      </c>
      <c r="F606" s="16" t="s">
        <v>540</v>
      </c>
    </row>
    <row r="607" spans="3:6" x14ac:dyDescent="0.2">
      <c r="C607" s="10" t="s">
        <v>12</v>
      </c>
      <c r="F607" s="16" t="s">
        <v>541</v>
      </c>
    </row>
    <row r="608" spans="3:6" x14ac:dyDescent="0.2">
      <c r="C608" s="10" t="s">
        <v>12</v>
      </c>
      <c r="F608" s="16" t="s">
        <v>542</v>
      </c>
    </row>
    <row r="609" spans="3:6" x14ac:dyDescent="0.2">
      <c r="C609" s="10" t="s">
        <v>12</v>
      </c>
      <c r="F609" s="16" t="s">
        <v>543</v>
      </c>
    </row>
    <row r="610" spans="3:6" x14ac:dyDescent="0.2">
      <c r="C610" s="10" t="s">
        <v>12</v>
      </c>
      <c r="F610" s="16" t="s">
        <v>544</v>
      </c>
    </row>
    <row r="611" spans="3:6" x14ac:dyDescent="0.2">
      <c r="C611" s="10" t="s">
        <v>12</v>
      </c>
      <c r="F611" s="16" t="s">
        <v>545</v>
      </c>
    </row>
    <row r="612" spans="3:6" x14ac:dyDescent="0.2">
      <c r="C612" s="10" t="s">
        <v>12</v>
      </c>
      <c r="F612" s="16" t="s">
        <v>546</v>
      </c>
    </row>
    <row r="613" spans="3:6" x14ac:dyDescent="0.2">
      <c r="C613" s="10" t="s">
        <v>12</v>
      </c>
      <c r="F613" s="16" t="s">
        <v>547</v>
      </c>
    </row>
    <row r="614" spans="3:6" x14ac:dyDescent="0.2">
      <c r="C614" s="10" t="s">
        <v>12</v>
      </c>
      <c r="F614" s="16" t="s">
        <v>548</v>
      </c>
    </row>
    <row r="615" spans="3:6" x14ac:dyDescent="0.2">
      <c r="C615" s="10" t="s">
        <v>12</v>
      </c>
      <c r="F615" s="16" t="s">
        <v>549</v>
      </c>
    </row>
    <row r="616" spans="3:6" x14ac:dyDescent="0.2">
      <c r="C616" s="10" t="s">
        <v>12</v>
      </c>
      <c r="F616" s="16" t="s">
        <v>550</v>
      </c>
    </row>
    <row r="617" spans="3:6" x14ac:dyDescent="0.2">
      <c r="C617" s="10" t="s">
        <v>12</v>
      </c>
      <c r="F617" s="16" t="s">
        <v>551</v>
      </c>
    </row>
    <row r="618" spans="3:6" x14ac:dyDescent="0.2">
      <c r="C618" s="10" t="s">
        <v>12</v>
      </c>
      <c r="F618" s="16" t="s">
        <v>552</v>
      </c>
    </row>
    <row r="619" spans="3:6" x14ac:dyDescent="0.2">
      <c r="C619" s="10" t="s">
        <v>12</v>
      </c>
      <c r="F619" s="16" t="s">
        <v>553</v>
      </c>
    </row>
    <row r="620" spans="3:6" x14ac:dyDescent="0.2">
      <c r="C620" s="10" t="s">
        <v>12</v>
      </c>
      <c r="F620" s="16" t="s">
        <v>554</v>
      </c>
    </row>
    <row r="621" spans="3:6" x14ac:dyDescent="0.2">
      <c r="C621" s="10" t="s">
        <v>12</v>
      </c>
      <c r="F621" s="16" t="s">
        <v>555</v>
      </c>
    </row>
    <row r="622" spans="3:6" x14ac:dyDescent="0.2">
      <c r="C622" s="10" t="s">
        <v>12</v>
      </c>
      <c r="F622" s="16" t="s">
        <v>556</v>
      </c>
    </row>
    <row r="623" spans="3:6" x14ac:dyDescent="0.2">
      <c r="C623" s="10" t="s">
        <v>12</v>
      </c>
      <c r="F623" s="16" t="s">
        <v>557</v>
      </c>
    </row>
    <row r="624" spans="3:6" x14ac:dyDescent="0.2">
      <c r="C624" s="10" t="s">
        <v>12</v>
      </c>
      <c r="F624" s="16" t="s">
        <v>558</v>
      </c>
    </row>
    <row r="625" spans="3:6" x14ac:dyDescent="0.2">
      <c r="C625" s="10" t="s">
        <v>12</v>
      </c>
      <c r="F625" s="16" t="s">
        <v>559</v>
      </c>
    </row>
    <row r="626" spans="3:6" x14ac:dyDescent="0.2">
      <c r="C626" s="10" t="s">
        <v>12</v>
      </c>
      <c r="F626" s="16" t="s">
        <v>560</v>
      </c>
    </row>
    <row r="627" spans="3:6" x14ac:dyDescent="0.2">
      <c r="C627" s="10" t="s">
        <v>12</v>
      </c>
      <c r="F627" s="16" t="s">
        <v>561</v>
      </c>
    </row>
    <row r="628" spans="3:6" x14ac:dyDescent="0.2">
      <c r="C628" s="10" t="s">
        <v>12</v>
      </c>
      <c r="F628" s="16" t="s">
        <v>562</v>
      </c>
    </row>
    <row r="629" spans="3:6" x14ac:dyDescent="0.2">
      <c r="C629" s="10" t="s">
        <v>12</v>
      </c>
      <c r="F629" s="16" t="s">
        <v>563</v>
      </c>
    </row>
    <row r="630" spans="3:6" x14ac:dyDescent="0.2">
      <c r="C630" s="10" t="s">
        <v>12</v>
      </c>
      <c r="F630" s="16" t="s">
        <v>564</v>
      </c>
    </row>
    <row r="631" spans="3:6" x14ac:dyDescent="0.2">
      <c r="C631" s="10" t="s">
        <v>12</v>
      </c>
      <c r="F631" s="16" t="s">
        <v>565</v>
      </c>
    </row>
    <row r="632" spans="3:6" x14ac:dyDescent="0.2">
      <c r="C632" s="10" t="s">
        <v>12</v>
      </c>
      <c r="F632" s="16" t="s">
        <v>566</v>
      </c>
    </row>
    <row r="633" spans="3:6" x14ac:dyDescent="0.2">
      <c r="C633" s="10" t="s">
        <v>12</v>
      </c>
      <c r="F633" s="16" t="s">
        <v>567</v>
      </c>
    </row>
    <row r="634" spans="3:6" x14ac:dyDescent="0.2">
      <c r="C634" s="10" t="s">
        <v>12</v>
      </c>
      <c r="F634" s="16" t="s">
        <v>568</v>
      </c>
    </row>
  </sheetData>
  <autoFilter ref="A1:L502" xr:uid="{00000000-0009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2023-06-15T16:47:39Z</dcterms:modified>
</cp:coreProperties>
</file>