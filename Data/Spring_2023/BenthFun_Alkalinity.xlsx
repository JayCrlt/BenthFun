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2AEBB131-511C-FC41-850E-7C9D8B687D9C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71" i="1" l="1"/>
  <c r="G571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K571" i="1" l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544" i="1" l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<sst xmlns="http://schemas.openxmlformats.org/spreadsheetml/2006/main" count="1918" uniqueCount="562">
  <si>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</si>
  <si>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</si>
  <si>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</si>
  <si>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</si>
  <si>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</si>
  <si>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</si>
  <si>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</si>
  <si>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</si>
  <si>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</si>
  <si>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</si>
  <si>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</si>
  <si>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</si>
  <si>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</si>
  <si>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</si>
  <si>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</si>
  <si>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</si>
  <si>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</si>
  <si>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</si>
  <si>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</si>
  <si>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</si>
  <si>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</si>
  <si>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</si>
  <si>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</si>
  <si>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</si>
  <si>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</si>
  <si>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</si>
  <si>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</si>
  <si>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</si>
  <si>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</si>
  <si>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</si>
  <si>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</si>
  <si>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</si>
  <si>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</si>
  <si>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</si>
  <si>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</si>
  <si>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</si>
  <si>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</si>
  <si>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</si>
  <si>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</si>
  <si>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</si>
  <si>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</si>
  <si>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</si>
  <si>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</si>
  <si>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</si>
  <si>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</si>
  <si>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</si>
  <si>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</si>
  <si>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</si>
  <si>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</si>
  <si>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</si>
  <si>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</si>
  <si>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</si>
  <si>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</si>
  <si>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</si>
  <si>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</si>
  <si>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</si>
  <si>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</si>
  <si>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</si>
  <si>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</si>
  <si>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</si>
  <si>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</si>
  <si>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</si>
  <si>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</si>
  <si>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</si>
  <si>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</si>
  <si>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</si>
  <si>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</si>
  <si>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</si>
  <si>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</si>
  <si>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</si>
  <si>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</si>
  <si>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</si>
  <si>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</si>
  <si>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</si>
  <si>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</si>
  <si>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</si>
  <si>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</si>
  <si>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</si>
  <si>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</si>
  <si>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</si>
  <si>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</si>
  <si>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</si>
  <si>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</si>
  <si>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</si>
  <si>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</si>
  <si>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</si>
  <si>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</si>
  <si>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</si>
  <si>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</si>
  <si>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</si>
  <si>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</si>
  <si>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</si>
  <si>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</si>
  <si>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</si>
  <si>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</si>
  <si>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</si>
  <si>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</si>
  <si>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</si>
  <si>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</si>
  <si>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</si>
  <si>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</si>
  <si>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</si>
  <si>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</si>
  <si>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</si>
  <si>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</si>
  <si>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</si>
  <si>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</si>
  <si>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</si>
  <si>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</si>
  <si>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</si>
  <si>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</si>
  <si>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</si>
  <si>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</si>
  <si>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</si>
  <si>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</si>
  <si>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</si>
  <si>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</si>
  <si>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</si>
  <si>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</si>
  <si>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</si>
  <si>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</si>
  <si>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</si>
  <si>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</si>
  <si>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</si>
  <si>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</si>
  <si>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</si>
  <si>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</si>
  <si>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</si>
  <si>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</si>
  <si>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</si>
  <si>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</si>
  <si>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</si>
  <si>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</si>
  <si>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</si>
  <si>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</si>
  <si>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</si>
  <si>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</si>
  <si>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</si>
  <si>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</si>
  <si>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</si>
  <si>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</si>
  <si>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</si>
  <si>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</si>
  <si>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</si>
  <si>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</si>
  <si>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</si>
  <si>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</si>
  <si>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</si>
  <si>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</si>
  <si>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</si>
  <si>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</si>
  <si>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</si>
  <si>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</si>
  <si>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</si>
  <si>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</si>
  <si>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</si>
  <si>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</si>
  <si>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</si>
  <si>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</si>
  <si>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</si>
  <si>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</si>
  <si>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</si>
  <si>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</si>
  <si>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</si>
  <si>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</si>
  <si>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</si>
  <si>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</si>
  <si>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</si>
  <si>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</si>
  <si>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</si>
  <si>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</si>
  <si>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</si>
  <si>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</si>
  <si>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</si>
  <si>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</si>
  <si>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</si>
  <si>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</si>
  <si>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</si>
  <si>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</si>
  <si>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</si>
  <si>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</si>
  <si>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</si>
  <si>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</si>
  <si>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</si>
  <si>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</si>
  <si>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</si>
  <si>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</si>
  <si>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</si>
  <si>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</si>
  <si>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</si>
  <si>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</si>
  <si>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</si>
  <si>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</si>
  <si>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</si>
  <si>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</si>
  <si>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</si>
  <si>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</si>
  <si>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</si>
  <si>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</si>
  <si>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</si>
  <si>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</si>
  <si>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</si>
  <si>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</si>
  <si>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</si>
  <si>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</si>
  <si>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</si>
  <si>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</si>
  <si>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</si>
  <si>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</si>
  <si>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</si>
  <si>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</si>
  <si>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</si>
  <si>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</si>
  <si>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</si>
  <si>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</si>
  <si>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</si>
  <si>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</si>
  <si>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</si>
  <si>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</si>
  <si>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</si>
  <si>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</si>
  <si>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</si>
  <si>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</si>
  <si>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</si>
  <si>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</si>
  <si>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</si>
  <si>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</si>
  <si>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</si>
  <si>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</si>
  <si>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</si>
  <si>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</si>
  <si>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</si>
  <si>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</si>
  <si>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</si>
  <si>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</si>
  <si>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</si>
  <si>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</si>
  <si>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</si>
  <si>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</si>
  <si>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</si>
  <si>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</si>
  <si>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</si>
  <si>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</si>
  <si>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</si>
  <si>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</si>
  <si>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</si>
  <si>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</si>
  <si>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</si>
  <si>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</si>
  <si>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</si>
  <si>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</si>
  <si>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</si>
  <si>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</si>
  <si>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</si>
  <si>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</si>
  <si>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</si>
  <si>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</si>
  <si>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</si>
  <si>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</si>
  <si>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</si>
  <si>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</si>
  <si>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</si>
  <si>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</si>
  <si>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</si>
  <si>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</si>
  <si>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</si>
  <si>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</si>
  <si>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</si>
  <si>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</si>
  <si>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</si>
  <si>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</si>
  <si>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</si>
  <si>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</si>
  <si>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</si>
  <si>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</si>
  <si>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</si>
  <si>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</si>
  <si>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</si>
  <si>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</si>
  <si>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</si>
  <si>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</si>
  <si>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</si>
  <si>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</si>
  <si>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</si>
  <si>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</si>
  <si>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</si>
  <si>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</si>
  <si>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</si>
  <si>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</si>
  <si>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</si>
  <si>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</si>
  <si>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</si>
  <si>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</si>
  <si>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</si>
  <si>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</si>
  <si>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</si>
  <si>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</si>
  <si>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</si>
  <si>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</si>
  <si>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</si>
  <si>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</si>
  <si>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</si>
  <si>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</si>
  <si>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</si>
  <si>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</si>
  <si>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</si>
  <si>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</si>
  <si>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</si>
  <si>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</si>
  <si>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</si>
  <si>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</si>
  <si>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</si>
  <si>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</si>
  <si>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</si>
  <si>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</si>
  <si>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</si>
  <si>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</si>
  <si>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</si>
  <si>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</si>
  <si>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</si>
  <si>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</si>
  <si>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</si>
  <si>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</si>
  <si>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</si>
  <si>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</si>
  <si>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</si>
  <si>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</si>
  <si>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</si>
  <si>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</si>
  <si>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</si>
  <si>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</si>
  <si>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</si>
  <si>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</si>
  <si>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</si>
  <si>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</si>
  <si>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</si>
  <si>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</si>
  <si>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</si>
  <si>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</si>
  <si>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</si>
  <si>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</si>
  <si>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</si>
  <si>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</si>
  <si>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</si>
  <si>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</si>
  <si>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</si>
  <si>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</si>
  <si>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</si>
  <si>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</si>
  <si>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</si>
  <si>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</si>
  <si>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</si>
  <si>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</si>
  <si>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</si>
  <si>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</si>
  <si>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</si>
  <si>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</si>
  <si>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</si>
  <si>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</si>
  <si>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</si>
  <si>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</si>
  <si>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</si>
  <si>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</si>
  <si>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</si>
  <si>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</si>
  <si>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</si>
  <si>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</si>
  <si>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</si>
  <si>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</si>
  <si>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</si>
  <si>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</si>
  <si>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</si>
  <si>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</si>
  <si>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</si>
  <si>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</si>
  <si>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</si>
  <si>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</si>
  <si>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</si>
  <si>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</si>
  <si>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</si>
  <si>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</si>
  <si>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</si>
  <si>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</si>
  <si>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</si>
  <si>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</si>
  <si>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</si>
  <si>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</si>
  <si>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</si>
  <si>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</si>
  <si>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</si>
  <si>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</si>
  <si>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</si>
  <si>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</si>
  <si>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</si>
  <si>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</si>
  <si>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</si>
  <si>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</si>
  <si>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</si>
  <si>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</si>
  <si>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</si>
  <si>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</si>
  <si>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</si>
  <si>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</si>
  <si>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</si>
  <si>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</si>
  <si>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</si>
  <si>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</si>
  <si>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</si>
  <si>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</si>
  <si>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</si>
  <si>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</si>
  <si>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</si>
  <si>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</si>
  <si>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</si>
  <si>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</si>
  <si>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</si>
  <si>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</si>
  <si>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</si>
  <si>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</si>
  <si>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</si>
  <si>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</si>
  <si>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</si>
  <si>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</si>
  <si>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</si>
  <si>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</si>
  <si>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</si>
  <si>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</si>
  <si>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</si>
  <si>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</si>
  <si>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</si>
  <si>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</si>
  <si>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</si>
  <si>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</si>
  <si>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</si>
  <si>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</si>
  <si>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</si>
  <si>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</si>
  <si>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</si>
  <si>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</si>
  <si>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</si>
  <si>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</si>
  <si>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</si>
  <si>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</si>
  <si>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</si>
  <si>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</si>
  <si>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</si>
  <si>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</si>
  <si>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</si>
  <si>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</si>
  <si>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</si>
  <si>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</si>
  <si>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</si>
  <si>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</si>
  <si>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</si>
  <si>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</si>
  <si>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</si>
  <si>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</si>
  <si>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</si>
  <si>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</si>
  <si>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</si>
  <si>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</si>
  <si>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</si>
  <si>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</si>
  <si>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</si>
  <si>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</si>
  <si>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</si>
  <si>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</si>
  <si>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</si>
  <si>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</si>
  <si>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</si>
  <si>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</si>
  <si>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</si>
  <si>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</si>
  <si>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</si>
  <si>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</si>
  <si>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</si>
  <si>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</si>
  <si>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</si>
  <si>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</si>
  <si>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</si>
  <si>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</si>
  <si>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</si>
  <si>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</si>
  <si>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</si>
  <si>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</si>
  <si>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</si>
  <si>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</si>
  <si>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</si>
  <si>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</si>
  <si>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</si>
  <si>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</si>
  <si>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</si>
  <si>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</si>
  <si>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</si>
  <si>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</si>
  <si>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</si>
  <si>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</si>
  <si>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</si>
  <si>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</si>
  <si>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</si>
  <si>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</si>
  <si>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</si>
  <si>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</si>
  <si>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</si>
  <si>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</si>
  <si>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</si>
  <si>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</si>
  <si>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</si>
  <si>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</si>
  <si>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</si>
  <si>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</si>
  <si>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</si>
  <si>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</si>
  <si>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</si>
  <si>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T2_t1_LOW_blank_01c</t>
  </si>
  <si>
    <t>T2_t1_LOW_tile_04a</t>
  </si>
  <si>
    <t>T2_t1_LOW_tile_04b</t>
  </si>
  <si>
    <t>T2_t1_LOW_tile_04c</t>
  </si>
  <si>
    <t>T2_t1_LOW_tile_05a</t>
  </si>
  <si>
    <t>T2_t1_LOW_tile_05b</t>
  </si>
  <si>
    <t>T2_t1_LOW_tile_05c</t>
  </si>
  <si>
    <t>T2_t1_LOW_tile_06a</t>
  </si>
  <si>
    <t>T2_t1_LOW_tile_06b</t>
  </si>
  <si>
    <t>T2_t1_LOW_tile_06c</t>
  </si>
  <si>
    <t>T2_t1_LOW_blank_02a</t>
  </si>
  <si>
    <t>T2_t1_LOW_blank_02b</t>
  </si>
  <si>
    <t>T2_t1_LOW_blank_02c</t>
  </si>
  <si>
    <t>T2_t0_AMB_blank_01a</t>
  </si>
  <si>
    <t>T2_t0_AMB_blank_01b</t>
  </si>
  <si>
    <t>T2_t0_AMB_blank_01c</t>
  </si>
  <si>
    <t>T2_t0_AMB_blank_02a</t>
  </si>
  <si>
    <t>T2_t0_AMB_blank_02b</t>
  </si>
  <si>
    <t>T2_t0_AMB_blank_02c</t>
  </si>
  <si>
    <t>T2_t1_AMB_tile_01a</t>
  </si>
  <si>
    <t>T2_t1_AMB_tile_01b</t>
  </si>
  <si>
    <t>T2_t1_AMB_tile_01c</t>
  </si>
  <si>
    <t>T2_t1_AMB_tile_02a</t>
  </si>
  <si>
    <t>T2_t1_AMB_tile_02b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</si>
  <si>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</si>
  <si>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</si>
  <si>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</si>
  <si>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</si>
  <si>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</si>
  <si>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</si>
  <si>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T2_t1_AMB_blank_01c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</si>
  <si>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</si>
  <si>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</si>
  <si>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</si>
  <si>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</si>
  <si>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</si>
  <si>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</si>
  <si>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</si>
  <si>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</si>
  <si>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T2_t1_AMB_tile_06c</t>
  </si>
  <si>
    <t>T2_t1_AMB_blank_02a</t>
  </si>
  <si>
    <t>T2_t1_AMB_blank_02b</t>
  </si>
  <si>
    <t>T2_t1_AMB_blank_02c</t>
  </si>
  <si>
    <t>PI_t5_AMB_Tile_3d</t>
  </si>
  <si>
    <t>PI_t6_AMB_Tile_3d</t>
  </si>
  <si>
    <t>Ali e Anto</t>
  </si>
  <si>
    <t>Tn_t1_LOW_blank_01d</t>
  </si>
  <si>
    <t>T2_t1_LOW_blank_01d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</si>
</sst>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20"/>
  <sheetViews>
    <sheetView tabSelected="1" zoomScale="90" zoomScaleNormal="73" workbookViewId="0">
      <pane ySplit="1" topLeftCell="A541" activePane="bottomLeft" state="frozen"/>
      <selection pane="bottomLeft" activeCell="F575" sqref="F575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557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558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461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462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463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464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465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466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2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2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2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2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2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2" x14ac:dyDescent="0.2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2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2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2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467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2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468</v>
      </c>
    </row>
    <row r="477" spans="1:12" x14ac:dyDescent="0.2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469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2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470</v>
      </c>
    </row>
    <row r="479" spans="1:12" x14ac:dyDescent="0.2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2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2" x14ac:dyDescent="0.2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2" x14ac:dyDescent="0.2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2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2" x14ac:dyDescent="0.2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2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2" x14ac:dyDescent="0.2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2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2" x14ac:dyDescent="0.2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2" x14ac:dyDescent="0.2">
      <c r="A489" s="9" t="s">
        <v>559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560</v>
      </c>
    </row>
    <row r="490" spans="1:12" x14ac:dyDescent="0.2">
      <c r="A490" s="9" t="s">
        <v>559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2">
      <c r="A491" s="9" t="s">
        <v>559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2">
      <c r="A492" s="9" t="s">
        <v>559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2">
      <c r="A493" s="9" t="s">
        <v>559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2">
      <c r="A494" s="9" t="s">
        <v>559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2" x14ac:dyDescent="0.2">
      <c r="A495" s="9" t="s">
        <v>559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2" x14ac:dyDescent="0.2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2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2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2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2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2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2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2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2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2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471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2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472</v>
      </c>
    </row>
    <row r="507" spans="1:11" x14ac:dyDescent="0.2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473</v>
      </c>
    </row>
    <row r="508" spans="1:11" x14ac:dyDescent="0.2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474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2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475</v>
      </c>
    </row>
    <row r="510" spans="1:11" x14ac:dyDescent="0.2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442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2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443</v>
      </c>
    </row>
    <row r="512" spans="1:11" x14ac:dyDescent="0.2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444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2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445</v>
      </c>
    </row>
    <row r="514" spans="1:11" x14ac:dyDescent="0.2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446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2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447</v>
      </c>
    </row>
    <row r="516" spans="1:11" x14ac:dyDescent="0.2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448</v>
      </c>
      <c r="G516" s="13" t="s">
        <v>153</v>
      </c>
      <c r="H516" s="18" t="s">
        <v>153</v>
      </c>
      <c r="K516" s="5" t="s">
        <v>153</v>
      </c>
    </row>
    <row r="517" spans="1:11" x14ac:dyDescent="0.2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449</v>
      </c>
    </row>
    <row r="518" spans="1:11" x14ac:dyDescent="0.2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450</v>
      </c>
    </row>
    <row r="519" spans="1:11" x14ac:dyDescent="0.2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451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2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452</v>
      </c>
    </row>
    <row r="521" spans="1:11" x14ac:dyDescent="0.2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453</v>
      </c>
    </row>
    <row r="522" spans="1:11" x14ac:dyDescent="0.2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454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2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455</v>
      </c>
    </row>
    <row r="524" spans="1:11" x14ac:dyDescent="0.2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456</v>
      </c>
    </row>
    <row r="525" spans="1:11" x14ac:dyDescent="0.2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457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2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458</v>
      </c>
    </row>
    <row r="527" spans="1:11" x14ac:dyDescent="0.2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459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2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460</v>
      </c>
    </row>
    <row r="529" spans="1:12" x14ac:dyDescent="0.2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2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2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2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476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2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477</v>
      </c>
    </row>
    <row r="534" spans="1:12" x14ac:dyDescent="0.2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478</v>
      </c>
    </row>
    <row r="535" spans="1:12" x14ac:dyDescent="0.2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479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2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480</v>
      </c>
    </row>
    <row r="537" spans="1:12" x14ac:dyDescent="0.2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481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2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482</v>
      </c>
    </row>
    <row r="539" spans="1:12" x14ac:dyDescent="0.2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483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2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484</v>
      </c>
    </row>
    <row r="541" spans="1:12" x14ac:dyDescent="0.2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485</v>
      </c>
    </row>
    <row r="542" spans="1:12" x14ac:dyDescent="0.2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486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2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487</v>
      </c>
    </row>
    <row r="544" spans="1:12" x14ac:dyDescent="0.2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488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2" x14ac:dyDescent="0.2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489</v>
      </c>
    </row>
    <row r="546" spans="1:12" x14ac:dyDescent="0.2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490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2" x14ac:dyDescent="0.2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491</v>
      </c>
    </row>
    <row r="548" spans="1:12" x14ac:dyDescent="0.2">
      <c r="A548" s="15" t="s">
        <v>11</v>
      </c>
      <c r="B548" s="31">
        <v>45097</v>
      </c>
      <c r="C548" s="10" t="s">
        <v>12</v>
      </c>
      <c r="D548" s="5">
        <v>48.87</v>
      </c>
      <c r="E548" s="5">
        <v>2704.4</v>
      </c>
      <c r="F548" s="16" t="s">
        <v>492</v>
      </c>
      <c r="G548" s="13">
        <f>AVERAGE(E548,E550)</f>
        <v>2701.8249999999998</v>
      </c>
      <c r="H548" s="18">
        <f>STDEV(E548,E550)</f>
        <v>3.6415999231107841</v>
      </c>
      <c r="K548" s="5">
        <f>G548+$J$555</f>
        <v>2689.5349999999999</v>
      </c>
    </row>
    <row r="549" spans="1:12" x14ac:dyDescent="0.2">
      <c r="A549" s="15" t="s">
        <v>11</v>
      </c>
      <c r="B549" s="31">
        <v>45097</v>
      </c>
      <c r="C549" s="10" t="s">
        <v>12</v>
      </c>
      <c r="D549" s="5">
        <v>52.52</v>
      </c>
      <c r="E549" s="14">
        <v>2683.22</v>
      </c>
      <c r="F549" s="16" t="s">
        <v>493</v>
      </c>
    </row>
    <row r="550" spans="1:12" x14ac:dyDescent="0.2">
      <c r="A550" s="15" t="s">
        <v>11</v>
      </c>
      <c r="B550" s="31">
        <v>45097</v>
      </c>
      <c r="C550" s="10" t="s">
        <v>12</v>
      </c>
      <c r="D550" s="5">
        <v>49.36</v>
      </c>
      <c r="E550" s="5">
        <v>2699.25</v>
      </c>
      <c r="F550" s="16" t="s">
        <v>494</v>
      </c>
    </row>
    <row r="551" spans="1:12" x14ac:dyDescent="0.2">
      <c r="A551" s="15" t="s">
        <v>11</v>
      </c>
      <c r="B551" s="31">
        <v>45097</v>
      </c>
      <c r="C551" s="10" t="s">
        <v>12</v>
      </c>
      <c r="D551" s="5">
        <v>51.3</v>
      </c>
      <c r="E551" s="5">
        <v>2640.94</v>
      </c>
      <c r="F551" s="16" t="s">
        <v>495</v>
      </c>
      <c r="G551" s="13">
        <f>AVERAGE(E551:E552)</f>
        <v>2638.4750000000004</v>
      </c>
      <c r="H551" s="18">
        <f>STDEV(E551:E552)</f>
        <v>3.4860364312495635</v>
      </c>
      <c r="K551" s="5">
        <f>G551+$J$555</f>
        <v>2626.1850000000004</v>
      </c>
    </row>
    <row r="552" spans="1:12" x14ac:dyDescent="0.2">
      <c r="A552" s="15" t="s">
        <v>11</v>
      </c>
      <c r="B552" s="31">
        <v>45097</v>
      </c>
      <c r="C552" s="10" t="s">
        <v>12</v>
      </c>
      <c r="D552" s="5">
        <v>51.34</v>
      </c>
      <c r="E552" s="5">
        <v>2636.01</v>
      </c>
      <c r="F552" s="16" t="s">
        <v>496</v>
      </c>
    </row>
    <row r="553" spans="1:12" x14ac:dyDescent="0.2">
      <c r="A553" s="15" t="s">
        <v>11</v>
      </c>
      <c r="B553" s="31">
        <v>45097</v>
      </c>
      <c r="C553" s="10" t="s">
        <v>12</v>
      </c>
      <c r="D553" s="5">
        <v>50.11</v>
      </c>
      <c r="E553" s="5">
        <v>2711.66</v>
      </c>
      <c r="F553" s="16" t="s">
        <v>497</v>
      </c>
      <c r="G553" s="13">
        <f>AVERAGE(E553:E554)</f>
        <v>2712.0249999999996</v>
      </c>
      <c r="H553" s="18">
        <f>STDEV(E553:E554)</f>
        <v>0.51618795026619257</v>
      </c>
      <c r="K553" s="5">
        <f>G553+$J$555</f>
        <v>2699.7349999999997</v>
      </c>
    </row>
    <row r="554" spans="1:12" x14ac:dyDescent="0.2">
      <c r="A554" s="15" t="s">
        <v>11</v>
      </c>
      <c r="B554" s="31">
        <v>45097</v>
      </c>
      <c r="C554" s="10" t="s">
        <v>12</v>
      </c>
      <c r="D554" s="5">
        <v>48.8</v>
      </c>
      <c r="E554" s="5">
        <v>2712.39</v>
      </c>
      <c r="F554" s="16" t="s">
        <v>498</v>
      </c>
    </row>
    <row r="555" spans="1:12" x14ac:dyDescent="0.2">
      <c r="A555" s="15" t="s">
        <v>11</v>
      </c>
      <c r="B555" s="31">
        <v>45097</v>
      </c>
      <c r="C555" s="10" t="s">
        <v>12</v>
      </c>
      <c r="D555" s="5">
        <v>51.36</v>
      </c>
      <c r="E555" s="5">
        <v>2239.0100000000002</v>
      </c>
      <c r="F555" s="16" t="s">
        <v>8</v>
      </c>
      <c r="G555" s="13">
        <f>AVERAGE(E555,E557)</f>
        <v>2238.73</v>
      </c>
      <c r="H555" s="18">
        <f>STDEV(E555,E557)</f>
        <v>0.39597979746474959</v>
      </c>
      <c r="I555" s="3">
        <v>2226.44</v>
      </c>
      <c r="J555" s="4">
        <f>I555-G555</f>
        <v>-12.289999999999964</v>
      </c>
      <c r="K555" s="5">
        <f>G555+J555</f>
        <v>2226.44</v>
      </c>
      <c r="L555" s="2" t="s">
        <v>94</v>
      </c>
    </row>
    <row r="556" spans="1:12" x14ac:dyDescent="0.2">
      <c r="A556" s="15" t="s">
        <v>11</v>
      </c>
      <c r="B556" s="31">
        <v>45097</v>
      </c>
      <c r="C556" s="10" t="s">
        <v>12</v>
      </c>
      <c r="D556" s="5">
        <v>50.73</v>
      </c>
      <c r="E556" s="14">
        <v>2231.81</v>
      </c>
      <c r="F556" s="16" t="s">
        <v>9</v>
      </c>
    </row>
    <row r="557" spans="1:12" x14ac:dyDescent="0.2">
      <c r="A557" s="15" t="s">
        <v>11</v>
      </c>
      <c r="B557" s="31">
        <v>45097</v>
      </c>
      <c r="C557" s="10" t="s">
        <v>12</v>
      </c>
      <c r="D557" s="5">
        <v>50.26</v>
      </c>
      <c r="E557" s="5">
        <v>2238.4499999999998</v>
      </c>
      <c r="F557" s="16" t="s">
        <v>96</v>
      </c>
    </row>
    <row r="558" spans="1:12" x14ac:dyDescent="0.2">
      <c r="A558" s="15" t="s">
        <v>11</v>
      </c>
      <c r="B558" s="31">
        <v>45097</v>
      </c>
      <c r="C558" s="10" t="s">
        <v>12</v>
      </c>
      <c r="D558" s="5">
        <v>51.47</v>
      </c>
      <c r="E558" s="5">
        <v>2690.61</v>
      </c>
      <c r="F558" s="16" t="s">
        <v>499</v>
      </c>
      <c r="G558" s="13">
        <f>AVERAGE(E558:E559)</f>
        <v>2690.6800000000003</v>
      </c>
      <c r="H558" s="18">
        <f>STDEV(E558:E559)</f>
        <v>9.8994949366026611E-2</v>
      </c>
      <c r="K558" s="5">
        <f>G558+$J$555</f>
        <v>2678.3900000000003</v>
      </c>
    </row>
    <row r="559" spans="1:12" x14ac:dyDescent="0.2">
      <c r="A559" s="15" t="s">
        <v>11</v>
      </c>
      <c r="B559" s="31">
        <v>45097</v>
      </c>
      <c r="C559" s="10" t="s">
        <v>12</v>
      </c>
      <c r="D559" s="5">
        <v>50.06</v>
      </c>
      <c r="E559" s="5">
        <v>2690.75</v>
      </c>
      <c r="F559" s="16" t="s">
        <v>500</v>
      </c>
    </row>
    <row r="560" spans="1:12" x14ac:dyDescent="0.2">
      <c r="A560" s="15" t="s">
        <v>11</v>
      </c>
      <c r="B560" s="31">
        <v>45097</v>
      </c>
      <c r="C560" s="10" t="s">
        <v>12</v>
      </c>
      <c r="D560" s="5">
        <v>50.17</v>
      </c>
      <c r="E560" s="5">
        <v>2691.62</v>
      </c>
      <c r="F560" s="16" t="s">
        <v>501</v>
      </c>
      <c r="G560" s="13">
        <f>AVERAGE(E560:E561)</f>
        <v>2689.1549999999997</v>
      </c>
      <c r="H560" s="18">
        <f>STDEV(E560:E561)</f>
        <v>3.4860364312495635</v>
      </c>
      <c r="K560" s="5">
        <f>G560+$J$555</f>
        <v>2676.8649999999998</v>
      </c>
    </row>
    <row r="561" spans="1:11" x14ac:dyDescent="0.2">
      <c r="A561" s="15" t="s">
        <v>11</v>
      </c>
      <c r="B561" s="31">
        <v>45097</v>
      </c>
      <c r="C561" s="10" t="s">
        <v>12</v>
      </c>
      <c r="D561" s="5">
        <v>48.26</v>
      </c>
      <c r="E561" s="5">
        <v>2686.69</v>
      </c>
      <c r="F561" s="16" t="s">
        <v>502</v>
      </c>
    </row>
    <row r="562" spans="1:11" x14ac:dyDescent="0.2">
      <c r="A562" s="15" t="s">
        <v>11</v>
      </c>
      <c r="B562" s="31">
        <v>45097</v>
      </c>
      <c r="C562" s="10" t="s">
        <v>12</v>
      </c>
      <c r="D562" s="5">
        <v>50.08</v>
      </c>
      <c r="E562" s="14">
        <v>2557.08</v>
      </c>
      <c r="F562" s="16" t="s">
        <v>503</v>
      </c>
      <c r="G562" s="13">
        <f>AVERAGE(E563:E564)</f>
        <v>2536</v>
      </c>
      <c r="H562" s="18">
        <f>STDEV(E563:E564)</f>
        <v>3.450681092190429</v>
      </c>
      <c r="K562" s="5">
        <f>G562+$J$555</f>
        <v>2523.71</v>
      </c>
    </row>
    <row r="563" spans="1:11" x14ac:dyDescent="0.2">
      <c r="A563" s="15" t="s">
        <v>11</v>
      </c>
      <c r="B563" s="31">
        <v>45097</v>
      </c>
      <c r="C563" s="10" t="s">
        <v>12</v>
      </c>
      <c r="D563" s="5">
        <v>50.13</v>
      </c>
      <c r="E563" s="5">
        <v>2533.56</v>
      </c>
      <c r="F563" s="16" t="s">
        <v>504</v>
      </c>
    </row>
    <row r="564" spans="1:11" x14ac:dyDescent="0.2">
      <c r="A564" s="15" t="s">
        <v>11</v>
      </c>
      <c r="B564" s="31">
        <v>45097</v>
      </c>
      <c r="C564" s="10" t="s">
        <v>12</v>
      </c>
      <c r="D564" s="5">
        <v>50.27</v>
      </c>
      <c r="E564" s="5">
        <v>2538.44</v>
      </c>
      <c r="F564" s="16" t="s">
        <v>505</v>
      </c>
    </row>
    <row r="565" spans="1:11" x14ac:dyDescent="0.2">
      <c r="A565" s="15" t="s">
        <v>11</v>
      </c>
      <c r="B565" s="31">
        <v>45097</v>
      </c>
      <c r="C565" s="10" t="s">
        <v>12</v>
      </c>
      <c r="D565" s="5">
        <v>49.95</v>
      </c>
      <c r="E565" s="5">
        <v>2543.7600000000002</v>
      </c>
      <c r="F565" s="16" t="s">
        <v>506</v>
      </c>
      <c r="G565" s="13">
        <f>AVERAGE(E565,E567)</f>
        <v>2541.835</v>
      </c>
      <c r="H565" s="18">
        <f>STDEV(E565,E567)</f>
        <v>2.7223611075684651</v>
      </c>
      <c r="K565" s="5">
        <f>G565+$J$555</f>
        <v>2529.5450000000001</v>
      </c>
    </row>
    <row r="566" spans="1:11" x14ac:dyDescent="0.2">
      <c r="A566" s="15" t="s">
        <v>11</v>
      </c>
      <c r="B566" s="31">
        <v>45097</v>
      </c>
      <c r="C566" s="10" t="s">
        <v>12</v>
      </c>
      <c r="D566" s="5">
        <v>50.02</v>
      </c>
      <c r="E566" s="14">
        <v>2532.9699999999998</v>
      </c>
      <c r="F566" s="16" t="s">
        <v>507</v>
      </c>
    </row>
    <row r="567" spans="1:11" x14ac:dyDescent="0.2">
      <c r="A567" s="15" t="s">
        <v>11</v>
      </c>
      <c r="B567" s="31">
        <v>45097</v>
      </c>
      <c r="C567" s="10" t="s">
        <v>12</v>
      </c>
      <c r="D567" s="5">
        <v>50.06</v>
      </c>
      <c r="E567" s="5">
        <v>2539.91</v>
      </c>
      <c r="F567" s="16" t="s">
        <v>508</v>
      </c>
    </row>
    <row r="568" spans="1:11" x14ac:dyDescent="0.2">
      <c r="A568" s="15" t="s">
        <v>11</v>
      </c>
      <c r="B568" s="31">
        <v>45097</v>
      </c>
      <c r="C568" s="10" t="s">
        <v>12</v>
      </c>
      <c r="D568" s="5">
        <v>50.55</v>
      </c>
      <c r="E568" s="5">
        <v>2542.6</v>
      </c>
      <c r="F568" s="16" t="s">
        <v>509</v>
      </c>
      <c r="G568" s="13">
        <f>AVERAGE(E568,E570)</f>
        <v>2540.7649999999999</v>
      </c>
      <c r="H568" s="18">
        <f>STDEV(E568,E570)</f>
        <v>2.5950818869546808</v>
      </c>
      <c r="K568" s="5">
        <f>G568+$J$555</f>
        <v>2528.4749999999999</v>
      </c>
    </row>
    <row r="569" spans="1:11" x14ac:dyDescent="0.2">
      <c r="A569" s="15" t="s">
        <v>11</v>
      </c>
      <c r="B569" s="31">
        <v>45097</v>
      </c>
      <c r="C569" s="10" t="s">
        <v>12</v>
      </c>
      <c r="D569" s="5">
        <v>48.6</v>
      </c>
      <c r="E569" s="14">
        <v>2526.31</v>
      </c>
      <c r="F569" s="16" t="s">
        <v>510</v>
      </c>
    </row>
    <row r="570" spans="1:11" x14ac:dyDescent="0.2">
      <c r="A570" s="15" t="s">
        <v>11</v>
      </c>
      <c r="B570" s="31">
        <v>45097</v>
      </c>
      <c r="C570" s="10" t="s">
        <v>12</v>
      </c>
      <c r="D570" s="5">
        <v>50.59</v>
      </c>
      <c r="E570" s="5">
        <v>2538.9299999999998</v>
      </c>
      <c r="F570" s="16" t="s">
        <v>511</v>
      </c>
    </row>
    <row r="571" spans="1:11" x14ac:dyDescent="0.2">
      <c r="A571" s="15" t="s">
        <v>11</v>
      </c>
      <c r="B571" s="31">
        <v>45097</v>
      </c>
      <c r="C571" s="10" t="s">
        <v>12</v>
      </c>
      <c r="D571" s="5">
        <v>50.83</v>
      </c>
      <c r="E571" s="5">
        <v>2701.73</v>
      </c>
      <c r="F571" s="16" t="s">
        <v>512</v>
      </c>
      <c r="G571" s="13">
        <f>AVERAGE(E571:E572)</f>
        <v>2695.91</v>
      </c>
      <c r="H571" s="18">
        <f>STDEV(E571:E572)</f>
        <v>8.2307229330113234</v>
      </c>
      <c r="K571" s="5">
        <f>G571+$J$555</f>
        <v>2683.62</v>
      </c>
    </row>
    <row r="572" spans="1:11" x14ac:dyDescent="0.2">
      <c r="A572" s="15" t="s">
        <v>11</v>
      </c>
      <c r="B572" s="31">
        <v>45097</v>
      </c>
      <c r="C572" s="10" t="s">
        <v>12</v>
      </c>
      <c r="D572" s="5">
        <v>50.75</v>
      </c>
      <c r="E572" s="5">
        <v>2690.09</v>
      </c>
      <c r="F572" s="16" t="s">
        <v>513</v>
      </c>
    </row>
    <row r="573" spans="1:11" x14ac:dyDescent="0.2">
      <c r="A573" s="15" t="s">
        <v>11</v>
      </c>
      <c r="B573" s="31">
        <v>45097</v>
      </c>
      <c r="C573" s="10" t="s">
        <v>12</v>
      </c>
      <c r="D573" s="5">
        <v>48.88</v>
      </c>
      <c r="E573" s="5">
        <v>2710.48</v>
      </c>
      <c r="F573" s="16" t="s">
        <v>514</v>
      </c>
    </row>
    <row r="574" spans="1:11" x14ac:dyDescent="0.2">
      <c r="C574" s="10" t="s">
        <v>12</v>
      </c>
      <c r="F574" s="16" t="s">
        <v>561</v>
      </c>
    </row>
    <row r="575" spans="1:11" x14ac:dyDescent="0.2">
      <c r="C575" s="10"/>
      <c r="F575" s="16"/>
    </row>
    <row r="576" spans="1:11" x14ac:dyDescent="0.2">
      <c r="C576" s="10" t="s">
        <v>12</v>
      </c>
      <c r="F576" s="16" t="s">
        <v>8</v>
      </c>
    </row>
    <row r="577" spans="3:6" x14ac:dyDescent="0.2">
      <c r="C577" s="10" t="s">
        <v>12</v>
      </c>
      <c r="F577" s="16" t="s">
        <v>9</v>
      </c>
    </row>
    <row r="578" spans="3:6" x14ac:dyDescent="0.2">
      <c r="C578" s="10" t="s">
        <v>12</v>
      </c>
      <c r="F578" s="16" t="s">
        <v>96</v>
      </c>
    </row>
    <row r="579" spans="3:6" x14ac:dyDescent="0.2">
      <c r="C579" s="10" t="s">
        <v>12</v>
      </c>
      <c r="F579" s="16" t="s">
        <v>515</v>
      </c>
    </row>
    <row r="580" spans="3:6" x14ac:dyDescent="0.2">
      <c r="C580" s="10" t="s">
        <v>12</v>
      </c>
      <c r="F580" s="16" t="s">
        <v>516</v>
      </c>
    </row>
    <row r="581" spans="3:6" x14ac:dyDescent="0.2">
      <c r="C581" s="10" t="s">
        <v>12</v>
      </c>
      <c r="F581" s="16" t="s">
        <v>517</v>
      </c>
    </row>
    <row r="582" spans="3:6" x14ac:dyDescent="0.2">
      <c r="C582" s="10" t="s">
        <v>12</v>
      </c>
      <c r="F582" s="16" t="s">
        <v>518</v>
      </c>
    </row>
    <row r="583" spans="3:6" x14ac:dyDescent="0.2">
      <c r="C583" s="10" t="s">
        <v>12</v>
      </c>
      <c r="F583" s="16" t="s">
        <v>519</v>
      </c>
    </row>
    <row r="584" spans="3:6" x14ac:dyDescent="0.2">
      <c r="C584" s="10" t="s">
        <v>12</v>
      </c>
      <c r="F584" s="16" t="s">
        <v>520</v>
      </c>
    </row>
    <row r="585" spans="3:6" x14ac:dyDescent="0.2">
      <c r="C585" s="10" t="s">
        <v>12</v>
      </c>
      <c r="F585" s="16" t="s">
        <v>521</v>
      </c>
    </row>
    <row r="586" spans="3:6" x14ac:dyDescent="0.2">
      <c r="C586" s="10" t="s">
        <v>12</v>
      </c>
      <c r="F586" s="16" t="s">
        <v>522</v>
      </c>
    </row>
    <row r="587" spans="3:6" x14ac:dyDescent="0.2">
      <c r="C587" s="10" t="s">
        <v>12</v>
      </c>
      <c r="F587" s="16" t="s">
        <v>523</v>
      </c>
    </row>
    <row r="588" spans="3:6" x14ac:dyDescent="0.2">
      <c r="C588" s="10" t="s">
        <v>12</v>
      </c>
      <c r="F588" s="16" t="s">
        <v>524</v>
      </c>
    </row>
    <row r="589" spans="3:6" x14ac:dyDescent="0.2">
      <c r="C589" s="10" t="s">
        <v>12</v>
      </c>
      <c r="F589" s="16" t="s">
        <v>525</v>
      </c>
    </row>
    <row r="590" spans="3:6" x14ac:dyDescent="0.2">
      <c r="C590" s="10" t="s">
        <v>12</v>
      </c>
      <c r="F590" s="16" t="s">
        <v>526</v>
      </c>
    </row>
    <row r="591" spans="3:6" x14ac:dyDescent="0.2">
      <c r="C591" s="10" t="s">
        <v>12</v>
      </c>
      <c r="F591" s="16" t="s">
        <v>527</v>
      </c>
    </row>
    <row r="592" spans="3:6" x14ac:dyDescent="0.2">
      <c r="C592" s="10" t="s">
        <v>12</v>
      </c>
      <c r="F592" s="16" t="s">
        <v>528</v>
      </c>
    </row>
    <row r="593" spans="3:6" x14ac:dyDescent="0.2">
      <c r="C593" s="10" t="s">
        <v>12</v>
      </c>
      <c r="F593" s="16" t="s">
        <v>529</v>
      </c>
    </row>
    <row r="594" spans="3:6" x14ac:dyDescent="0.2">
      <c r="C594" s="10" t="s">
        <v>12</v>
      </c>
      <c r="F594" s="16" t="s">
        <v>530</v>
      </c>
    </row>
    <row r="595" spans="3:6" x14ac:dyDescent="0.2">
      <c r="C595" s="10" t="s">
        <v>12</v>
      </c>
      <c r="F595" s="16" t="s">
        <v>531</v>
      </c>
    </row>
    <row r="596" spans="3:6" x14ac:dyDescent="0.2">
      <c r="C596" s="10" t="s">
        <v>12</v>
      </c>
      <c r="F596" s="16" t="s">
        <v>532</v>
      </c>
    </row>
    <row r="597" spans="3:6" x14ac:dyDescent="0.2">
      <c r="C597" s="10" t="s">
        <v>12</v>
      </c>
      <c r="F597" s="16" t="s">
        <v>533</v>
      </c>
    </row>
    <row r="598" spans="3:6" x14ac:dyDescent="0.2">
      <c r="C598" s="10" t="s">
        <v>12</v>
      </c>
      <c r="F598" s="16" t="s">
        <v>534</v>
      </c>
    </row>
    <row r="599" spans="3:6" x14ac:dyDescent="0.2">
      <c r="C599" s="10" t="s">
        <v>12</v>
      </c>
      <c r="F599" s="16" t="s">
        <v>535</v>
      </c>
    </row>
    <row r="600" spans="3:6" x14ac:dyDescent="0.2">
      <c r="C600" s="10" t="s">
        <v>12</v>
      </c>
      <c r="F600" s="16" t="s">
        <v>536</v>
      </c>
    </row>
    <row r="601" spans="3:6" x14ac:dyDescent="0.2">
      <c r="C601" s="10" t="s">
        <v>12</v>
      </c>
      <c r="F601" s="16" t="s">
        <v>537</v>
      </c>
    </row>
    <row r="602" spans="3:6" x14ac:dyDescent="0.2">
      <c r="C602" s="10" t="s">
        <v>12</v>
      </c>
      <c r="F602" s="16" t="s">
        <v>538</v>
      </c>
    </row>
    <row r="603" spans="3:6" x14ac:dyDescent="0.2">
      <c r="C603" s="10" t="s">
        <v>12</v>
      </c>
      <c r="F603" s="16" t="s">
        <v>539</v>
      </c>
    </row>
    <row r="604" spans="3:6" x14ac:dyDescent="0.2">
      <c r="C604" s="10" t="s">
        <v>12</v>
      </c>
      <c r="F604" s="16" t="s">
        <v>540</v>
      </c>
    </row>
    <row r="605" spans="3:6" x14ac:dyDescent="0.2">
      <c r="C605" s="10" t="s">
        <v>12</v>
      </c>
      <c r="F605" s="16" t="s">
        <v>541</v>
      </c>
    </row>
    <row r="606" spans="3:6" x14ac:dyDescent="0.2">
      <c r="C606" s="10" t="s">
        <v>12</v>
      </c>
      <c r="F606" s="16" t="s">
        <v>542</v>
      </c>
    </row>
    <row r="607" spans="3:6" x14ac:dyDescent="0.2">
      <c r="C607" s="10" t="s">
        <v>12</v>
      </c>
      <c r="F607" s="16" t="s">
        <v>543</v>
      </c>
    </row>
    <row r="608" spans="3:6" x14ac:dyDescent="0.2">
      <c r="C608" s="10" t="s">
        <v>12</v>
      </c>
      <c r="F608" s="16" t="s">
        <v>544</v>
      </c>
    </row>
    <row r="609" spans="3:6" x14ac:dyDescent="0.2">
      <c r="C609" s="10" t="s">
        <v>12</v>
      </c>
      <c r="F609" s="16" t="s">
        <v>545</v>
      </c>
    </row>
    <row r="610" spans="3:6" x14ac:dyDescent="0.2">
      <c r="C610" s="10" t="s">
        <v>12</v>
      </c>
      <c r="F610" s="16" t="s">
        <v>546</v>
      </c>
    </row>
    <row r="611" spans="3:6" x14ac:dyDescent="0.2">
      <c r="C611" s="10" t="s">
        <v>12</v>
      </c>
      <c r="F611" s="16" t="s">
        <v>547</v>
      </c>
    </row>
    <row r="612" spans="3:6" x14ac:dyDescent="0.2">
      <c r="C612" s="10" t="s">
        <v>12</v>
      </c>
      <c r="F612" s="16" t="s">
        <v>548</v>
      </c>
    </row>
    <row r="613" spans="3:6" x14ac:dyDescent="0.2">
      <c r="C613" s="10" t="s">
        <v>12</v>
      </c>
      <c r="F613" s="16" t="s">
        <v>549</v>
      </c>
    </row>
    <row r="614" spans="3:6" x14ac:dyDescent="0.2">
      <c r="C614" s="10" t="s">
        <v>12</v>
      </c>
      <c r="F614" s="16" t="s">
        <v>550</v>
      </c>
    </row>
    <row r="615" spans="3:6" x14ac:dyDescent="0.2">
      <c r="C615" s="10" t="s">
        <v>12</v>
      </c>
      <c r="F615" s="16" t="s">
        <v>551</v>
      </c>
    </row>
    <row r="616" spans="3:6" x14ac:dyDescent="0.2">
      <c r="C616" s="10" t="s">
        <v>12</v>
      </c>
      <c r="F616" s="16" t="s">
        <v>552</v>
      </c>
    </row>
    <row r="617" spans="3:6" x14ac:dyDescent="0.2">
      <c r="C617" s="10" t="s">
        <v>12</v>
      </c>
      <c r="F617" s="16" t="s">
        <v>553</v>
      </c>
    </row>
    <row r="618" spans="3:6" x14ac:dyDescent="0.2">
      <c r="C618" s="10" t="s">
        <v>12</v>
      </c>
      <c r="F618" s="16" t="s">
        <v>554</v>
      </c>
    </row>
    <row r="619" spans="3:6" x14ac:dyDescent="0.2">
      <c r="C619" s="10" t="s">
        <v>12</v>
      </c>
      <c r="F619" s="16" t="s">
        <v>555</v>
      </c>
    </row>
    <row r="620" spans="3:6" x14ac:dyDescent="0.2">
      <c r="C620" s="10" t="s">
        <v>12</v>
      </c>
      <c r="F620" s="16" t="s">
        <v>556</v>
      </c>
    </row>
  </sheetData>
  <autoFilter ref="A1:L554" xr:uid="{00000000-0009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2023-06-20T17:19:21Z</dcterms:modified>
</cp:coreProperties>
</file>