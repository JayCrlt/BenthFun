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48732D29-F85B-7F45-A400-0EEF60E8939A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50" i="1" l="1"/>
  <c r="K347" i="1"/>
  <c r="J333" i="1"/>
  <c r="G333" i="1"/>
  <c r="H333" i="1"/>
  <c r="H338" i="1"/>
  <c r="G338" i="1"/>
  <c r="G344" i="1"/>
  <c r="H344" i="1"/>
  <c r="H341" i="1"/>
  <c r="G341" i="1"/>
  <c r="H399" i="1"/>
  <c r="G399" i="1"/>
  <c r="H396" i="1"/>
  <c r="G396" i="1"/>
  <c r="H393" i="1"/>
  <c r="G393" i="1"/>
  <c r="H390" i="1"/>
  <c r="G390" i="1"/>
  <c r="H387" i="1"/>
  <c r="G387" i="1"/>
  <c r="H384" i="1"/>
  <c r="G384" i="1"/>
  <c r="H381" i="1"/>
  <c r="G381" i="1"/>
  <c r="H378" i="1"/>
  <c r="G378" i="1"/>
  <c r="H375" i="1"/>
  <c r="G375" i="1"/>
  <c r="H371" i="1"/>
  <c r="G371" i="1"/>
  <c r="H368" i="1"/>
  <c r="G368" i="1"/>
  <c r="H365" i="1"/>
  <c r="G365" i="1"/>
  <c r="H362" i="1"/>
  <c r="G362" i="1"/>
  <c r="H359" i="1"/>
  <c r="G359" i="1"/>
  <c r="H356" i="1"/>
  <c r="G356" i="1"/>
  <c r="H353" i="1"/>
  <c r="G353" i="1"/>
  <c r="H350" i="1"/>
  <c r="G350" i="1"/>
  <c r="H347" i="1"/>
  <c r="G347" i="1"/>
  <c r="G336" i="1"/>
  <c r="H336" i="1"/>
  <c r="G329" i="1"/>
  <c r="H329" i="1"/>
  <c r="G313" i="1"/>
  <c r="H313" i="1"/>
  <c r="H317" i="1"/>
  <c r="G317" i="1"/>
  <c r="G320" i="1"/>
  <c r="H320" i="1"/>
  <c r="G310" i="1"/>
  <c r="H310" i="1"/>
  <c r="G307" i="1"/>
  <c r="H307" i="1"/>
  <c r="G304" i="1"/>
  <c r="H304" i="1"/>
  <c r="G301" i="1"/>
  <c r="H301" i="1"/>
  <c r="G298" i="1"/>
  <c r="H298" i="1"/>
  <c r="H295" i="1"/>
  <c r="H327" i="1"/>
  <c r="G327" i="1"/>
  <c r="H325" i="1"/>
  <c r="G325" i="1"/>
  <c r="H323" i="1"/>
  <c r="G323" i="1"/>
  <c r="G295" i="1"/>
  <c r="H291" i="1"/>
  <c r="G291" i="1"/>
  <c r="H280" i="1"/>
  <c r="G280" i="1"/>
  <c r="G282" i="1"/>
  <c r="H282" i="1"/>
  <c r="G275" i="1"/>
  <c r="H275" i="1"/>
  <c r="G278" i="1"/>
  <c r="H278" i="1"/>
  <c r="H270" i="1"/>
  <c r="G270" i="1"/>
  <c r="G273" i="1"/>
  <c r="H273" i="1"/>
  <c r="H267" i="1"/>
  <c r="G267" i="1"/>
  <c r="H261" i="1"/>
  <c r="G264" i="1"/>
  <c r="H264" i="1"/>
  <c r="H285" i="1"/>
  <c r="G285" i="1"/>
  <c r="G256" i="1"/>
  <c r="H256" i="1"/>
  <c r="G261" i="1"/>
  <c r="H259" i="1"/>
  <c r="G259" i="1"/>
  <c r="G250" i="1"/>
  <c r="H236" i="1"/>
  <c r="H241" i="1"/>
  <c r="G241" i="1"/>
  <c r="G236" i="1"/>
  <c r="H230" i="1"/>
  <c r="G230" i="1"/>
  <c r="G233" i="1"/>
  <c r="H233" i="1"/>
  <c r="H227" i="1"/>
  <c r="G227" i="1"/>
  <c r="H250" i="1"/>
  <c r="H245" i="1"/>
  <c r="G245" i="1"/>
  <c r="H239" i="1"/>
  <c r="G239" i="1"/>
  <c r="H222" i="1"/>
  <c r="G225" i="1"/>
  <c r="H225" i="1"/>
  <c r="G220" i="1"/>
  <c r="H220" i="1"/>
  <c r="H214" i="1"/>
  <c r="G214" i="1"/>
  <c r="J214" i="1" s="1"/>
  <c r="G222" i="1"/>
  <c r="H209" i="1"/>
  <c r="G209" i="1"/>
  <c r="G198" i="1"/>
  <c r="G201" i="1"/>
  <c r="H201" i="1"/>
  <c r="H198" i="1"/>
  <c r="H195" i="1"/>
  <c r="G195" i="1"/>
  <c r="H191" i="1"/>
  <c r="G191" i="1"/>
  <c r="H185" i="1"/>
  <c r="G185" i="1"/>
  <c r="J185" i="1" s="1"/>
  <c r="H207" i="1"/>
  <c r="G207" i="1"/>
  <c r="G175" i="1"/>
  <c r="H175" i="1"/>
  <c r="G172" i="1"/>
  <c r="H178" i="1"/>
  <c r="G178" i="1"/>
  <c r="H181" i="1"/>
  <c r="G181" i="1"/>
  <c r="H169" i="1"/>
  <c r="G169" i="1"/>
  <c r="G164" i="1"/>
  <c r="G167" i="1"/>
  <c r="H167" i="1"/>
  <c r="G161" i="1"/>
  <c r="G158" i="1"/>
  <c r="G155" i="1"/>
  <c r="G153" i="1"/>
  <c r="J153" i="1" s="1"/>
  <c r="H153" i="1"/>
  <c r="H172" i="1"/>
  <c r="H164" i="1"/>
  <c r="H161" i="1"/>
  <c r="H158" i="1"/>
  <c r="H155" i="1"/>
  <c r="H122" i="1"/>
  <c r="G122" i="1"/>
  <c r="J122" i="1" s="1"/>
  <c r="H149" i="1"/>
  <c r="G149" i="1"/>
  <c r="H146" i="1"/>
  <c r="G146" i="1"/>
  <c r="J295" i="1" l="1"/>
  <c r="K295" i="1" s="1"/>
  <c r="J256" i="1"/>
  <c r="K256" i="1" s="1"/>
  <c r="K261" i="1"/>
  <c r="K259" i="1"/>
  <c r="K241" i="1"/>
  <c r="K236" i="1"/>
  <c r="K239" i="1"/>
  <c r="K245" i="1"/>
  <c r="K250" i="1"/>
  <c r="K209" i="1"/>
  <c r="K201" i="1"/>
  <c r="K191" i="1"/>
  <c r="K198" i="1"/>
  <c r="K185" i="1"/>
  <c r="K207" i="1"/>
  <c r="K195" i="1"/>
  <c r="K149" i="1"/>
  <c r="K158" i="1"/>
  <c r="K155" i="1"/>
  <c r="K161" i="1"/>
  <c r="K146" i="1"/>
  <c r="K164" i="1"/>
  <c r="H138" i="1"/>
  <c r="G138" i="1"/>
  <c r="H141" i="1"/>
  <c r="G141" i="1"/>
  <c r="H133" i="1"/>
  <c r="G133" i="1"/>
  <c r="H136" i="1"/>
  <c r="G136" i="1"/>
  <c r="H131" i="1"/>
  <c r="G131" i="1"/>
  <c r="H128" i="1"/>
  <c r="G128" i="1"/>
  <c r="H125" i="1"/>
  <c r="G125" i="1"/>
  <c r="K390" i="1" l="1"/>
  <c r="K356" i="1"/>
  <c r="K371" i="1"/>
  <c r="K384" i="1"/>
  <c r="K365" i="1"/>
  <c r="K375" i="1"/>
  <c r="K399" i="1"/>
  <c r="K333" i="1"/>
  <c r="K359" i="1"/>
  <c r="K393" i="1"/>
  <c r="K368" i="1"/>
  <c r="K396" i="1"/>
  <c r="K378" i="1"/>
  <c r="K353" i="1"/>
  <c r="K387" i="1"/>
  <c r="K362" i="1"/>
  <c r="K381" i="1"/>
  <c r="K338" i="1"/>
  <c r="K336" i="1"/>
  <c r="K344" i="1"/>
  <c r="K341" i="1"/>
  <c r="K304" i="1"/>
  <c r="K298" i="1"/>
  <c r="K307" i="1"/>
  <c r="K317" i="1"/>
  <c r="K325" i="1"/>
  <c r="K320" i="1"/>
  <c r="K310" i="1"/>
  <c r="K313" i="1"/>
  <c r="K301" i="1"/>
  <c r="K329" i="1"/>
  <c r="K323" i="1"/>
  <c r="K327" i="1"/>
  <c r="K291" i="1"/>
  <c r="K282" i="1"/>
  <c r="K273" i="1"/>
  <c r="K285" i="1"/>
  <c r="K264" i="1"/>
  <c r="K280" i="1"/>
  <c r="K267" i="1"/>
  <c r="K275" i="1"/>
  <c r="K278" i="1"/>
  <c r="K270" i="1"/>
  <c r="K214" i="1"/>
  <c r="K233" i="1"/>
  <c r="K222" i="1"/>
  <c r="K227" i="1"/>
  <c r="K225" i="1"/>
  <c r="K230" i="1"/>
  <c r="K220" i="1"/>
  <c r="K153" i="1"/>
  <c r="K167" i="1"/>
  <c r="G113" i="1"/>
  <c r="H118" i="1"/>
  <c r="G118" i="1"/>
  <c r="G115" i="1"/>
  <c r="H115" i="1"/>
  <c r="G110" i="1"/>
  <c r="H110" i="1"/>
  <c r="H107" i="1"/>
  <c r="G107" i="1"/>
  <c r="G104" i="1"/>
  <c r="H104" i="1"/>
  <c r="H101" i="1"/>
  <c r="G101" i="1"/>
  <c r="H98" i="1"/>
  <c r="G98" i="1"/>
  <c r="G93" i="1"/>
  <c r="H93" i="1"/>
  <c r="H113" i="1"/>
  <c r="H96" i="1"/>
  <c r="G96" i="1"/>
  <c r="G90" i="1"/>
  <c r="H90" i="1"/>
  <c r="J90" i="1" l="1"/>
  <c r="H69" i="1"/>
  <c r="G69" i="1"/>
  <c r="H87" i="1"/>
  <c r="G87" i="1"/>
  <c r="G81" i="1"/>
  <c r="H84" i="1"/>
  <c r="G84" i="1"/>
  <c r="H81" i="1"/>
  <c r="H61" i="1"/>
  <c r="G61" i="1"/>
  <c r="J61" i="1" s="1"/>
  <c r="K61" i="1" s="1"/>
  <c r="K181" i="1" l="1"/>
  <c r="K178" i="1"/>
  <c r="K175" i="1"/>
  <c r="K172" i="1"/>
  <c r="K169" i="1"/>
  <c r="K104" i="1"/>
  <c r="K122" i="1"/>
  <c r="K125" i="1"/>
  <c r="K133" i="1"/>
  <c r="K131" i="1"/>
  <c r="K138" i="1"/>
  <c r="K128" i="1"/>
  <c r="K141" i="1"/>
  <c r="K136" i="1"/>
  <c r="K96" i="1"/>
  <c r="K93" i="1"/>
  <c r="K115" i="1"/>
  <c r="K101" i="1"/>
  <c r="K90" i="1"/>
  <c r="K107" i="1"/>
  <c r="K110" i="1"/>
  <c r="K118" i="1"/>
  <c r="K113" i="1"/>
  <c r="K98" i="1"/>
  <c r="K84" i="1"/>
  <c r="K81" i="1"/>
  <c r="K87" i="1"/>
  <c r="H78" i="1"/>
  <c r="G78" i="1"/>
  <c r="H75" i="1"/>
  <c r="G75" i="1"/>
  <c r="H73" i="1"/>
  <c r="G73" i="1"/>
  <c r="H71" i="1"/>
  <c r="G71" i="1"/>
  <c r="H66" i="1"/>
  <c r="G66" i="1"/>
  <c r="H63" i="1"/>
  <c r="G63" i="1"/>
  <c r="G58" i="1"/>
  <c r="H58" i="1"/>
  <c r="G56" i="1"/>
  <c r="H56" i="1"/>
  <c r="H54" i="1"/>
  <c r="G54" i="1"/>
  <c r="H51" i="1"/>
  <c r="G51" i="1"/>
  <c r="G46" i="1"/>
  <c r="G43" i="1"/>
  <c r="G39" i="1"/>
  <c r="H49" i="1"/>
  <c r="G49" i="1"/>
  <c r="H39" i="1"/>
  <c r="H46" i="1"/>
  <c r="H43" i="1"/>
  <c r="H32" i="1"/>
  <c r="G32" i="1"/>
  <c r="J32" i="1" s="1"/>
  <c r="K58" i="1" l="1"/>
  <c r="K69" i="1"/>
  <c r="K63" i="1"/>
  <c r="K71" i="1"/>
  <c r="K73" i="1"/>
  <c r="K66" i="1"/>
  <c r="K75" i="1"/>
  <c r="K78" i="1"/>
  <c r="K39" i="1"/>
  <c r="K43" i="1"/>
  <c r="K46" i="1"/>
  <c r="K49" i="1"/>
  <c r="K51" i="1"/>
  <c r="K54" i="1"/>
  <c r="K56" i="1"/>
  <c r="K32" i="1"/>
  <c r="H36" i="1"/>
  <c r="G36" i="1"/>
  <c r="H34" i="1"/>
  <c r="G34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6" i="1" l="1"/>
  <c r="K7" i="1"/>
  <c r="K34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<sst xmlns="http://schemas.openxmlformats.org/spreadsheetml/2006/main" count="1372" uniqueCount="421">
  <si>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</si>
  <si>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</si>
  <si>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</si>
  <si>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</si>
  <si>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</si>
  <si>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</si>
  <si>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</si>
  <si>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</si>
  <si>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</si>
  <si>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</si>
  <si>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</si>
  <si>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</si>
  <si>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</si>
  <si>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</si>
  <si>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</si>
  <si>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</si>
  <si>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</si>
  <si>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</si>
  <si>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</si>
  <si>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</si>
  <si>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</si>
  <si>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</si>
  <si>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</si>
  <si>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</si>
  <si>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</si>
  <si>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</si>
  <si>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</si>
  <si>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</si>
  <si>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</si>
  <si>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</si>
  <si>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</si>
  <si>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</si>
  <si>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</si>
  <si>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</si>
  <si>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</si>
  <si>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</si>
  <si>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</si>
  <si>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</si>
  <si>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</si>
  <si>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</si>
  <si>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</si>
  <si>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</si>
  <si>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</si>
  <si>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</si>
  <si>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</si>
  <si>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</si>
  <si>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</si>
  <si>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</si>
  <si>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</si>
  <si>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</si>
  <si>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</si>
  <si>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</si>
  <si>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</si>
  <si>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</si>
  <si>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</si>
  <si>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</si>
  <si>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</si>
  <si>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</si>
  <si>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</si>
  <si>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</si>
  <si>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</si>
  <si>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</si>
  <si>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</si>
  <si>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</si>
  <si>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</si>
  <si>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</si>
  <si>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</si>
  <si>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</si>
  <si>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</si>
  <si>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</si>
  <si>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</si>
  <si>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</si>
  <si>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</si>
  <si>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</si>
  <si>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</si>
  <si>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</si>
  <si>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</si>
  <si>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</si>
  <si>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</si>
  <si>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</si>
  <si>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</si>
  <si>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</si>
  <si>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</si>
  <si>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</si>
  <si>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</si>
  <si>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</si>
  <si>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</si>
  <si>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</si>
  <si>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</si>
  <si>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</si>
  <si>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</si>
  <si>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</si>
  <si>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</si>
  <si>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</si>
  <si>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</si>
  <si>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</si>
  <si>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</si>
  <si>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</si>
  <si>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</si>
  <si>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</si>
  <si>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</si>
  <si>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</si>
  <si>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</si>
  <si>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</si>
  <si>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</si>
  <si>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</si>
  <si>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</si>
  <si>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</si>
  <si>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</si>
  <si>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</si>
  <si>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</si>
  <si>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</si>
  <si>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</si>
  <si>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</si>
  <si>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</si>
  <si>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</si>
  <si>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</si>
  <si>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</si>
  <si>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</si>
  <si>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</si>
  <si>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</si>
  <si>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</si>
  <si>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</si>
  <si>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</si>
  <si>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</si>
  <si>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</si>
  <si>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</si>
  <si>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</si>
  <si>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</si>
  <si>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</si>
  <si>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</si>
  <si>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</si>
  <si>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</si>
  <si>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</si>
  <si>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</si>
  <si>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</si>
  <si>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</si>
  <si>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</si>
  <si>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</si>
  <si>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</si>
  <si>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</si>
  <si>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</si>
  <si>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</si>
  <si>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</si>
  <si>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</si>
  <si>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</si>
  <si>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</si>
  <si>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</si>
  <si>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</si>
  <si>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</si>
  <si>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</si>
  <si>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</si>
  <si>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</si>
  <si>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</si>
  <si>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</si>
  <si>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</si>
  <si>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</si>
  <si>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</si>
  <si>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</si>
  <si>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</si>
  <si>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</si>
  <si>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</si>
  <si>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</si>
  <si>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</si>
  <si>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</si>
  <si>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</si>
  <si>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</si>
  <si>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</si>
  <si>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</si>
  <si>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</si>
  <si>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</si>
  <si>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</si>
  <si>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</si>
  <si>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</si>
  <si>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</si>
  <si>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</si>
  <si>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</si>
  <si>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</si>
  <si>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</si>
  <si>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</si>
  <si>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</si>
  <si>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</si>
  <si>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</si>
  <si>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</si>
  <si>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</si>
  <si>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</si>
  <si>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</si>
  <si>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</si>
  <si>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</si>
  <si>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</si>
  <si>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</si>
  <si>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</si>
  <si>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</si>
  <si>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</si>
  <si>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</si>
  <si>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</si>
  <si>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</si>
  <si>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</si>
  <si>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</si>
  <si>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</si>
  <si>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</si>
  <si>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</si>
  <si>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</si>
  <si>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</si>
  <si>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</si>
  <si>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</si>
  <si>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</si>
  <si>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</si>
  <si>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</si>
  <si>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</si>
  <si>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</si>
  <si>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</si>
  <si>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</si>
  <si>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</si>
  <si>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</si>
  <si>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</si>
  <si>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</si>
  <si>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</si>
  <si>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</si>
  <si>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</si>
  <si>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</si>
  <si>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</si>
  <si>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</si>
  <si>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</si>
  <si>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</si>
  <si>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</si>
  <si>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</si>
  <si>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</si>
  <si>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</si>
  <si>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</si>
  <si>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</si>
  <si>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</si>
  <si>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</si>
  <si>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</si>
  <si>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</si>
  <si>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</si>
  <si>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</si>
  <si>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</si>
  <si>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</si>
  <si>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</si>
  <si>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</si>
  <si>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</si>
  <si>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</si>
  <si>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</si>
  <si>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</si>
  <si>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</si>
  <si>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</si>
  <si>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</si>
  <si>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</si>
  <si>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</si>
  <si>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</si>
  <si>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</si>
  <si>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</si>
  <si>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</si>
  <si>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</si>
  <si>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</si>
  <si>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</si>
  <si>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</si>
  <si>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</si>
  <si>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</si>
  <si>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</si>
  <si>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</si>
  <si>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</si>
  <si>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</si>
  <si>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</si>
  <si>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</si>
  <si>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</si>
  <si>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</si>
  <si>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</si>
  <si>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</si>
  <si>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</si>
  <si>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</si>
  <si>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PI_t6_ELOW_Tile_3c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</si>
  <si>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</si>
  <si>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</si>
  <si>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</si>
  <si>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</si>
  <si>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</si>
  <si>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</si>
  <si>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</si>
  <si>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</si>
  <si>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</si>
  <si>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</si>
  <si>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</si>
  <si>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</si>
  <si>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</si>
  <si>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</si>
  <si>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</si>
  <si>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</si>
  <si>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</si>
  <si>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</si>
  <si>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</si>
  <si>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</si>
  <si>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</si>
  <si>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</si>
  <si>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</si>
  <si>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</si>
  <si>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</si>
  <si>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</si>
  <si>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</si>
  <si>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PI_t2_LOW_Tile_1c</t>
  </si>
  <si>
    <t>PI_t2_LOW_Tile_2a</t>
  </si>
  <si>
    <t>PI_t2_LOW_Tile_2b</t>
  </si>
  <si>
    <t>PI_t2_LOW_Tile_2c</t>
  </si>
  <si>
    <t>PI_t2_LOW_Tile_3a</t>
  </si>
  <si>
    <t>PI_t2_LOW_Tile_3b</t>
  </si>
  <si>
    <t>PI_t2_LOW_Tile_3c</t>
  </si>
  <si>
    <t>PI_t3_LOW_Tile_1a</t>
  </si>
  <si>
    <t>PI_t3_LOW_Tile_1b</t>
  </si>
  <si>
    <t>PI_t3_LOW_Tile_1c</t>
  </si>
  <si>
    <t>PI_t3_LOW_Tile_2a</t>
  </si>
  <si>
    <t>PI_t3_LOW_Tile_2b</t>
  </si>
  <si>
    <t>PI_t3_LOW_Tile_2c</t>
  </si>
  <si>
    <t>PI_t3_LOW_Tile_3a</t>
  </si>
  <si>
    <t>PI_t3_LOW_Tile_3b</t>
  </si>
  <si>
    <t>PI_t3_LOW_Tile_3c</t>
  </si>
  <si>
    <t>PI_t4_LOW_Tile_1a</t>
  </si>
  <si>
    <t>PI_t4_LOW_Tile_1b</t>
  </si>
  <si>
    <t>PI_t4_LOW_Tile_1c</t>
  </si>
  <si>
    <t>PI_t4_LOW_Tile_2a</t>
  </si>
  <si>
    <t>PI_t4_LOW_Tile_2b</t>
  </si>
  <si>
    <t>PI_t4_LOW_Tile_2c</t>
  </si>
  <si>
    <t>PI_t4_LOW_Tile_3a</t>
  </si>
  <si>
    <t>PI_t4_LOW_Tile_3b</t>
  </si>
  <si>
    <t>PI_t4_LOW_Tile_3c</t>
  </si>
  <si>
    <t>PI_t5_LOW_Tile_1a</t>
  </si>
  <si>
    <t>PI_t5_LOW_Tile_1b</t>
  </si>
  <si>
    <t>PI_t5_LOW_Tile_1c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</si>
  <si>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</si>
  <si>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</si>
  <si>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</si>
  <si>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</si>
  <si>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</si>
  <si>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</si>
  <si>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</si>
  <si>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</si>
  <si>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</si>
  <si>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</si>
  <si>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</si>
  <si>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PI_t6_LOW_Tile_2c</t>
  </si>
  <si>
    <t>PI_t6_LOW_Tile_3a</t>
  </si>
  <si>
    <t>PI_t6_LOW_Tile_3b</t>
  </si>
  <si>
    <t>PI_t6_LOW_Tile_3c</t>
  </si>
  <si>
    <t>PI_t7_LOW_Tile_1a</t>
  </si>
  <si>
    <t>PI_t7_LOW_Tile_1b</t>
  </si>
  <si>
    <t>PI_t7_LOW_Tile_1c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</si>
  <si>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</si>
  <si>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</si>
  <si>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</si>
  <si>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</si>
  <si>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</si>
  <si>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</si>
  <si>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</si>
  <si>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</si>
  <si>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</si>
  <si>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</si>
  <si>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PI_t1_AMB_Tile_2c</t>
  </si>
  <si>
    <t>PI_t1_AMB_Tile_3a</t>
  </si>
  <si>
    <t>PI_t1_AMB_Tile_3b</t>
  </si>
  <si>
    <t>PI_t1_AMB_Tile_3c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</si>
  <si>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</si>
  <si>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</si>
  <si>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</si>
  <si>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</si>
  <si>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</si>
  <si>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</si>
  <si>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</si>
  <si>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</si>
  <si>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PI_t2_AMB_Tile_2c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</si>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</sst>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4"/>
  <sheetViews>
    <sheetView tabSelected="1" zoomScale="90" zoomScaleNormal="73" workbookViewId="0">
      <pane ySplit="1" topLeftCell="A339" activePane="bottomLeft" state="frozen"/>
      <selection pane="bottomLeft" activeCell="G346" sqref="G346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/>
      <c r="B31" s="10"/>
      <c r="C31" s="10"/>
      <c r="F31" s="16"/>
      <c r="G31" s="5"/>
      <c r="H31" s="5"/>
      <c r="I31" s="5"/>
      <c r="J31" s="5"/>
      <c r="K31" s="5"/>
    </row>
    <row r="32" spans="1:12" x14ac:dyDescent="0.2">
      <c r="A32" s="9" t="s">
        <v>11</v>
      </c>
      <c r="B32" s="10">
        <v>45058</v>
      </c>
      <c r="C32" s="10" t="s">
        <v>12</v>
      </c>
      <c r="D32" s="5">
        <v>50.25</v>
      </c>
      <c r="E32" s="5">
        <v>2235.6999999999998</v>
      </c>
      <c r="F32" s="16" t="s">
        <v>8</v>
      </c>
      <c r="G32" s="12">
        <f>AVERAGE(E32:E33)</f>
        <v>2237.1099999999997</v>
      </c>
      <c r="H32" s="13">
        <f>STDEV(E32:E33)</f>
        <v>1.9940411229461796</v>
      </c>
      <c r="I32" s="3">
        <v>2226.44</v>
      </c>
      <c r="J32" s="4">
        <f>I32-G32</f>
        <v>-10.669999999999618</v>
      </c>
      <c r="K32" s="5">
        <f>G32+J32</f>
        <v>2226.44</v>
      </c>
      <c r="L32" s="2" t="s">
        <v>94</v>
      </c>
    </row>
    <row r="33" spans="1:11" x14ac:dyDescent="0.2">
      <c r="A33" s="9" t="s">
        <v>11</v>
      </c>
      <c r="B33" s="10">
        <v>45058</v>
      </c>
      <c r="C33" s="10" t="s">
        <v>12</v>
      </c>
      <c r="D33" s="5">
        <v>49.39</v>
      </c>
      <c r="E33" s="5">
        <v>2238.52</v>
      </c>
      <c r="F33" s="16" t="s">
        <v>9</v>
      </c>
      <c r="G33" s="5"/>
      <c r="H33" s="5"/>
      <c r="I33" s="5"/>
      <c r="J33" s="5"/>
      <c r="K33" s="5"/>
    </row>
    <row r="34" spans="1:11" x14ac:dyDescent="0.2">
      <c r="A34" s="9" t="s">
        <v>11</v>
      </c>
      <c r="B34" s="10">
        <v>45057</v>
      </c>
      <c r="C34" s="10" t="s">
        <v>12</v>
      </c>
      <c r="D34" s="5">
        <v>49.81</v>
      </c>
      <c r="E34" s="5">
        <v>2669.25</v>
      </c>
      <c r="F34" s="16" t="s">
        <v>42</v>
      </c>
      <c r="G34" s="13">
        <f>AVERAGE(E34,E35)</f>
        <v>2668.4349999999999</v>
      </c>
      <c r="H34" s="13">
        <f>STDEV(E34,E35)</f>
        <v>1.1525840533341496</v>
      </c>
      <c r="K34" s="5">
        <f>G34+$J$2</f>
        <v>2658.0949999999998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51.97</v>
      </c>
      <c r="E35" s="5">
        <v>2667.62</v>
      </c>
      <c r="F35" s="16" t="s">
        <v>43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49.83</v>
      </c>
      <c r="E36" s="14">
        <v>2702.72</v>
      </c>
      <c r="F36" s="16" t="s">
        <v>44</v>
      </c>
      <c r="G36" s="13">
        <f>AVERAGE(E35,E38)</f>
        <v>2666.085</v>
      </c>
      <c r="H36" s="13">
        <f>STDEV(E35,E38)</f>
        <v>2.1708178182424951</v>
      </c>
      <c r="K36" s="5">
        <f>G36+$J$2</f>
        <v>2655.7449999999999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50.93</v>
      </c>
      <c r="E37" s="14">
        <v>2690.11</v>
      </c>
      <c r="F37" s="16" t="s">
        <v>45</v>
      </c>
    </row>
    <row r="38" spans="1:11" x14ac:dyDescent="0.2">
      <c r="A38" s="9" t="s">
        <v>11</v>
      </c>
      <c r="B38" s="10">
        <v>45057</v>
      </c>
      <c r="C38" s="10" t="s">
        <v>12</v>
      </c>
      <c r="D38" s="5">
        <v>49.75</v>
      </c>
      <c r="E38" s="5">
        <v>2664.55</v>
      </c>
      <c r="F38" s="16" t="s">
        <v>46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51.18</v>
      </c>
      <c r="E39" s="5">
        <v>2603.65</v>
      </c>
      <c r="F39" s="16" t="s">
        <v>47</v>
      </c>
      <c r="G39" s="13">
        <f>AVERAGE(E39,E42)</f>
        <v>2602.0100000000002</v>
      </c>
      <c r="H39" s="13">
        <f>STDEV(E39,E42)</f>
        <v>2.3193102422920173</v>
      </c>
      <c r="K39" s="5">
        <f>G39+$J$32</f>
        <v>2591.3400000000006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50.52</v>
      </c>
      <c r="E40" s="14">
        <v>2579.64</v>
      </c>
      <c r="F40" s="16" t="s">
        <v>48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49.86</v>
      </c>
      <c r="E41" s="14">
        <v>2565.9699999999998</v>
      </c>
      <c r="F41" s="16" t="s">
        <v>49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49.76</v>
      </c>
      <c r="E42" s="5">
        <v>2600.37</v>
      </c>
      <c r="F42" s="16" t="s">
        <v>66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48.93</v>
      </c>
      <c r="E43" s="14">
        <v>2610.11</v>
      </c>
      <c r="F43" s="16" t="s">
        <v>50</v>
      </c>
      <c r="G43" s="13">
        <f>AVERAGE(E45,E44)</f>
        <v>2587.2650000000003</v>
      </c>
      <c r="H43" s="13">
        <f>STDEV(E45,E44)</f>
        <v>2.4819448019646146</v>
      </c>
      <c r="K43" s="5">
        <f>G43+$J$32</f>
        <v>2576.5950000000007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50.66</v>
      </c>
      <c r="E44" s="5">
        <v>2589.02</v>
      </c>
      <c r="F44" s="16" t="s">
        <v>51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49.93</v>
      </c>
      <c r="E45" s="5">
        <v>2585.5100000000002</v>
      </c>
      <c r="F45" s="16" t="s">
        <v>67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49.17</v>
      </c>
      <c r="E46" s="5">
        <v>2593.4899999999998</v>
      </c>
      <c r="F46" s="16" t="s">
        <v>52</v>
      </c>
      <c r="G46" s="13">
        <f>AVERAGE(E48,E46)</f>
        <v>2590.2950000000001</v>
      </c>
      <c r="H46" s="13">
        <f>STDEV(E48,E46)</f>
        <v>4.5184123317819482</v>
      </c>
      <c r="K46" s="5">
        <f>G46+$J$32</f>
        <v>2579.6250000000005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51.35</v>
      </c>
      <c r="E47" s="14">
        <v>2560.08</v>
      </c>
      <c r="F47" s="16" t="s">
        <v>53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49.36</v>
      </c>
      <c r="E48" s="5">
        <v>2587.1</v>
      </c>
      <c r="F48" s="16" t="s">
        <v>65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50.86</v>
      </c>
      <c r="E49" s="5">
        <v>2660.25</v>
      </c>
      <c r="F49" s="16" t="s">
        <v>54</v>
      </c>
      <c r="G49" s="13">
        <f>AVERAGE(E50,E49)</f>
        <v>2660.75</v>
      </c>
      <c r="H49" s="13">
        <f>STDEV(E50,E49)</f>
        <v>0.70710678118654757</v>
      </c>
      <c r="K49" s="5">
        <f>G49+$J$32</f>
        <v>2650.0800000000004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48.98</v>
      </c>
      <c r="E50" s="5">
        <v>2661.25</v>
      </c>
      <c r="F50" s="16" t="s">
        <v>55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50.41</v>
      </c>
      <c r="E51" s="5">
        <v>2569.34</v>
      </c>
      <c r="F51" s="16" t="s">
        <v>56</v>
      </c>
      <c r="G51" s="13">
        <f>AVERAGE(E53,E51)</f>
        <v>2567.355</v>
      </c>
      <c r="H51" s="13">
        <f>STDEV(E53,E51)</f>
        <v>2.8072139213107739</v>
      </c>
      <c r="K51" s="5">
        <f>G51+$J$32</f>
        <v>2556.6850000000004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51.21</v>
      </c>
      <c r="E52" s="14">
        <v>2544.79</v>
      </c>
      <c r="F52" s="16" t="s">
        <v>57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48.63</v>
      </c>
      <c r="E53" s="5">
        <v>2565.37</v>
      </c>
      <c r="F53" s="16" t="s">
        <v>58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50.87</v>
      </c>
      <c r="E54" s="5">
        <v>2541.75</v>
      </c>
      <c r="F54" s="16" t="s">
        <v>59</v>
      </c>
      <c r="G54" s="13">
        <f>AVERAGE(E55,E54)</f>
        <v>2543.48</v>
      </c>
      <c r="H54" s="13">
        <f>STDEV(E55,E54)</f>
        <v>2.4465894629054801</v>
      </c>
      <c r="K54" s="5">
        <f>G54+$J$32</f>
        <v>2532.8100000000004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49.82</v>
      </c>
      <c r="E55" s="5">
        <v>2545.21</v>
      </c>
      <c r="F55" s="16" t="s">
        <v>60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49.91</v>
      </c>
      <c r="E56" s="5">
        <v>2549.7199999999998</v>
      </c>
      <c r="F56" s="16" t="s">
        <v>61</v>
      </c>
      <c r="G56" s="13">
        <f>AVERAGE(E57,E56)</f>
        <v>2551.4399999999996</v>
      </c>
      <c r="H56" s="13">
        <f>STDEV(E57,E56)</f>
        <v>2.4324473272817619</v>
      </c>
      <c r="K56" s="5">
        <f>G56+$J$32</f>
        <v>2540.77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49.93</v>
      </c>
      <c r="E57" s="5">
        <v>2553.16</v>
      </c>
      <c r="F57" s="16" t="s">
        <v>62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50.98</v>
      </c>
      <c r="E58" s="5">
        <v>2644.74</v>
      </c>
      <c r="F58" s="16" t="s">
        <v>63</v>
      </c>
      <c r="G58" s="13">
        <f>AVERAGE(E59,E58)</f>
        <v>2644.4449999999997</v>
      </c>
      <c r="H58" s="13">
        <f>STDEV(E59,E58)</f>
        <v>0.4171930008998444</v>
      </c>
      <c r="K58" s="5">
        <f>G58+$J$32</f>
        <v>2633.7750000000001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48.92</v>
      </c>
      <c r="E59" s="5">
        <v>2644.15</v>
      </c>
      <c r="F59" s="16" t="s">
        <v>64</v>
      </c>
    </row>
    <row r="60" spans="1:12" x14ac:dyDescent="0.2">
      <c r="B60" s="15"/>
    </row>
    <row r="61" spans="1:12" x14ac:dyDescent="0.2">
      <c r="A61" s="9" t="s">
        <v>11</v>
      </c>
      <c r="B61" s="10">
        <v>45059</v>
      </c>
      <c r="C61" s="10" t="s">
        <v>12</v>
      </c>
      <c r="D61" s="5">
        <v>50.51</v>
      </c>
      <c r="E61" s="5">
        <v>2232.81</v>
      </c>
      <c r="F61" s="16" t="s">
        <v>8</v>
      </c>
      <c r="G61" s="12">
        <f>AVERAGE(E61:E62)</f>
        <v>2234.8249999999998</v>
      </c>
      <c r="H61" s="13">
        <f>STDEV(E61:E62)</f>
        <v>2.8496403281819278</v>
      </c>
      <c r="I61" s="3">
        <v>2226.44</v>
      </c>
      <c r="J61" s="4">
        <f>I61-G61</f>
        <v>-8.3849999999997635</v>
      </c>
      <c r="K61" s="5">
        <f>G61+J61</f>
        <v>2226.44</v>
      </c>
      <c r="L61" s="2" t="s">
        <v>94</v>
      </c>
    </row>
    <row r="62" spans="1:12" x14ac:dyDescent="0.2">
      <c r="A62" s="9" t="s">
        <v>11</v>
      </c>
      <c r="B62" s="10">
        <v>45059</v>
      </c>
      <c r="C62" s="10" t="s">
        <v>12</v>
      </c>
      <c r="D62" s="5">
        <v>49.4</v>
      </c>
      <c r="E62" s="5">
        <v>2236.84</v>
      </c>
      <c r="F62" s="16" t="s">
        <v>9</v>
      </c>
      <c r="G62" s="5"/>
      <c r="H62" s="5"/>
      <c r="I62" s="5"/>
      <c r="J62" s="5"/>
      <c r="K62" s="5"/>
    </row>
    <row r="63" spans="1:12" x14ac:dyDescent="0.2">
      <c r="A63" s="9" t="s">
        <v>11</v>
      </c>
      <c r="B63" s="10">
        <v>45058</v>
      </c>
      <c r="C63" s="10" t="s">
        <v>12</v>
      </c>
      <c r="D63" s="5">
        <v>51.23</v>
      </c>
      <c r="E63" s="14">
        <v>2724.44</v>
      </c>
      <c r="F63" s="16" t="s">
        <v>68</v>
      </c>
      <c r="G63" s="13">
        <f>AVERAGE(E64,E65)</f>
        <v>2685.37</v>
      </c>
      <c r="H63" s="13">
        <f>STDEV(E64,E65)</f>
        <v>2.4183051916580438</v>
      </c>
      <c r="K63" s="5">
        <f>G63+$J$32</f>
        <v>2674.7000000000003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50.02</v>
      </c>
      <c r="E64" s="5">
        <v>2687.08</v>
      </c>
      <c r="F64" s="16" t="s">
        <v>69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49.44</v>
      </c>
      <c r="E65" s="5">
        <v>2683.66</v>
      </c>
      <c r="F65" s="16" t="s">
        <v>83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52.2</v>
      </c>
      <c r="E66" s="5">
        <v>2662.94</v>
      </c>
      <c r="F66" s="16" t="s">
        <v>70</v>
      </c>
      <c r="G66" s="13">
        <f>AVERAGE(E66,E68)</f>
        <v>2660.77</v>
      </c>
      <c r="H66" s="13">
        <f>STDEV(E66,E68)</f>
        <v>3.0688434303497192</v>
      </c>
      <c r="K66" s="5">
        <f>G66+$J$32</f>
        <v>2650.1000000000004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51.08</v>
      </c>
      <c r="E67" s="14">
        <v>2635.37</v>
      </c>
      <c r="F67" s="16" t="s">
        <v>71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49.26</v>
      </c>
      <c r="E68" s="5">
        <v>2658.6</v>
      </c>
      <c r="F68" s="16" t="s">
        <v>72</v>
      </c>
    </row>
    <row r="69" spans="1:11" x14ac:dyDescent="0.2">
      <c r="A69" s="9" t="s">
        <v>11</v>
      </c>
      <c r="B69" s="10">
        <v>45058</v>
      </c>
      <c r="C69" s="10" t="s">
        <v>12</v>
      </c>
      <c r="D69" s="15">
        <v>48.42</v>
      </c>
      <c r="E69" s="5">
        <v>2351.7199999999998</v>
      </c>
      <c r="F69" s="16" t="s">
        <v>73</v>
      </c>
      <c r="G69" s="13">
        <f>AVERAGE(E70,E69)</f>
        <v>2353.9499999999998</v>
      </c>
      <c r="H69" s="13">
        <f>STDEV(E69,E70)</f>
        <v>3.1536962440920275</v>
      </c>
      <c r="K69" s="5">
        <f>G69+$J$32</f>
        <v>2343.2800000000002</v>
      </c>
    </row>
    <row r="70" spans="1:11" x14ac:dyDescent="0.2">
      <c r="A70" s="9" t="s">
        <v>11</v>
      </c>
      <c r="B70" s="10">
        <v>45059</v>
      </c>
      <c r="C70" s="10" t="s">
        <v>12</v>
      </c>
      <c r="D70" s="5">
        <v>52.08</v>
      </c>
      <c r="E70" s="5">
        <v>2356.1799999999998</v>
      </c>
      <c r="F70" s="16" t="s">
        <v>93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51.64</v>
      </c>
      <c r="E71" s="5">
        <v>2650.42</v>
      </c>
      <c r="F71" s="16" t="s">
        <v>74</v>
      </c>
      <c r="G71" s="13">
        <f>AVERAGE(E72,E71)</f>
        <v>2652.67</v>
      </c>
      <c r="H71" s="13">
        <f>STDEV(E72,E71)</f>
        <v>3.1819805153394638</v>
      </c>
      <c r="K71" s="5">
        <f>G71+$J$32</f>
        <v>2642.0000000000005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50.46</v>
      </c>
      <c r="E72" s="5">
        <v>2654.92</v>
      </c>
      <c r="F72" s="16" t="s">
        <v>75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50.63</v>
      </c>
      <c r="E73" s="5">
        <v>2629.73</v>
      </c>
      <c r="F73" s="16" t="s">
        <v>76</v>
      </c>
      <c r="G73" s="13">
        <f>AVERAGE(E74,E73)</f>
        <v>2631.4349999999999</v>
      </c>
      <c r="H73" s="13">
        <f>STDEV(E74,E73)</f>
        <v>2.411234123846024</v>
      </c>
      <c r="K73" s="5">
        <f>G73+$J$32</f>
        <v>2620.7650000000003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50.92</v>
      </c>
      <c r="E74" s="5">
        <v>2633.14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50.69</v>
      </c>
      <c r="E75" s="5">
        <v>2671.36</v>
      </c>
      <c r="F75" s="16" t="s">
        <v>78</v>
      </c>
      <c r="G75" s="13">
        <f>AVERAGE(E75,E77)</f>
        <v>2673.7550000000001</v>
      </c>
      <c r="H75" s="13">
        <f>STDEV(E75,E77)</f>
        <v>3.387041481883537</v>
      </c>
      <c r="K75" s="5">
        <f>G75+$J$32</f>
        <v>2663.0850000000005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50.94</v>
      </c>
      <c r="E76" s="14">
        <v>2664.62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49.78</v>
      </c>
      <c r="E77" s="5">
        <v>2676.15</v>
      </c>
      <c r="F77" s="16" t="s">
        <v>84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50.3</v>
      </c>
      <c r="E78" s="5">
        <v>2584.54</v>
      </c>
      <c r="F78" s="16" t="s">
        <v>80</v>
      </c>
      <c r="G78" s="13">
        <f>AVERAGE(E78,E80)</f>
        <v>2587.63</v>
      </c>
      <c r="H78" s="13">
        <f>STDEV(E78,E80)</f>
        <v>4.369919907732748</v>
      </c>
      <c r="K78" s="5">
        <f>G78+$J$32</f>
        <v>2576.9600000000005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50</v>
      </c>
      <c r="E79" s="14">
        <v>2598.9499999999998</v>
      </c>
      <c r="F79" s="16" t="s">
        <v>81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49.66</v>
      </c>
      <c r="E80" s="5">
        <v>2590.7199999999998</v>
      </c>
      <c r="F80" s="16" t="s">
        <v>82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51.6</v>
      </c>
      <c r="E81" s="14">
        <v>2600.5100000000002</v>
      </c>
      <c r="F81" s="16" t="s">
        <v>85</v>
      </c>
      <c r="G81" s="13">
        <f>AVERAGE(E82,E83)</f>
        <v>2592.8200000000002</v>
      </c>
      <c r="H81" s="13">
        <f>STDEV(E82,E83)</f>
        <v>1.7960512242138049</v>
      </c>
      <c r="K81" s="5">
        <f>G81+$J$61</f>
        <v>2584.4350000000004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51.16</v>
      </c>
      <c r="E82" s="5">
        <v>2591.5500000000002</v>
      </c>
      <c r="F82" s="16" t="s">
        <v>88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50.56</v>
      </c>
      <c r="E83" s="5">
        <v>2594.09</v>
      </c>
      <c r="F83" s="16" t="s">
        <v>89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50.01</v>
      </c>
      <c r="E84" s="5">
        <v>2563.02</v>
      </c>
      <c r="F84" s="16" t="s">
        <v>90</v>
      </c>
      <c r="G84" s="13">
        <f>AVERAGE(E84,E86)</f>
        <v>2565.895</v>
      </c>
      <c r="H84" s="13">
        <f>STDEV(E84,E86)</f>
        <v>4.0658639918226482</v>
      </c>
      <c r="K84" s="5">
        <f>G84+$J$61</f>
        <v>2557.5100000000002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49.18</v>
      </c>
      <c r="E85" s="14">
        <v>2584.94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51.78</v>
      </c>
      <c r="E86" s="5">
        <v>2568.77</v>
      </c>
      <c r="F86" s="16" t="s">
        <v>92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51.4</v>
      </c>
      <c r="E87" s="5">
        <v>2661.01</v>
      </c>
      <c r="F87" s="16" t="s">
        <v>86</v>
      </c>
      <c r="G87" s="12">
        <f>AVERAGE(E87:E88)</f>
        <v>2662.76</v>
      </c>
      <c r="H87" s="13">
        <f>STDEV(E87:E88)</f>
        <v>2.4748737341529163</v>
      </c>
      <c r="K87" s="5">
        <f>G87+$J$61</f>
        <v>2654.3750000000005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51.8</v>
      </c>
      <c r="E88" s="5">
        <v>2664.51</v>
      </c>
      <c r="F88" s="16" t="s">
        <v>87</v>
      </c>
    </row>
    <row r="89" spans="1:12" x14ac:dyDescent="0.2">
      <c r="B89" s="15"/>
    </row>
    <row r="90" spans="1:12" x14ac:dyDescent="0.2">
      <c r="A90" s="9" t="s">
        <v>11</v>
      </c>
      <c r="B90" s="10">
        <v>45070</v>
      </c>
      <c r="C90" s="10" t="s">
        <v>12</v>
      </c>
      <c r="D90" s="5">
        <v>48.55</v>
      </c>
      <c r="E90" s="5">
        <v>2252.11</v>
      </c>
      <c r="F90" s="16" t="s">
        <v>8</v>
      </c>
      <c r="G90" s="12">
        <f>AVERAGE(E90,E92)</f>
        <v>2251.09</v>
      </c>
      <c r="H90" s="13">
        <f>STDEV(E90,E92)</f>
        <v>1.4424978336205312</v>
      </c>
      <c r="I90" s="3">
        <v>2226.44</v>
      </c>
      <c r="J90" s="4">
        <f>I90-G90</f>
        <v>-24.650000000000091</v>
      </c>
      <c r="K90" s="5">
        <f>G90+J90</f>
        <v>2226.44</v>
      </c>
      <c r="L90" s="2" t="s">
        <v>94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47.52</v>
      </c>
      <c r="E91" s="14">
        <v>2245.7600000000002</v>
      </c>
      <c r="F91" s="16" t="s">
        <v>9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48.34</v>
      </c>
      <c r="E92" s="5">
        <v>2250.0700000000002</v>
      </c>
      <c r="F92" s="16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51.96</v>
      </c>
      <c r="E93" s="5">
        <v>2603.67</v>
      </c>
      <c r="F93" s="16" t="s">
        <v>97</v>
      </c>
      <c r="G93" s="13">
        <f>AVERAGE(E93,E95)</f>
        <v>2602.0950000000003</v>
      </c>
      <c r="H93" s="18">
        <f>STDEV(E93,E95)</f>
        <v>2.2273863607376891</v>
      </c>
      <c r="I93" s="5"/>
      <c r="J93" s="5"/>
      <c r="K93" s="5">
        <f>G93+$J$90</f>
        <v>2577.4450000000002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49.08</v>
      </c>
      <c r="E94" s="14">
        <v>2586.33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50.05</v>
      </c>
      <c r="E95" s="5">
        <v>2600.52</v>
      </c>
      <c r="F95" s="16" t="s">
        <v>99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51.59</v>
      </c>
      <c r="E96" s="5">
        <v>2578.59</v>
      </c>
      <c r="F96" s="16" t="s">
        <v>100</v>
      </c>
      <c r="G96" s="13">
        <f>AVERAGE(E96:E97)</f>
        <v>2579.4549999999999</v>
      </c>
      <c r="H96" s="18">
        <f>STDEV(E96:E97)</f>
        <v>1.22329473145274</v>
      </c>
      <c r="I96" s="5"/>
      <c r="J96" s="5"/>
      <c r="K96" s="5">
        <f>G96+$J$90</f>
        <v>2554.8049999999998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50.52</v>
      </c>
      <c r="E97" s="5">
        <v>2580.3200000000002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51.8</v>
      </c>
      <c r="E98" s="14">
        <v>3004.58</v>
      </c>
      <c r="F98" s="16" t="s">
        <v>102</v>
      </c>
      <c r="G98" s="13">
        <f>AVERAGE(E99:E100)</f>
        <v>3027.23</v>
      </c>
      <c r="H98" s="18">
        <f>STDEV(E99:E100)</f>
        <v>2.390020920410608</v>
      </c>
      <c r="I98" s="5"/>
      <c r="J98" s="5"/>
      <c r="K98" s="5">
        <f>G98+$J$90</f>
        <v>3002.58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51.36</v>
      </c>
      <c r="E99" s="5">
        <v>3025.54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52.44</v>
      </c>
      <c r="E100" s="5">
        <v>3028.92</v>
      </c>
      <c r="F100" s="16" t="s">
        <v>104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49.3</v>
      </c>
      <c r="E101" s="5">
        <v>3016.39</v>
      </c>
      <c r="F101" s="16" t="s">
        <v>105</v>
      </c>
      <c r="G101" s="13">
        <f>AVERAGE(E101,E103)</f>
        <v>3014.8599999999997</v>
      </c>
      <c r="H101" s="18">
        <f>STDEV(E101,E103)</f>
        <v>2.1637467504307968</v>
      </c>
      <c r="I101" s="5"/>
      <c r="J101" s="5"/>
      <c r="K101" s="5">
        <f>G101+$J$90</f>
        <v>2990.2099999999996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51.02</v>
      </c>
      <c r="E102" s="14">
        <v>2995.09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3013.33</v>
      </c>
      <c r="F103" s="16" t="s">
        <v>107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52.32</v>
      </c>
      <c r="E104" s="14">
        <v>3010.86</v>
      </c>
      <c r="F104" s="16" t="s">
        <v>108</v>
      </c>
      <c r="G104" s="13">
        <f>AVERAGE(E105:E106)</f>
        <v>3001.3</v>
      </c>
      <c r="H104" s="18">
        <f>STDEV(E105:E106)</f>
        <v>4.879036790187242</v>
      </c>
      <c r="I104" s="5"/>
      <c r="J104" s="5"/>
      <c r="K104" s="5">
        <f>G104+$J$90</f>
        <v>2976.65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49.03</v>
      </c>
      <c r="E105" s="5">
        <v>2997.85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49.61</v>
      </c>
      <c r="E106" s="5">
        <v>3004.75</v>
      </c>
      <c r="F106" s="16" t="s">
        <v>110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47.83</v>
      </c>
      <c r="E107" s="14">
        <v>2696.29</v>
      </c>
      <c r="F107" s="16" t="s">
        <v>111</v>
      </c>
      <c r="G107" s="13">
        <f>AVERAGE(E108:E109)</f>
        <v>2682.9300000000003</v>
      </c>
      <c r="H107" s="18">
        <f>STDEV(E108:E109)</f>
        <v>0.42426406871186417</v>
      </c>
      <c r="I107" s="5"/>
      <c r="J107" s="5"/>
      <c r="K107" s="5">
        <f>G107+$J$90</f>
        <v>2658.28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49.41</v>
      </c>
      <c r="E108" s="5">
        <v>2683.23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50.51</v>
      </c>
      <c r="E109" s="5">
        <v>2682.63</v>
      </c>
      <c r="F109" s="16" t="s">
        <v>113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49.35</v>
      </c>
      <c r="E110" s="14">
        <v>2673.54</v>
      </c>
      <c r="F110" s="16" t="s">
        <v>114</v>
      </c>
      <c r="G110" s="13">
        <f>AVERAGE(E111:E112)</f>
        <v>2666.21</v>
      </c>
      <c r="H110" s="18">
        <f>STDEV(E111:E112)</f>
        <v>3.3658282784481206</v>
      </c>
      <c r="I110" s="5"/>
      <c r="J110" s="5"/>
      <c r="K110" s="5">
        <f>G110+$J$90</f>
        <v>2641.56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51.51</v>
      </c>
      <c r="E111" s="5">
        <v>2663.83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51.15</v>
      </c>
      <c r="E112" s="5">
        <v>2668.59</v>
      </c>
      <c r="F112" s="16" t="s">
        <v>116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52.36</v>
      </c>
      <c r="E113" s="5">
        <v>2674.22</v>
      </c>
      <c r="F113" s="16" t="s">
        <v>117</v>
      </c>
      <c r="G113" s="13">
        <f>AVERAGE(E113:E114)</f>
        <v>2676.22</v>
      </c>
      <c r="H113" s="18">
        <f>STDEV(E113:E114)</f>
        <v>2.8284271247461903</v>
      </c>
      <c r="I113" s="5"/>
      <c r="J113" s="5"/>
      <c r="K113" s="5">
        <f>G113+$J$90</f>
        <v>2651.5699999999997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50.56</v>
      </c>
      <c r="E114" s="5">
        <v>2678.22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49.76</v>
      </c>
      <c r="E115" s="5">
        <v>2672.81</v>
      </c>
      <c r="F115" s="16" t="s">
        <v>119</v>
      </c>
      <c r="G115" s="13">
        <f>AVERAGE(E115,E117)</f>
        <v>2671.2349999999997</v>
      </c>
      <c r="H115" s="18">
        <f>STDEV(E115,E117)</f>
        <v>2.2273863607376891</v>
      </c>
      <c r="I115" s="5"/>
      <c r="J115" s="5"/>
      <c r="K115" s="5">
        <f>G115+$J$90</f>
        <v>2646.5849999999996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49.93</v>
      </c>
      <c r="E116" s="14">
        <v>2644.37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15">
        <v>50.21</v>
      </c>
      <c r="E117" s="5">
        <v>2669.66</v>
      </c>
      <c r="F117" s="16" t="s">
        <v>121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51.39</v>
      </c>
      <c r="E118" s="5">
        <v>2602.8000000000002</v>
      </c>
      <c r="F118" s="16" t="s">
        <v>122</v>
      </c>
      <c r="G118" s="13">
        <f>AVERAGE(E118,E120)</f>
        <v>2602.42</v>
      </c>
      <c r="H118" s="18">
        <f>STDEV(E118,E120)</f>
        <v>0.53740115370193042</v>
      </c>
      <c r="I118" s="5"/>
      <c r="J118" s="5"/>
      <c r="K118" s="5">
        <f>G118+$J$90</f>
        <v>2577.77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5">
        <v>49.24</v>
      </c>
      <c r="E119" s="14">
        <v>2621.53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48.74</v>
      </c>
      <c r="E120" s="5">
        <v>2602.04</v>
      </c>
      <c r="F120" s="16" t="s">
        <v>124</v>
      </c>
    </row>
    <row r="121" spans="1:12" x14ac:dyDescent="0.2">
      <c r="B121" s="15"/>
    </row>
    <row r="122" spans="1:12" x14ac:dyDescent="0.2">
      <c r="A122" s="9" t="s">
        <v>152</v>
      </c>
      <c r="B122" s="10">
        <v>45071</v>
      </c>
      <c r="C122" s="10" t="s">
        <v>12</v>
      </c>
      <c r="D122" s="5">
        <v>48.65</v>
      </c>
      <c r="E122" s="5">
        <v>2243.71</v>
      </c>
      <c r="F122" s="16" t="s">
        <v>8</v>
      </c>
      <c r="G122" s="12">
        <f>AVERAGE(E122,E124)</f>
        <v>2243.3900000000003</v>
      </c>
      <c r="H122" s="13">
        <f>STDEV(E122,E124)</f>
        <v>0.45254833995930038</v>
      </c>
      <c r="I122" s="3">
        <v>2226.44</v>
      </c>
      <c r="J122" s="4">
        <f>I122-G122</f>
        <v>-16.950000000000273</v>
      </c>
      <c r="K122" s="5">
        <f>G122+J122</f>
        <v>2226.44</v>
      </c>
      <c r="L122" s="2" t="s">
        <v>94</v>
      </c>
    </row>
    <row r="123" spans="1:12" x14ac:dyDescent="0.2">
      <c r="A123" s="9" t="s">
        <v>152</v>
      </c>
      <c r="B123" s="10">
        <v>45071</v>
      </c>
      <c r="C123" s="10" t="s">
        <v>12</v>
      </c>
      <c r="D123" s="5">
        <v>52.32</v>
      </c>
      <c r="E123" s="14">
        <v>2236.0300000000002</v>
      </c>
      <c r="F123" s="16" t="s">
        <v>9</v>
      </c>
    </row>
    <row r="124" spans="1:12" x14ac:dyDescent="0.2">
      <c r="A124" s="9" t="s">
        <v>152</v>
      </c>
      <c r="B124" s="10">
        <v>45071</v>
      </c>
      <c r="C124" s="10" t="s">
        <v>12</v>
      </c>
      <c r="D124" s="5">
        <v>49.16</v>
      </c>
      <c r="E124" s="20">
        <v>2243.0700000000002</v>
      </c>
      <c r="F124" s="16" t="s">
        <v>96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50.06</v>
      </c>
      <c r="E125" s="14">
        <v>2581.9299999999998</v>
      </c>
      <c r="F125" s="16" t="s">
        <v>125</v>
      </c>
      <c r="G125" s="13">
        <f>AVERAGE(E126,E127)</f>
        <v>2560.4349999999999</v>
      </c>
      <c r="H125" s="18">
        <f>STDEV(E126,E127)</f>
        <v>1.3788582233136391</v>
      </c>
      <c r="I125" s="5"/>
      <c r="J125" s="5"/>
      <c r="K125" s="5">
        <f>G125+$J$90</f>
        <v>2535.7849999999999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53.5</v>
      </c>
      <c r="E126" s="5">
        <v>2559.46</v>
      </c>
      <c r="F126" s="16" t="s">
        <v>126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49.18</v>
      </c>
      <c r="E127" s="5">
        <v>2561.41</v>
      </c>
      <c r="F127" s="16" t="s">
        <v>127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48.74</v>
      </c>
      <c r="E128" s="14">
        <v>2581.9</v>
      </c>
      <c r="F128" s="16" t="s">
        <v>128</v>
      </c>
      <c r="G128" s="13">
        <f>AVERAGE(E129,E130)</f>
        <v>2565.64</v>
      </c>
      <c r="H128" s="18">
        <f>STDEV(E129,E130)</f>
        <v>3.2102647865869001</v>
      </c>
      <c r="I128" s="5"/>
      <c r="J128" s="5"/>
      <c r="K128" s="5">
        <f>G128+$J$90</f>
        <v>2540.9899999999998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48.46</v>
      </c>
      <c r="E129" s="5">
        <v>2563.37</v>
      </c>
      <c r="F129" s="16" t="s">
        <v>129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51.63</v>
      </c>
      <c r="E130" s="5">
        <v>2567.91</v>
      </c>
      <c r="F130" s="16" t="s">
        <v>150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49.69</v>
      </c>
      <c r="E131" s="5">
        <v>2507.44</v>
      </c>
      <c r="F131" s="16" t="s">
        <v>130</v>
      </c>
      <c r="G131" s="13">
        <f>AVERAGE(E131,E132)</f>
        <v>2509.4250000000002</v>
      </c>
      <c r="H131" s="18">
        <f>STDEV(E131,E132)</f>
        <v>2.8072139213104523</v>
      </c>
      <c r="I131" s="5"/>
      <c r="J131" s="5"/>
      <c r="K131" s="5">
        <f>G131+$J$90</f>
        <v>2484.7750000000001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49.44</v>
      </c>
      <c r="E132" s="5">
        <v>2511.41</v>
      </c>
      <c r="F132" s="16" t="s">
        <v>131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50.55</v>
      </c>
      <c r="E133" s="14">
        <v>2483.41</v>
      </c>
      <c r="F133" s="16" t="s">
        <v>132</v>
      </c>
      <c r="G133" s="13">
        <f>AVERAGE(E134,E135)</f>
        <v>2508.37</v>
      </c>
      <c r="H133" s="18">
        <f>STDEV(E134,E135)</f>
        <v>2.036467529817334</v>
      </c>
      <c r="I133" s="5"/>
      <c r="J133" s="5"/>
      <c r="K133" s="5">
        <f>G133+$J$90</f>
        <v>2483.7199999999998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47.44</v>
      </c>
      <c r="E134" s="5">
        <v>2506.9299999999998</v>
      </c>
      <c r="F134" s="16" t="s">
        <v>133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52.79</v>
      </c>
      <c r="E135" s="5">
        <v>2509.81</v>
      </c>
      <c r="F135" s="16" t="s">
        <v>134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48.3</v>
      </c>
      <c r="E136" s="5">
        <v>2510.2199999999998</v>
      </c>
      <c r="F136" s="16" t="s">
        <v>135</v>
      </c>
      <c r="G136" s="13">
        <f>AVERAGE(E136,E137)</f>
        <v>2513.62</v>
      </c>
      <c r="H136" s="18">
        <f>STDEV(E136,E137)</f>
        <v>4.8083261120686522</v>
      </c>
      <c r="I136" s="5"/>
      <c r="J136" s="5"/>
      <c r="K136" s="5">
        <f>G136+$J$90</f>
        <v>2488.9699999999998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48.44</v>
      </c>
      <c r="E137" s="5">
        <v>2517.02</v>
      </c>
      <c r="F137" s="16" t="s">
        <v>136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49.14</v>
      </c>
      <c r="E138" s="14">
        <v>2572.29</v>
      </c>
      <c r="F138" s="16" t="s">
        <v>137</v>
      </c>
      <c r="G138" s="13">
        <f>AVERAGE(E140,E139)</f>
        <v>2555.61</v>
      </c>
      <c r="H138" s="18">
        <f>STDEV(E140,E139)</f>
        <v>3.5072496346853015</v>
      </c>
      <c r="I138" s="5"/>
      <c r="J138" s="5"/>
      <c r="K138" s="5">
        <f>G138+$J$90</f>
        <v>2530.96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>
        <v>53.79</v>
      </c>
      <c r="E139" s="5">
        <v>2558.09</v>
      </c>
      <c r="F139" s="16" t="s">
        <v>138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>
        <v>48.08</v>
      </c>
      <c r="E140" s="5">
        <v>2553.13</v>
      </c>
      <c r="F140" s="16" t="s">
        <v>139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>
        <v>51.07</v>
      </c>
      <c r="E141" s="5">
        <v>2490.64</v>
      </c>
      <c r="F141" s="16" t="s">
        <v>140</v>
      </c>
      <c r="G141" s="13">
        <f>AVERAGE(E141,E142)</f>
        <v>2490.2249999999999</v>
      </c>
      <c r="H141" s="18">
        <f>STDEV(E141,E142)</f>
        <v>0.58689862838478302</v>
      </c>
      <c r="I141" s="5"/>
      <c r="J141" s="5"/>
      <c r="K141" s="5">
        <f>G141+$J$90</f>
        <v>2465.5749999999998</v>
      </c>
    </row>
    <row r="142" spans="1:12" x14ac:dyDescent="0.2">
      <c r="A142" s="9" t="s">
        <v>11</v>
      </c>
      <c r="B142" s="10">
        <v>45070</v>
      </c>
      <c r="C142" s="10" t="s">
        <v>12</v>
      </c>
      <c r="D142" s="5">
        <v>48.78</v>
      </c>
      <c r="E142" s="5">
        <v>2489.81</v>
      </c>
      <c r="F142" s="16" t="s">
        <v>141</v>
      </c>
    </row>
    <row r="143" spans="1:12" x14ac:dyDescent="0.2">
      <c r="A143" s="9" t="s">
        <v>11</v>
      </c>
      <c r="B143" s="10">
        <v>45070</v>
      </c>
      <c r="C143" s="10" t="s">
        <v>12</v>
      </c>
      <c r="D143" s="5" t="s">
        <v>153</v>
      </c>
      <c r="E143" s="5" t="s">
        <v>153</v>
      </c>
      <c r="F143" s="16" t="s">
        <v>142</v>
      </c>
      <c r="G143" s="13" t="s">
        <v>153</v>
      </c>
      <c r="H143" s="18" t="s">
        <v>153</v>
      </c>
      <c r="I143" s="5"/>
      <c r="J143" s="5"/>
      <c r="K143" s="5" t="s">
        <v>153</v>
      </c>
      <c r="L143" s="1" t="s">
        <v>182</v>
      </c>
    </row>
    <row r="144" spans="1:12" x14ac:dyDescent="0.2">
      <c r="A144" s="9" t="s">
        <v>11</v>
      </c>
      <c r="B144" s="10">
        <v>45070</v>
      </c>
      <c r="C144" s="10" t="s">
        <v>12</v>
      </c>
      <c r="D144" s="5" t="s">
        <v>153</v>
      </c>
      <c r="E144" s="5" t="s">
        <v>153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153</v>
      </c>
      <c r="E145" s="5" t="s">
        <v>153</v>
      </c>
      <c r="F145" s="16" t="s">
        <v>151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51.28</v>
      </c>
      <c r="E146" s="5">
        <v>2508.1</v>
      </c>
      <c r="F146" s="16" t="s">
        <v>144</v>
      </c>
      <c r="G146" s="13">
        <f>AVERAGE(E146,E147)</f>
        <v>2504.9749999999999</v>
      </c>
      <c r="H146" s="18">
        <f>STDEV(E146,E147)</f>
        <v>4.4194173824159222</v>
      </c>
      <c r="I146" s="5"/>
      <c r="J146" s="5"/>
      <c r="K146" s="5">
        <f>G146+$J$122</f>
        <v>2488.0249999999996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48.87</v>
      </c>
      <c r="E147" s="5">
        <v>2501.85</v>
      </c>
      <c r="F147" s="16" t="s">
        <v>145</v>
      </c>
    </row>
    <row r="148" spans="1:12" x14ac:dyDescent="0.2">
      <c r="A148" s="9" t="s">
        <v>152</v>
      </c>
      <c r="B148" s="10">
        <v>45071</v>
      </c>
      <c r="C148" s="10" t="s">
        <v>12</v>
      </c>
      <c r="D148" s="5">
        <v>50.15</v>
      </c>
      <c r="E148" s="14">
        <v>2516.9699999999998</v>
      </c>
      <c r="F148" s="16" t="s">
        <v>146</v>
      </c>
    </row>
    <row r="149" spans="1:12" x14ac:dyDescent="0.2">
      <c r="A149" s="9" t="s">
        <v>152</v>
      </c>
      <c r="B149" s="10">
        <v>45071</v>
      </c>
      <c r="C149" s="10" t="s">
        <v>12</v>
      </c>
      <c r="D149" s="5">
        <v>48.48</v>
      </c>
      <c r="E149" s="5">
        <v>2563.36</v>
      </c>
      <c r="F149" s="16" t="s">
        <v>147</v>
      </c>
      <c r="G149" s="13">
        <f>AVERAGE(E149,E150)</f>
        <v>2562.0500000000002</v>
      </c>
      <c r="H149" s="18">
        <f>STDEV(E149,E150)</f>
        <v>1.852619766708999</v>
      </c>
      <c r="I149" s="5"/>
      <c r="J149" s="5"/>
      <c r="K149" s="5">
        <f>G149+$J$122</f>
        <v>2545.1</v>
      </c>
    </row>
    <row r="150" spans="1:12" x14ac:dyDescent="0.2">
      <c r="A150" s="9" t="s">
        <v>152</v>
      </c>
      <c r="B150" s="10">
        <v>45071</v>
      </c>
      <c r="C150" s="10" t="s">
        <v>12</v>
      </c>
      <c r="D150" s="5">
        <v>48.03</v>
      </c>
      <c r="E150" s="5">
        <v>2560.7399999999998</v>
      </c>
      <c r="F150" s="16" t="s">
        <v>148</v>
      </c>
    </row>
    <row r="151" spans="1:12" x14ac:dyDescent="0.2">
      <c r="A151" s="9" t="s">
        <v>152</v>
      </c>
      <c r="B151" s="10">
        <v>45071</v>
      </c>
      <c r="C151" s="10" t="s">
        <v>12</v>
      </c>
      <c r="D151" s="5">
        <v>48.88</v>
      </c>
      <c r="E151" s="14">
        <v>2577.4</v>
      </c>
      <c r="F151" s="16" t="s">
        <v>149</v>
      </c>
    </row>
    <row r="152" spans="1:12" x14ac:dyDescent="0.2">
      <c r="A152" s="9"/>
      <c r="B152" s="10"/>
      <c r="C152" s="10"/>
      <c r="E152" s="14"/>
      <c r="F152" s="16"/>
    </row>
    <row r="153" spans="1:12" x14ac:dyDescent="0.2">
      <c r="A153" s="9" t="s">
        <v>11</v>
      </c>
      <c r="B153" s="10">
        <v>45072</v>
      </c>
      <c r="C153" s="10" t="s">
        <v>12</v>
      </c>
      <c r="D153" s="5">
        <v>50.92</v>
      </c>
      <c r="E153" s="5">
        <v>2235.3200000000002</v>
      </c>
      <c r="F153" s="16" t="s">
        <v>8</v>
      </c>
      <c r="G153" s="12">
        <f>AVERAGE(E153,E154)</f>
        <v>2233.5550000000003</v>
      </c>
      <c r="H153" s="13">
        <f>STDEV(E153:E154)</f>
        <v>2.4960869375886543</v>
      </c>
      <c r="I153" s="3">
        <v>2226.44</v>
      </c>
      <c r="J153" s="4">
        <f>I153-G153</f>
        <v>-7.1150000000002365</v>
      </c>
      <c r="K153" s="5">
        <f>G153+J153</f>
        <v>2226.44</v>
      </c>
      <c r="L153" s="2" t="s">
        <v>94</v>
      </c>
    </row>
    <row r="154" spans="1:12" x14ac:dyDescent="0.2">
      <c r="A154" s="9" t="s">
        <v>11</v>
      </c>
      <c r="B154" s="10">
        <v>45072</v>
      </c>
      <c r="C154" s="10" t="s">
        <v>12</v>
      </c>
      <c r="D154" s="5">
        <v>48.85</v>
      </c>
      <c r="E154" s="5">
        <v>2231.79</v>
      </c>
      <c r="F154" s="16" t="s">
        <v>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49.29</v>
      </c>
      <c r="E155" s="14">
        <v>2573.58</v>
      </c>
      <c r="F155" s="16" t="s">
        <v>125</v>
      </c>
      <c r="G155" s="13">
        <f>AVERAGE(E156:E157)</f>
        <v>2559.56</v>
      </c>
      <c r="H155" s="18">
        <f>STDEV(E156:E157)</f>
        <v>3.2668333290817722</v>
      </c>
      <c r="I155" s="5"/>
      <c r="J155" s="5"/>
      <c r="K155" s="5">
        <f>G155+$J$122</f>
        <v>2542.6099999999997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50.59</v>
      </c>
      <c r="E156" s="5">
        <v>2557.25</v>
      </c>
      <c r="F156" s="16" t="s">
        <v>126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48.84</v>
      </c>
      <c r="E157" s="5">
        <v>2561.87</v>
      </c>
      <c r="F157" s="16" t="s">
        <v>127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51.03</v>
      </c>
      <c r="E158" s="5">
        <v>2571.7600000000002</v>
      </c>
      <c r="F158" s="16" t="s">
        <v>128</v>
      </c>
      <c r="G158" s="13">
        <f>AVERAGE(E158,E160)</f>
        <v>2571.4499999999998</v>
      </c>
      <c r="H158" s="18">
        <f>STDEV(E158,E160)</f>
        <v>0.43840620433590383</v>
      </c>
      <c r="I158" s="5"/>
      <c r="J158" s="5"/>
      <c r="K158" s="5">
        <f>G158+$J$122</f>
        <v>2554.4999999999995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48.02</v>
      </c>
      <c r="E159" s="14">
        <v>2641.36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51.38</v>
      </c>
      <c r="E160" s="5">
        <v>2571.14</v>
      </c>
      <c r="F160" s="16" t="s">
        <v>150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51.09</v>
      </c>
      <c r="E161" s="14">
        <v>2509.6999999999998</v>
      </c>
      <c r="F161" s="16" t="s">
        <v>130</v>
      </c>
      <c r="G161" s="13">
        <f>AVERAGE(E162:E163)</f>
        <v>2489.66</v>
      </c>
      <c r="H161" s="18">
        <f>STDEV(E162:E163)</f>
        <v>2.9698484809836927</v>
      </c>
      <c r="I161" s="5"/>
      <c r="J161" s="5"/>
      <c r="K161" s="5">
        <f>G161+$J$122</f>
        <v>2472.7099999999996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51.1</v>
      </c>
      <c r="E162" s="5">
        <v>2491.7600000000002</v>
      </c>
      <c r="F162" s="16" t="s">
        <v>131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52.26</v>
      </c>
      <c r="E163" s="5">
        <v>2487.56</v>
      </c>
      <c r="F163" s="16" t="s">
        <v>154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50.99</v>
      </c>
      <c r="E164" s="5">
        <v>2526.11</v>
      </c>
      <c r="F164" s="16" t="s">
        <v>132</v>
      </c>
      <c r="G164" s="13">
        <f>AVERAGE(E164,E166)</f>
        <v>2526.5600000000004</v>
      </c>
      <c r="H164" s="18">
        <f>STDEV(E164,E166)</f>
        <v>0.63639610306795713</v>
      </c>
      <c r="I164" s="5"/>
      <c r="J164" s="5"/>
      <c r="K164" s="5">
        <f>G164+$J$122</f>
        <v>2509.61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52.82</v>
      </c>
      <c r="E165" s="14">
        <v>2520.5100000000002</v>
      </c>
      <c r="F165" s="16" t="s">
        <v>133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50.85</v>
      </c>
      <c r="E166" s="5">
        <v>2527.0100000000002</v>
      </c>
      <c r="F166" s="16" t="s">
        <v>134</v>
      </c>
    </row>
    <row r="167" spans="1:11" x14ac:dyDescent="0.2">
      <c r="A167" s="9" t="s">
        <v>11</v>
      </c>
      <c r="B167" s="10">
        <v>45072</v>
      </c>
      <c r="C167" s="10" t="s">
        <v>12</v>
      </c>
      <c r="D167" s="5">
        <v>50.49</v>
      </c>
      <c r="E167" s="5">
        <v>2523.5</v>
      </c>
      <c r="F167" s="16" t="s">
        <v>135</v>
      </c>
      <c r="G167" s="13">
        <f>AVERAGE(E167:E168)</f>
        <v>2521.355</v>
      </c>
      <c r="H167" s="18">
        <f>STDEV(E167:E168)</f>
        <v>3.0334880912902631</v>
      </c>
      <c r="I167" s="5"/>
      <c r="J167" s="5"/>
      <c r="K167" s="5">
        <f>G167+$J$153</f>
        <v>2514.2399999999998</v>
      </c>
    </row>
    <row r="168" spans="1:11" x14ac:dyDescent="0.2">
      <c r="A168" s="9" t="s">
        <v>11</v>
      </c>
      <c r="B168" s="10">
        <v>45072</v>
      </c>
      <c r="C168" s="10" t="s">
        <v>12</v>
      </c>
      <c r="D168" s="5">
        <v>49.11</v>
      </c>
      <c r="E168" s="5">
        <v>2519.21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52.28</v>
      </c>
      <c r="E169" s="5">
        <v>2573.4699999999998</v>
      </c>
      <c r="F169" s="16" t="s">
        <v>137</v>
      </c>
      <c r="G169" s="13">
        <f>AVERAGE(E169,E171)</f>
        <v>2574.1499999999996</v>
      </c>
      <c r="H169" s="18">
        <f>STDEV(E169,E171)</f>
        <v>0.96166522241379471</v>
      </c>
      <c r="I169" s="5"/>
      <c r="J169" s="5"/>
      <c r="K169" s="5">
        <f>G169+$J$90</f>
        <v>2549.4999999999995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50.12</v>
      </c>
      <c r="E170" s="14">
        <v>2568.59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51.85</v>
      </c>
      <c r="E171" s="5">
        <v>2574.83</v>
      </c>
      <c r="F171" s="16" t="s">
        <v>139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50.5</v>
      </c>
      <c r="E172" s="5">
        <v>2499.33</v>
      </c>
      <c r="F172" s="16" t="s">
        <v>140</v>
      </c>
      <c r="G172" s="13">
        <f>AVERAGE(E173:E174)</f>
        <v>2508.4300000000003</v>
      </c>
      <c r="H172" s="18">
        <f>STDEV(E173:E174)</f>
        <v>3.2526911934580545</v>
      </c>
      <c r="I172" s="5"/>
      <c r="J172" s="5"/>
      <c r="K172" s="5">
        <f>G172+$J$90</f>
        <v>2483.7800000000002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51.34</v>
      </c>
      <c r="E173" s="5">
        <v>2510.73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49.8</v>
      </c>
      <c r="E174" s="5">
        <v>2506.13</v>
      </c>
      <c r="F174" s="16" t="s">
        <v>155</v>
      </c>
    </row>
    <row r="175" spans="1:11" s="28" customFormat="1" x14ac:dyDescent="0.2">
      <c r="A175" s="24" t="s">
        <v>11</v>
      </c>
      <c r="B175" s="25">
        <v>45072</v>
      </c>
      <c r="C175" s="25" t="s">
        <v>12</v>
      </c>
      <c r="D175" s="26">
        <v>50.04</v>
      </c>
      <c r="E175" s="26">
        <v>2464.9499999999998</v>
      </c>
      <c r="F175" s="27" t="s">
        <v>142</v>
      </c>
      <c r="G175" s="13">
        <f>AVERAGE(E175:E176)</f>
        <v>2466.8249999999998</v>
      </c>
      <c r="H175" s="18">
        <f>STDEV(E175:E176)</f>
        <v>2.6516504294495533</v>
      </c>
      <c r="I175" s="26"/>
      <c r="J175" s="26"/>
      <c r="K175" s="26">
        <f>G175+$J$90</f>
        <v>2442.1749999999997</v>
      </c>
    </row>
    <row r="176" spans="1:11" s="28" customFormat="1" x14ac:dyDescent="0.2">
      <c r="A176" s="24" t="s">
        <v>11</v>
      </c>
      <c r="B176" s="25">
        <v>45072</v>
      </c>
      <c r="C176" s="25" t="s">
        <v>12</v>
      </c>
      <c r="D176" s="26">
        <v>48.8</v>
      </c>
      <c r="E176" s="26">
        <v>2468.6999999999998</v>
      </c>
      <c r="F176" s="27" t="s">
        <v>143</v>
      </c>
      <c r="G176" s="29"/>
      <c r="H176" s="29"/>
      <c r="I176" s="29"/>
      <c r="J176" s="29"/>
      <c r="K176" s="29"/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49.87</v>
      </c>
      <c r="E177" s="30">
        <v>2431.39</v>
      </c>
      <c r="F177" s="27" t="s">
        <v>151</v>
      </c>
      <c r="G177" s="29"/>
      <c r="H177" s="29"/>
      <c r="I177" s="29"/>
      <c r="J177" s="29"/>
      <c r="K177" s="29"/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50.49</v>
      </c>
      <c r="E178" s="30">
        <v>2513.27</v>
      </c>
      <c r="F178" s="27" t="s">
        <v>144</v>
      </c>
      <c r="G178" s="13">
        <f>AVERAGE(E179,E180)</f>
        <v>2479.6350000000002</v>
      </c>
      <c r="H178" s="18">
        <f>STDEV(E179,E180)</f>
        <v>0.68589357775080961</v>
      </c>
      <c r="I178" s="5"/>
      <c r="J178" s="5"/>
      <c r="K178" s="5">
        <f>G178+$J$90</f>
        <v>2454.9850000000001</v>
      </c>
    </row>
    <row r="179" spans="1:12" x14ac:dyDescent="0.2">
      <c r="A179" s="9" t="s">
        <v>11</v>
      </c>
      <c r="B179" s="10">
        <v>45072</v>
      </c>
      <c r="C179" s="10" t="s">
        <v>12</v>
      </c>
      <c r="D179" s="5">
        <v>49</v>
      </c>
      <c r="E179" s="5">
        <v>2480.12</v>
      </c>
      <c r="F179" s="23" t="s">
        <v>145</v>
      </c>
      <c r="G179" s="1"/>
      <c r="H179" s="1"/>
      <c r="I179" s="1"/>
      <c r="J179" s="1"/>
      <c r="K179" s="1"/>
    </row>
    <row r="180" spans="1:12" x14ac:dyDescent="0.2">
      <c r="A180" s="9" t="s">
        <v>11</v>
      </c>
      <c r="B180" s="10">
        <v>45072</v>
      </c>
      <c r="C180" s="10" t="s">
        <v>12</v>
      </c>
      <c r="D180" s="22">
        <v>51.03</v>
      </c>
      <c r="E180" s="5">
        <v>2479.15</v>
      </c>
      <c r="F180" s="23" t="s">
        <v>157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22">
        <v>52.74</v>
      </c>
      <c r="E181" s="14">
        <v>2554.25</v>
      </c>
      <c r="F181" s="21" t="s">
        <v>147</v>
      </c>
      <c r="G181" s="13">
        <f>AVERAGE(E182:E183)</f>
        <v>2569.605</v>
      </c>
      <c r="H181" s="18">
        <f>STDEV(E182:E183)</f>
        <v>4.0092954493277757</v>
      </c>
      <c r="I181" s="5"/>
      <c r="J181" s="5"/>
      <c r="K181" s="5">
        <f>G181+$J$90</f>
        <v>2544.9549999999999</v>
      </c>
      <c r="L181" s="28"/>
    </row>
    <row r="182" spans="1:12" x14ac:dyDescent="0.2">
      <c r="A182" s="9" t="s">
        <v>11</v>
      </c>
      <c r="B182" s="10">
        <v>45072</v>
      </c>
      <c r="C182" s="10" t="s">
        <v>12</v>
      </c>
      <c r="D182" s="5">
        <v>48.88</v>
      </c>
      <c r="E182" s="5">
        <v>2572.44</v>
      </c>
      <c r="F182" s="21" t="s">
        <v>149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5">
        <v>48.88</v>
      </c>
      <c r="E183" s="5">
        <v>2566.77</v>
      </c>
      <c r="F183" s="21" t="s">
        <v>156</v>
      </c>
    </row>
    <row r="184" spans="1:12" x14ac:dyDescent="0.2">
      <c r="B184" s="15"/>
    </row>
    <row r="185" spans="1:12" x14ac:dyDescent="0.2">
      <c r="A185" s="15" t="s">
        <v>152</v>
      </c>
      <c r="B185" s="31">
        <v>45076</v>
      </c>
      <c r="C185" s="25" t="s">
        <v>12</v>
      </c>
      <c r="D185" s="5">
        <v>52.53</v>
      </c>
      <c r="E185" s="14">
        <v>2209.06</v>
      </c>
      <c r="F185" s="16" t="s">
        <v>8</v>
      </c>
      <c r="G185" s="13">
        <f>AVERAGE(E186:E187)</f>
        <v>2235.2600000000002</v>
      </c>
      <c r="H185" s="18">
        <f>STDEV(E186:E187)</f>
        <v>4.3274935008619151</v>
      </c>
      <c r="I185" s="3">
        <v>2226.44</v>
      </c>
      <c r="J185" s="4">
        <f>I185-G185</f>
        <v>-8.8200000000001637</v>
      </c>
      <c r="K185" s="5">
        <f>G185+J185</f>
        <v>2226.44</v>
      </c>
      <c r="L185" s="2" t="s">
        <v>94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51.3</v>
      </c>
      <c r="E186" s="5">
        <v>2232.1999999999998</v>
      </c>
      <c r="F186" s="16" t="s">
        <v>9</v>
      </c>
    </row>
    <row r="187" spans="1:12" x14ac:dyDescent="0.2">
      <c r="A187" s="15" t="s">
        <v>152</v>
      </c>
      <c r="B187" s="31">
        <v>45076</v>
      </c>
      <c r="C187" s="10" t="s">
        <v>12</v>
      </c>
      <c r="D187" s="5">
        <v>51.63</v>
      </c>
      <c r="E187" s="5">
        <v>2238.3200000000002</v>
      </c>
      <c r="F187" s="17" t="s">
        <v>96</v>
      </c>
    </row>
    <row r="188" spans="1:12" x14ac:dyDescent="0.2">
      <c r="A188" s="15" t="s">
        <v>152</v>
      </c>
      <c r="B188" s="31">
        <v>45076</v>
      </c>
      <c r="C188" s="10" t="s">
        <v>12</v>
      </c>
      <c r="D188" s="5" t="s">
        <v>153</v>
      </c>
      <c r="E188" s="5" t="s">
        <v>153</v>
      </c>
      <c r="F188" s="32" t="s">
        <v>158</v>
      </c>
      <c r="G188" s="5" t="s">
        <v>153</v>
      </c>
      <c r="H188" s="5" t="s">
        <v>153</v>
      </c>
      <c r="K188" s="5" t="s">
        <v>153</v>
      </c>
      <c r="L188" s="1" t="s">
        <v>182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 t="s">
        <v>153</v>
      </c>
      <c r="E189" s="5" t="s">
        <v>153</v>
      </c>
      <c r="F189" s="32" t="s">
        <v>159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5" t="s">
        <v>153</v>
      </c>
      <c r="E190" s="5" t="s">
        <v>153</v>
      </c>
      <c r="F190" s="32" t="s">
        <v>160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5">
        <v>49.99</v>
      </c>
      <c r="E191" s="14">
        <v>2615.17</v>
      </c>
      <c r="F191" s="17" t="s">
        <v>161</v>
      </c>
      <c r="G191" s="13">
        <f>AVERAGE(E193:E194)</f>
        <v>2584.4350000000004</v>
      </c>
      <c r="H191" s="18">
        <f>STDEV(E193:E194)</f>
        <v>3.3446150750123826</v>
      </c>
      <c r="K191" s="5">
        <f>G191+$J$185</f>
        <v>2575.6150000000002</v>
      </c>
    </row>
    <row r="192" spans="1:12" x14ac:dyDescent="0.2">
      <c r="A192" s="15" t="s">
        <v>152</v>
      </c>
      <c r="B192" s="31">
        <v>45076</v>
      </c>
      <c r="C192" s="10" t="s">
        <v>12</v>
      </c>
      <c r="D192" s="5">
        <v>52.91</v>
      </c>
      <c r="E192" s="14">
        <v>2627.78</v>
      </c>
      <c r="F192" s="17" t="s">
        <v>162</v>
      </c>
    </row>
    <row r="193" spans="1:12" x14ac:dyDescent="0.2">
      <c r="A193" s="15" t="s">
        <v>152</v>
      </c>
      <c r="B193" s="31">
        <v>45076</v>
      </c>
      <c r="C193" s="25" t="s">
        <v>12</v>
      </c>
      <c r="D193" s="5">
        <v>52.49</v>
      </c>
      <c r="E193" s="5">
        <v>2582.0700000000002</v>
      </c>
      <c r="F193" s="17" t="s">
        <v>163</v>
      </c>
    </row>
    <row r="194" spans="1:12" x14ac:dyDescent="0.2">
      <c r="A194" s="15" t="s">
        <v>152</v>
      </c>
      <c r="B194" s="31">
        <v>45076</v>
      </c>
      <c r="C194" s="25" t="s">
        <v>12</v>
      </c>
      <c r="D194" s="5">
        <v>49.24</v>
      </c>
      <c r="E194" s="5">
        <v>2586.8000000000002</v>
      </c>
      <c r="F194" s="17" t="s">
        <v>181</v>
      </c>
    </row>
    <row r="195" spans="1:12" x14ac:dyDescent="0.2">
      <c r="A195" s="15" t="s">
        <v>152</v>
      </c>
      <c r="B195" s="31">
        <v>45076</v>
      </c>
      <c r="C195" s="10" t="s">
        <v>12</v>
      </c>
      <c r="D195" s="5">
        <v>49.64</v>
      </c>
      <c r="E195" s="14">
        <v>2619.5100000000002</v>
      </c>
      <c r="F195" s="17" t="s">
        <v>164</v>
      </c>
      <c r="G195" s="13">
        <f>AVERAGE(E196:E197)</f>
        <v>2567.4549999999999</v>
      </c>
      <c r="H195" s="18">
        <f>STDEV(E196:E197)</f>
        <v>2.4960869375883328</v>
      </c>
      <c r="K195" s="5">
        <f>G195+$J$185</f>
        <v>2558.6349999999998</v>
      </c>
    </row>
    <row r="196" spans="1:12" x14ac:dyDescent="0.2">
      <c r="A196" s="15" t="s">
        <v>152</v>
      </c>
      <c r="B196" s="31">
        <v>45076</v>
      </c>
      <c r="C196" s="10" t="s">
        <v>12</v>
      </c>
      <c r="D196" s="15">
        <v>51.56</v>
      </c>
      <c r="E196" s="5">
        <v>2569.2199999999998</v>
      </c>
      <c r="F196" s="17" t="s">
        <v>165</v>
      </c>
    </row>
    <row r="197" spans="1:12" x14ac:dyDescent="0.2">
      <c r="A197" s="15" t="s">
        <v>152</v>
      </c>
      <c r="B197" s="31">
        <v>45076</v>
      </c>
      <c r="C197" s="10" t="s">
        <v>12</v>
      </c>
      <c r="D197" s="15">
        <v>51.69</v>
      </c>
      <c r="E197" s="5">
        <v>2565.69</v>
      </c>
      <c r="F197" s="17" t="s">
        <v>166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15">
        <v>49.93</v>
      </c>
      <c r="E198" s="5">
        <v>2591.6</v>
      </c>
      <c r="F198" s="17" t="s">
        <v>167</v>
      </c>
      <c r="G198" s="13">
        <f>AVERAGE(E198,E200)</f>
        <v>2592.14</v>
      </c>
      <c r="H198" s="18">
        <f>STDEV(E198,E200)</f>
        <v>0.76367532368141988</v>
      </c>
      <c r="K198" s="5">
        <f>G198+$J$185</f>
        <v>2583.3199999999997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>
        <v>51.28</v>
      </c>
      <c r="E199" s="14">
        <v>2584.85</v>
      </c>
      <c r="F199" s="17" t="s">
        <v>168</v>
      </c>
    </row>
    <row r="200" spans="1:12" x14ac:dyDescent="0.2">
      <c r="A200" s="9" t="s">
        <v>11</v>
      </c>
      <c r="B200" s="31">
        <v>45078</v>
      </c>
      <c r="C200" s="10" t="s">
        <v>12</v>
      </c>
      <c r="D200" s="5">
        <v>49.04</v>
      </c>
      <c r="E200" s="5">
        <v>2592.6799999999998</v>
      </c>
      <c r="F200" s="17" t="s">
        <v>169</v>
      </c>
    </row>
    <row r="201" spans="1:12" x14ac:dyDescent="0.2">
      <c r="A201" s="9" t="s">
        <v>11</v>
      </c>
      <c r="B201" s="31">
        <v>45078</v>
      </c>
      <c r="C201" s="10" t="s">
        <v>12</v>
      </c>
      <c r="D201" s="5">
        <v>51.95</v>
      </c>
      <c r="E201" s="5">
        <v>2607.3000000000002</v>
      </c>
      <c r="F201" s="17" t="s">
        <v>170</v>
      </c>
      <c r="G201" s="13">
        <f>AVERAGE(E201,E203)</f>
        <v>2603.8000000000002</v>
      </c>
      <c r="H201" s="18">
        <f>STDEV(E201,E203)</f>
        <v>4.9497474683058327</v>
      </c>
      <c r="K201" s="5">
        <f>G201+$J$185</f>
        <v>2594.98</v>
      </c>
    </row>
    <row r="202" spans="1:12" x14ac:dyDescent="0.2">
      <c r="A202" s="9" t="s">
        <v>11</v>
      </c>
      <c r="B202" s="31">
        <v>45078</v>
      </c>
      <c r="C202" s="25" t="s">
        <v>12</v>
      </c>
      <c r="D202" s="5">
        <v>49.09</v>
      </c>
      <c r="E202" s="14">
        <v>2591.3200000000002</v>
      </c>
      <c r="F202" s="17" t="s">
        <v>171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50.44</v>
      </c>
      <c r="E203" s="5">
        <v>2600.3000000000002</v>
      </c>
      <c r="F203" s="17" t="s">
        <v>172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 t="s">
        <v>153</v>
      </c>
      <c r="E204" s="5" t="s">
        <v>153</v>
      </c>
      <c r="F204" s="32" t="s">
        <v>173</v>
      </c>
      <c r="G204" s="5" t="s">
        <v>153</v>
      </c>
      <c r="H204" s="5" t="s">
        <v>153</v>
      </c>
      <c r="K204" s="5" t="s">
        <v>153</v>
      </c>
      <c r="L204" s="1" t="s">
        <v>182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 t="s">
        <v>153</v>
      </c>
      <c r="E205" s="5" t="s">
        <v>153</v>
      </c>
      <c r="F205" s="32" t="s">
        <v>174</v>
      </c>
    </row>
    <row r="206" spans="1:12" x14ac:dyDescent="0.2">
      <c r="A206" s="24" t="s">
        <v>11</v>
      </c>
      <c r="B206" s="31">
        <v>45078</v>
      </c>
      <c r="C206" s="10" t="s">
        <v>12</v>
      </c>
      <c r="D206" s="5" t="s">
        <v>153</v>
      </c>
      <c r="E206" s="5" t="s">
        <v>153</v>
      </c>
      <c r="F206" s="32" t="s">
        <v>175</v>
      </c>
    </row>
    <row r="207" spans="1:12" x14ac:dyDescent="0.2">
      <c r="A207" s="24" t="s">
        <v>11</v>
      </c>
      <c r="B207" s="31">
        <v>45078</v>
      </c>
      <c r="C207" s="10" t="s">
        <v>12</v>
      </c>
      <c r="D207" s="5">
        <v>50.3</v>
      </c>
      <c r="E207" s="5">
        <v>2570.9</v>
      </c>
      <c r="F207" s="17" t="s">
        <v>176</v>
      </c>
      <c r="G207" s="13">
        <f>AVERAGE(E207:E208)</f>
        <v>2573.395</v>
      </c>
      <c r="H207" s="18">
        <f>STDEV(E207:E208)</f>
        <v>3.5284628381207179</v>
      </c>
      <c r="K207" s="5">
        <f>G207+$J$185</f>
        <v>2564.5749999999998</v>
      </c>
    </row>
    <row r="208" spans="1:12" x14ac:dyDescent="0.2">
      <c r="A208" s="24" t="s">
        <v>11</v>
      </c>
      <c r="B208" s="31">
        <v>45078</v>
      </c>
      <c r="C208" s="10" t="s">
        <v>12</v>
      </c>
      <c r="D208" s="5">
        <v>51.38</v>
      </c>
      <c r="E208" s="5">
        <v>2575.89</v>
      </c>
      <c r="F208" s="17" t="s">
        <v>177</v>
      </c>
    </row>
    <row r="209" spans="1:12" x14ac:dyDescent="0.2">
      <c r="A209" s="9" t="s">
        <v>11</v>
      </c>
      <c r="B209" s="31">
        <v>45078</v>
      </c>
      <c r="C209" s="25" t="s">
        <v>12</v>
      </c>
      <c r="D209" s="5">
        <v>50.34</v>
      </c>
      <c r="E209" s="14">
        <v>2586.64</v>
      </c>
      <c r="F209" s="17" t="s">
        <v>178</v>
      </c>
      <c r="G209" s="13">
        <f>AVERAGE(E211:E212)</f>
        <v>2561.395</v>
      </c>
      <c r="H209" s="18">
        <f>STDEV(E211:E212)</f>
        <v>0.26162950903894538</v>
      </c>
      <c r="K209" s="5">
        <f>G209+$J$185</f>
        <v>2552.5749999999998</v>
      </c>
    </row>
    <row r="210" spans="1:12" x14ac:dyDescent="0.2">
      <c r="A210" s="9" t="s">
        <v>11</v>
      </c>
      <c r="B210" s="31">
        <v>45078</v>
      </c>
      <c r="C210" s="10" t="s">
        <v>12</v>
      </c>
      <c r="D210" s="5">
        <v>50.32</v>
      </c>
      <c r="E210" s="14">
        <v>2576.13</v>
      </c>
      <c r="F210" s="17" t="s">
        <v>179</v>
      </c>
    </row>
    <row r="211" spans="1:12" x14ac:dyDescent="0.2">
      <c r="A211" s="9" t="s">
        <v>11</v>
      </c>
      <c r="B211" s="31">
        <v>45078</v>
      </c>
      <c r="C211" s="10" t="s">
        <v>12</v>
      </c>
      <c r="D211" s="5">
        <v>49.38</v>
      </c>
      <c r="E211" s="5">
        <v>2561.21</v>
      </c>
      <c r="F211" s="17" t="s">
        <v>180</v>
      </c>
    </row>
    <row r="212" spans="1:12" x14ac:dyDescent="0.2">
      <c r="A212" s="9" t="s">
        <v>11</v>
      </c>
      <c r="B212" s="31">
        <v>45078</v>
      </c>
      <c r="C212" s="10" t="s">
        <v>12</v>
      </c>
      <c r="D212" s="5">
        <v>49.46</v>
      </c>
      <c r="E212" s="5">
        <v>2561.58</v>
      </c>
      <c r="F212" s="17" t="s">
        <v>183</v>
      </c>
      <c r="J212" s="5"/>
    </row>
    <row r="213" spans="1:12" x14ac:dyDescent="0.2">
      <c r="A213" s="9"/>
      <c r="B213" s="15"/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50.53</v>
      </c>
      <c r="E214" s="14">
        <v>2247.13</v>
      </c>
      <c r="F214" s="16" t="s">
        <v>8</v>
      </c>
      <c r="G214" s="13">
        <f>AVERAGE(E215:E216)</f>
        <v>2237.33</v>
      </c>
      <c r="H214" s="18">
        <f>STDEV(E215:E216)</f>
        <v>1.7677669529663689</v>
      </c>
      <c r="I214" s="3">
        <v>2226.44</v>
      </c>
      <c r="J214" s="4">
        <f>I214-G214</f>
        <v>-10.889999999999873</v>
      </c>
      <c r="K214" s="5">
        <f>G214+J214</f>
        <v>2226.44</v>
      </c>
      <c r="L214" s="2" t="s">
        <v>94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49.82</v>
      </c>
      <c r="E215" s="5">
        <v>2236.08</v>
      </c>
      <c r="F215" s="16" t="s">
        <v>9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50.01</v>
      </c>
      <c r="E216" s="5">
        <v>2238.58</v>
      </c>
      <c r="F216" s="17" t="s">
        <v>96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 t="s">
        <v>153</v>
      </c>
      <c r="E217" s="5" t="s">
        <v>153</v>
      </c>
      <c r="F217" s="17" t="s">
        <v>232</v>
      </c>
      <c r="G217" s="5" t="s">
        <v>153</v>
      </c>
      <c r="H217" s="5" t="s">
        <v>153</v>
      </c>
      <c r="K217" s="5" t="s">
        <v>153</v>
      </c>
      <c r="L217" s="1" t="s">
        <v>229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 t="s">
        <v>153</v>
      </c>
      <c r="E218" s="5" t="s">
        <v>153</v>
      </c>
      <c r="F218" s="17" t="s">
        <v>231</v>
      </c>
      <c r="G218" s="1"/>
      <c r="H218" s="1"/>
      <c r="I218" s="1"/>
      <c r="J218" s="1"/>
      <c r="K218" s="1"/>
    </row>
    <row r="219" spans="1:12" x14ac:dyDescent="0.2">
      <c r="A219" s="9" t="s">
        <v>11</v>
      </c>
      <c r="B219" s="31">
        <v>45079</v>
      </c>
      <c r="C219" s="10" t="s">
        <v>12</v>
      </c>
      <c r="D219" s="5" t="s">
        <v>153</v>
      </c>
      <c r="E219" s="5" t="s">
        <v>153</v>
      </c>
      <c r="F219" s="17" t="s">
        <v>230</v>
      </c>
      <c r="G219" s="1"/>
      <c r="H219" s="1"/>
      <c r="I219" s="1"/>
      <c r="J219" s="1"/>
      <c r="K219" s="1"/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50.4</v>
      </c>
      <c r="E220" s="5">
        <v>2568.9899999999998</v>
      </c>
      <c r="F220" s="17" t="s">
        <v>184</v>
      </c>
      <c r="G220" s="13">
        <f>AVERAGE(E220:E221)</f>
        <v>2569.0649999999996</v>
      </c>
      <c r="H220" s="18">
        <f>STDEV(E220:E221)</f>
        <v>0.10606601717804644</v>
      </c>
      <c r="K220" s="5">
        <f>G220+$J$214</f>
        <v>2558.1749999999997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50.8</v>
      </c>
      <c r="E221" s="5">
        <v>2569.14</v>
      </c>
      <c r="F221" s="17" t="s">
        <v>185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48.18</v>
      </c>
      <c r="E222" s="5">
        <v>2573.29</v>
      </c>
      <c r="F222" s="17" t="s">
        <v>186</v>
      </c>
      <c r="G222" s="13">
        <f>AVERAGE(E223:E224)</f>
        <v>2568.3900000000003</v>
      </c>
      <c r="H222" s="18">
        <f>STDEV(E222,E224)</f>
        <v>0.77781745930513801</v>
      </c>
      <c r="K222" s="5">
        <f>G222+$J$214</f>
        <v>2557.5000000000005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50.08</v>
      </c>
      <c r="E223" s="14">
        <v>2564.59</v>
      </c>
      <c r="F223" s="17" t="s">
        <v>187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50.64</v>
      </c>
      <c r="E224" s="5">
        <v>2572.19</v>
      </c>
      <c r="F224" s="17" t="s">
        <v>188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51.27</v>
      </c>
      <c r="E225" s="5">
        <v>2569.29</v>
      </c>
      <c r="F225" s="17" t="s">
        <v>189</v>
      </c>
      <c r="G225" s="13">
        <f>AVERAGE(E225:E226)</f>
        <v>2570.1350000000002</v>
      </c>
      <c r="H225" s="18">
        <f>STDEV(E225:E226)</f>
        <v>1.195010460205304</v>
      </c>
      <c r="K225" s="5">
        <f>G225+$J$214</f>
        <v>2559.2450000000003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49.89</v>
      </c>
      <c r="E226" s="5">
        <v>2570.98</v>
      </c>
      <c r="F226" s="17" t="s">
        <v>190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50.77</v>
      </c>
      <c r="E227" s="14">
        <v>2578.58</v>
      </c>
      <c r="F227" s="17" t="s">
        <v>191</v>
      </c>
      <c r="G227" s="13">
        <f>AVERAGE(E228:E229)</f>
        <v>2563.94</v>
      </c>
      <c r="H227" s="18">
        <f>STDEV(E228:E229)</f>
        <v>2.0081832585698978</v>
      </c>
      <c r="K227" s="5">
        <f>G227+$J$214</f>
        <v>2553.0500000000002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51.5</v>
      </c>
      <c r="E228" s="5">
        <v>2562.52</v>
      </c>
      <c r="F228" s="17" t="s">
        <v>192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50.94</v>
      </c>
      <c r="E229" s="5">
        <v>2565.36</v>
      </c>
      <c r="F229" s="17" t="s">
        <v>193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49.65</v>
      </c>
      <c r="E230" s="5">
        <v>2587.7399999999998</v>
      </c>
      <c r="F230" s="32" t="s">
        <v>194</v>
      </c>
      <c r="G230" s="13">
        <f>AVERAGE(E230,E232)</f>
        <v>2586.5</v>
      </c>
      <c r="H230" s="18">
        <f>STDEV(E230,E232)</f>
        <v>1.7536248173423292</v>
      </c>
      <c r="K230" s="5">
        <f>G230+$J$214</f>
        <v>2575.61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49.82</v>
      </c>
      <c r="E231" s="14">
        <v>2575.98</v>
      </c>
      <c r="F231" s="32" t="s">
        <v>195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49.37</v>
      </c>
      <c r="E232" s="5">
        <v>2585.2600000000002</v>
      </c>
      <c r="F232" s="32" t="s">
        <v>196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50.38</v>
      </c>
      <c r="E233" s="5">
        <v>2571.42</v>
      </c>
      <c r="F233" s="17" t="s">
        <v>197</v>
      </c>
      <c r="G233" s="13">
        <f>AVERAGE(E233:E234)</f>
        <v>2572.7600000000002</v>
      </c>
      <c r="H233" s="18">
        <f>STDEV(E233:E234)</f>
        <v>1.8950461735798316</v>
      </c>
      <c r="K233" s="5">
        <f>G233+$J$214</f>
        <v>2561.8700000000003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48.94</v>
      </c>
      <c r="E234" s="5">
        <v>2574.1</v>
      </c>
      <c r="F234" s="17" t="s">
        <v>198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51.96</v>
      </c>
      <c r="E236" s="14">
        <v>2589.33</v>
      </c>
      <c r="F236" s="17" t="s">
        <v>199</v>
      </c>
      <c r="G236" s="13">
        <f>AVERAGE(E237:E238)</f>
        <v>2607.5250000000001</v>
      </c>
      <c r="H236" s="18">
        <f>STDEV(E237:E238)</f>
        <v>4.9143921292463766</v>
      </c>
      <c r="K236" s="5">
        <f>G236+$J$214</f>
        <v>2596.6350000000002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51.12</v>
      </c>
      <c r="E237" s="5">
        <v>2604.0500000000002</v>
      </c>
      <c r="F237" s="17" t="s">
        <v>200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50.19</v>
      </c>
      <c r="E238" s="5">
        <v>2611</v>
      </c>
      <c r="F238" s="17" t="s">
        <v>201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50.01</v>
      </c>
      <c r="E239" s="22">
        <v>2587.63</v>
      </c>
      <c r="F239" s="17" t="s">
        <v>202</v>
      </c>
      <c r="G239" s="13">
        <f>AVERAGE(E239:E240)</f>
        <v>2585.4450000000002</v>
      </c>
      <c r="H239" s="18">
        <f>STDEV(E239:E240)</f>
        <v>3.0900566337851356</v>
      </c>
      <c r="K239" s="5">
        <f>G239+$J$214</f>
        <v>2574.5550000000003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50.78</v>
      </c>
      <c r="E240" s="5">
        <v>2583.2600000000002</v>
      </c>
      <c r="F240" s="17" t="s">
        <v>203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48.04</v>
      </c>
      <c r="E241" s="14">
        <v>3171.62</v>
      </c>
      <c r="F241" s="17" t="s">
        <v>204</v>
      </c>
      <c r="G241" s="13">
        <f>AVERAGE(E242,E244)</f>
        <v>2583.4250000000002</v>
      </c>
      <c r="H241" s="18">
        <f>STDEV(E240,E242)</f>
        <v>0.16263455967259724</v>
      </c>
      <c r="K241" s="5">
        <f>G241+$J$214</f>
        <v>2572.5350000000003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50.59</v>
      </c>
      <c r="E242" s="5">
        <v>2583.4899999999998</v>
      </c>
      <c r="F242" s="17" t="s">
        <v>205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50.55</v>
      </c>
      <c r="E243" s="14">
        <v>2598.48</v>
      </c>
      <c r="F243" s="17" t="s">
        <v>206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49.51</v>
      </c>
      <c r="E244" s="5">
        <v>2583.36</v>
      </c>
      <c r="F244" s="17" t="s">
        <v>214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50.07</v>
      </c>
      <c r="E245" s="5">
        <v>2576</v>
      </c>
      <c r="F245" s="17" t="s">
        <v>207</v>
      </c>
      <c r="G245" s="13">
        <f>AVERAGE(E245:E246)</f>
        <v>2578.415</v>
      </c>
      <c r="H245" s="18">
        <f>STDEV(E245:E246)</f>
        <v>3.4153257531309733</v>
      </c>
      <c r="K245" s="5">
        <f>G245+$J$214</f>
        <v>2567.5250000000001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48.8</v>
      </c>
      <c r="E246" s="5">
        <v>2580.83</v>
      </c>
      <c r="F246" s="17" t="s">
        <v>208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 t="s">
        <v>153</v>
      </c>
      <c r="E247" s="5" t="s">
        <v>153</v>
      </c>
      <c r="F247" s="17" t="s">
        <v>226</v>
      </c>
      <c r="G247" s="5" t="s">
        <v>153</v>
      </c>
      <c r="H247" s="5" t="s">
        <v>153</v>
      </c>
      <c r="K247" s="5" t="s">
        <v>153</v>
      </c>
      <c r="L247" s="1" t="s">
        <v>229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 t="s">
        <v>153</v>
      </c>
      <c r="E248" s="5" t="s">
        <v>153</v>
      </c>
      <c r="F248" s="17" t="s">
        <v>227</v>
      </c>
      <c r="G248" s="1"/>
      <c r="H248" s="1"/>
      <c r="I248" s="1"/>
      <c r="J248" s="1"/>
      <c r="K248" s="1"/>
    </row>
    <row r="249" spans="1:12" x14ac:dyDescent="0.2">
      <c r="A249" s="9" t="s">
        <v>11</v>
      </c>
      <c r="B249" s="31">
        <v>45079</v>
      </c>
      <c r="C249" s="10" t="s">
        <v>12</v>
      </c>
      <c r="D249" s="5" t="s">
        <v>153</v>
      </c>
      <c r="E249" s="5" t="s">
        <v>153</v>
      </c>
      <c r="F249" s="17" t="s">
        <v>228</v>
      </c>
      <c r="G249" s="1"/>
      <c r="H249" s="1"/>
      <c r="I249" s="1"/>
      <c r="J249" s="1"/>
      <c r="K249" s="1"/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51.69</v>
      </c>
      <c r="E250" s="5">
        <v>2593.9299999999998</v>
      </c>
      <c r="F250" s="32" t="s">
        <v>209</v>
      </c>
      <c r="G250" s="13">
        <f>AVERAGE(E250:E251)</f>
        <v>2591.4899999999998</v>
      </c>
      <c r="H250" s="18">
        <f>STDEV(E250:E251)</f>
        <v>3.4506810921901074</v>
      </c>
      <c r="K250" s="5">
        <f>G250+$J$214</f>
        <v>2580.6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</v>
      </c>
      <c r="E251" s="5">
        <v>2589.0500000000002</v>
      </c>
      <c r="F251" s="32" t="s">
        <v>210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153</v>
      </c>
      <c r="E252" s="5" t="s">
        <v>153</v>
      </c>
      <c r="F252" s="17" t="s">
        <v>211</v>
      </c>
      <c r="G252" s="5" t="s">
        <v>153</v>
      </c>
      <c r="H252" s="5" t="s">
        <v>153</v>
      </c>
      <c r="K252" s="5" t="s">
        <v>153</v>
      </c>
      <c r="L252" s="1" t="s">
        <v>182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153</v>
      </c>
      <c r="E253" s="5" t="s">
        <v>153</v>
      </c>
      <c r="F253" s="17" t="s">
        <v>212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 t="s">
        <v>153</v>
      </c>
      <c r="E254" s="5" t="s">
        <v>153</v>
      </c>
      <c r="F254" s="17" t="s">
        <v>213</v>
      </c>
    </row>
    <row r="255" spans="1:12" x14ac:dyDescent="0.2">
      <c r="E255" s="14"/>
      <c r="F255" s="1"/>
    </row>
    <row r="256" spans="1:12" x14ac:dyDescent="0.2">
      <c r="A256" s="9" t="s">
        <v>11</v>
      </c>
      <c r="B256" s="31">
        <v>45080</v>
      </c>
      <c r="C256" s="25" t="s">
        <v>12</v>
      </c>
      <c r="D256" s="5">
        <v>49.53</v>
      </c>
      <c r="E256" s="5">
        <v>2239.6799999999998</v>
      </c>
      <c r="F256" s="16" t="s">
        <v>8</v>
      </c>
      <c r="G256" s="13">
        <f>AVERAGE(E256,E258)</f>
        <v>2236.9849999999997</v>
      </c>
      <c r="H256" s="18">
        <f>STDEV(E256,E258)</f>
        <v>3.8113055505954012</v>
      </c>
      <c r="I256" s="3">
        <v>2226.44</v>
      </c>
      <c r="J256" s="4">
        <f>I256-G256</f>
        <v>-10.544999999999618</v>
      </c>
      <c r="K256" s="5">
        <f>G256+J256</f>
        <v>2226.44</v>
      </c>
      <c r="L256" s="2" t="s">
        <v>94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49.91</v>
      </c>
      <c r="E257" s="14">
        <v>2246.6</v>
      </c>
      <c r="F257" s="16" t="s">
        <v>9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50.71</v>
      </c>
      <c r="E258" s="5">
        <v>2234.29</v>
      </c>
      <c r="F258" s="17" t="s">
        <v>96</v>
      </c>
    </row>
    <row r="259" spans="1:11" x14ac:dyDescent="0.2">
      <c r="A259" s="9" t="s">
        <v>11</v>
      </c>
      <c r="B259" s="31">
        <v>45079</v>
      </c>
      <c r="C259" s="10" t="s">
        <v>12</v>
      </c>
      <c r="D259" s="5">
        <v>49.18</v>
      </c>
      <c r="E259" s="5">
        <v>2690.49</v>
      </c>
      <c r="F259" s="32" t="s">
        <v>215</v>
      </c>
      <c r="G259" s="13">
        <f>AVERAGE(E259:E260)</f>
        <v>2690.89</v>
      </c>
      <c r="H259" s="18">
        <f>STDEV(E259:E260)</f>
        <v>0.56568542494936658</v>
      </c>
      <c r="K259" s="5">
        <f>G259+$J$214</f>
        <v>2680</v>
      </c>
    </row>
    <row r="260" spans="1:11" x14ac:dyDescent="0.2">
      <c r="A260" s="9" t="s">
        <v>11</v>
      </c>
      <c r="B260" s="31">
        <v>45079</v>
      </c>
      <c r="C260" s="10" t="s">
        <v>12</v>
      </c>
      <c r="D260" s="5">
        <v>51.14</v>
      </c>
      <c r="E260" s="5">
        <v>2691.29</v>
      </c>
      <c r="F260" s="32" t="s">
        <v>216</v>
      </c>
    </row>
    <row r="261" spans="1:11" x14ac:dyDescent="0.2">
      <c r="A261" s="9" t="s">
        <v>11</v>
      </c>
      <c r="B261" s="31">
        <v>45079</v>
      </c>
      <c r="C261" s="10" t="s">
        <v>12</v>
      </c>
      <c r="D261" s="5">
        <v>50.77</v>
      </c>
      <c r="E261" s="14">
        <v>2851.54</v>
      </c>
      <c r="F261" s="32" t="s">
        <v>217</v>
      </c>
      <c r="G261" s="13">
        <f>AVERAGE(E262:E263)</f>
        <v>2834.8150000000001</v>
      </c>
      <c r="H261" s="18">
        <f>STDEV(E262:E263)</f>
        <v>4.3345645686736134</v>
      </c>
      <c r="K261" s="5">
        <f>G261+$J$214</f>
        <v>2823.9250000000002</v>
      </c>
    </row>
    <row r="262" spans="1:11" x14ac:dyDescent="0.2">
      <c r="A262" s="9" t="s">
        <v>11</v>
      </c>
      <c r="B262" s="31">
        <v>45079</v>
      </c>
      <c r="C262" s="10" t="s">
        <v>12</v>
      </c>
      <c r="D262" s="5">
        <v>49.14</v>
      </c>
      <c r="E262" s="5">
        <v>2837.88</v>
      </c>
      <c r="F262" s="32" t="s">
        <v>218</v>
      </c>
    </row>
    <row r="263" spans="1:11" x14ac:dyDescent="0.2">
      <c r="A263" s="9" t="s">
        <v>11</v>
      </c>
      <c r="B263" s="31">
        <v>45079</v>
      </c>
      <c r="C263" s="10" t="s">
        <v>12</v>
      </c>
      <c r="D263" s="5">
        <v>49.79</v>
      </c>
      <c r="E263" s="5">
        <v>2831.75</v>
      </c>
      <c r="F263" s="32" t="s">
        <v>219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50.99</v>
      </c>
      <c r="E264" s="14">
        <v>2690.59</v>
      </c>
      <c r="F264" s="32" t="s">
        <v>220</v>
      </c>
      <c r="G264" s="13">
        <f>AVERAGE(E265:E266)</f>
        <v>2704.4399999999996</v>
      </c>
      <c r="H264" s="18">
        <f>STDEV(E265:E266)</f>
        <v>2.842569260369908</v>
      </c>
      <c r="K264" s="5">
        <f>G264+$J$256</f>
        <v>2693.895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51.23</v>
      </c>
      <c r="E265" s="5">
        <v>2702.43</v>
      </c>
      <c r="F265" s="32" t="s">
        <v>221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49.15</v>
      </c>
      <c r="E266" s="5">
        <v>2706.45</v>
      </c>
      <c r="F266" s="32" t="s">
        <v>222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49.81</v>
      </c>
      <c r="E267" s="5">
        <v>2605.6</v>
      </c>
      <c r="F267" s="32" t="s">
        <v>223</v>
      </c>
      <c r="G267" s="13">
        <f>AVERAGE(E267,E269)</f>
        <v>2603.0149999999999</v>
      </c>
      <c r="H267" s="18">
        <f>STDEV(E267,E269)</f>
        <v>3.6557420587345022</v>
      </c>
      <c r="K267" s="5">
        <f>G267+$J$256</f>
        <v>2592.4700000000003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48.54</v>
      </c>
      <c r="E268" s="14">
        <v>2623.87</v>
      </c>
      <c r="F268" s="32" t="s">
        <v>224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49.29</v>
      </c>
      <c r="E269" s="5">
        <v>2600.4299999999998</v>
      </c>
      <c r="F269" s="32" t="s">
        <v>225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51.84</v>
      </c>
      <c r="E270" s="14">
        <v>3045.93</v>
      </c>
      <c r="F270" s="32" t="s">
        <v>233</v>
      </c>
      <c r="G270" s="13">
        <f>AVERAGE(E271:E272)</f>
        <v>2970.4549999999999</v>
      </c>
      <c r="H270" s="18">
        <f>STDEV(E271:E272)</f>
        <v>2.3122391744799975</v>
      </c>
      <c r="K270" s="5">
        <f>G270+$J$256</f>
        <v>2959.9100000000003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49.31</v>
      </c>
      <c r="E271" s="5">
        <v>2972.09</v>
      </c>
      <c r="F271" s="32" t="s">
        <v>234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49.67</v>
      </c>
      <c r="E272" s="5">
        <v>2968.82</v>
      </c>
      <c r="F272" s="32" t="s">
        <v>261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48.84</v>
      </c>
      <c r="E273" s="5">
        <v>2879.28</v>
      </c>
      <c r="F273" s="32" t="s">
        <v>235</v>
      </c>
      <c r="G273" s="13">
        <f>AVERAGE(E273:E274)</f>
        <v>2880.085</v>
      </c>
      <c r="H273" s="18">
        <f>STDEV(E273:E274)</f>
        <v>1.1384419177101099</v>
      </c>
      <c r="K273" s="5">
        <f>G273+$J$256</f>
        <v>2869.5400000000004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49.22</v>
      </c>
      <c r="E274" s="5">
        <v>2880.89</v>
      </c>
      <c r="F274" s="32" t="s">
        <v>236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49.01</v>
      </c>
      <c r="E275" s="14">
        <v>2725.15</v>
      </c>
      <c r="F275" s="32" t="s">
        <v>237</v>
      </c>
      <c r="G275" s="13">
        <f>AVERAGE(E276,E277)</f>
        <v>2886.1800000000003</v>
      </c>
      <c r="H275" s="13">
        <f>STDEV(E276,E277)</f>
        <v>4.9073210614346783</v>
      </c>
      <c r="K275" s="5">
        <f>G275+$J$256</f>
        <v>2875.6350000000007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50.67</v>
      </c>
      <c r="E276" s="5">
        <v>2882.71</v>
      </c>
      <c r="F276" s="32" t="s">
        <v>238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49.95</v>
      </c>
      <c r="E277" s="5">
        <v>2889.65</v>
      </c>
      <c r="F277" s="32" t="s">
        <v>417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49.71</v>
      </c>
      <c r="E278" s="5">
        <v>2879.81</v>
      </c>
      <c r="F278" s="32" t="s">
        <v>239</v>
      </c>
      <c r="G278" s="13">
        <f>AVERAGE(E278:E279)</f>
        <v>2877.66</v>
      </c>
      <c r="H278" s="18">
        <f>STDEV(E278:E279)</f>
        <v>3.0405591591019614</v>
      </c>
      <c r="K278" s="5">
        <f>G278+$J$256</f>
        <v>2867.1150000000002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>
        <v>49.14</v>
      </c>
      <c r="E279" s="5">
        <v>2875.51</v>
      </c>
      <c r="F279" s="32" t="s">
        <v>240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>
        <v>50.9</v>
      </c>
      <c r="E280" s="5">
        <v>2876.26</v>
      </c>
      <c r="F280" s="32" t="s">
        <v>241</v>
      </c>
      <c r="G280" s="13">
        <f>AVERAGE(E280:E281)</f>
        <v>2876.4700000000003</v>
      </c>
      <c r="H280" s="18">
        <f>STDEV(E280:E281)</f>
        <v>0.29698484809807985</v>
      </c>
      <c r="K280" s="5">
        <f>G280+$J$256</f>
        <v>2865.9250000000006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>
        <v>49.12</v>
      </c>
      <c r="E281" s="5">
        <v>2876.68</v>
      </c>
      <c r="F281" s="32" t="s">
        <v>242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50.67</v>
      </c>
      <c r="E282" s="14">
        <v>2687.18</v>
      </c>
      <c r="F282" s="32" t="s">
        <v>243</v>
      </c>
      <c r="G282" s="13">
        <f>AVERAGE(E283:E284)</f>
        <v>2678.01</v>
      </c>
      <c r="H282" s="18">
        <f>STDEV(E283:E284)</f>
        <v>0.55154328932564856</v>
      </c>
      <c r="K282" s="5">
        <f>G282+$J$256</f>
        <v>2667.4650000000006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51.89</v>
      </c>
      <c r="E283" s="5">
        <v>2678.4</v>
      </c>
      <c r="F283" s="32" t="s">
        <v>244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5">
        <v>49.27</v>
      </c>
      <c r="E284" s="5">
        <v>2677.62</v>
      </c>
      <c r="F284" s="32" t="s">
        <v>245</v>
      </c>
    </row>
    <row r="285" spans="1:12" x14ac:dyDescent="0.2">
      <c r="A285" s="9" t="s">
        <v>11</v>
      </c>
      <c r="B285" s="31">
        <v>45080</v>
      </c>
      <c r="C285" s="10" t="s">
        <v>12</v>
      </c>
      <c r="D285" s="5">
        <v>48.93</v>
      </c>
      <c r="E285" s="14">
        <v>2825.04</v>
      </c>
      <c r="F285" s="32" t="s">
        <v>246</v>
      </c>
      <c r="G285" s="13">
        <f>AVERAGE(E286:E287)</f>
        <v>2802.2249999999999</v>
      </c>
      <c r="H285" s="18">
        <f>STDEV(E286:E287)</f>
        <v>3.5001785668732817</v>
      </c>
      <c r="K285" s="5">
        <f>G285+$J$256</f>
        <v>2791.6800000000003</v>
      </c>
    </row>
    <row r="286" spans="1:12" x14ac:dyDescent="0.2">
      <c r="A286" s="9" t="s">
        <v>11</v>
      </c>
      <c r="B286" s="31">
        <v>45080</v>
      </c>
      <c r="C286" s="10" t="s">
        <v>12</v>
      </c>
      <c r="D286" s="5">
        <v>49.89</v>
      </c>
      <c r="E286" s="5">
        <v>2799.75</v>
      </c>
      <c r="F286" s="32" t="s">
        <v>247</v>
      </c>
    </row>
    <row r="287" spans="1:12" x14ac:dyDescent="0.2">
      <c r="A287" s="9" t="s">
        <v>11</v>
      </c>
      <c r="B287" s="31">
        <v>45080</v>
      </c>
      <c r="C287" s="10" t="s">
        <v>12</v>
      </c>
      <c r="D287" s="5">
        <v>50.5</v>
      </c>
      <c r="E287" s="5">
        <v>2804.7</v>
      </c>
      <c r="F287" s="33" t="s">
        <v>262</v>
      </c>
    </row>
    <row r="288" spans="1:12" x14ac:dyDescent="0.2">
      <c r="A288" s="9" t="s">
        <v>11</v>
      </c>
      <c r="B288" s="31">
        <v>45080</v>
      </c>
      <c r="C288" s="10" t="s">
        <v>12</v>
      </c>
      <c r="D288" s="5" t="s">
        <v>153</v>
      </c>
      <c r="E288" s="5" t="s">
        <v>153</v>
      </c>
      <c r="F288" s="32" t="s">
        <v>248</v>
      </c>
      <c r="G288" s="13" t="s">
        <v>153</v>
      </c>
      <c r="H288" s="18" t="s">
        <v>153</v>
      </c>
      <c r="K288" s="5" t="s">
        <v>153</v>
      </c>
      <c r="L288" s="1" t="s">
        <v>182</v>
      </c>
    </row>
    <row r="289" spans="1:12" x14ac:dyDescent="0.2">
      <c r="A289" s="9" t="s">
        <v>11</v>
      </c>
      <c r="B289" s="31">
        <v>45080</v>
      </c>
      <c r="C289" s="10" t="s">
        <v>12</v>
      </c>
      <c r="D289" s="5" t="s">
        <v>153</v>
      </c>
      <c r="E289" s="5" t="s">
        <v>153</v>
      </c>
      <c r="F289" s="32" t="s">
        <v>249</v>
      </c>
    </row>
    <row r="290" spans="1:12" x14ac:dyDescent="0.2">
      <c r="A290" s="9" t="s">
        <v>11</v>
      </c>
      <c r="B290" s="31">
        <v>45080</v>
      </c>
      <c r="C290" s="10" t="s">
        <v>12</v>
      </c>
      <c r="D290" s="5" t="s">
        <v>153</v>
      </c>
      <c r="E290" s="5" t="s">
        <v>153</v>
      </c>
      <c r="F290" s="32" t="s">
        <v>250</v>
      </c>
    </row>
    <row r="291" spans="1:12" x14ac:dyDescent="0.2">
      <c r="A291" s="9" t="s">
        <v>11</v>
      </c>
      <c r="B291" s="31">
        <v>45080</v>
      </c>
      <c r="C291" s="10" t="s">
        <v>12</v>
      </c>
      <c r="D291" s="5">
        <v>50.52</v>
      </c>
      <c r="E291" s="14">
        <v>2648.96</v>
      </c>
      <c r="F291" s="32" t="s">
        <v>251</v>
      </c>
      <c r="G291" s="13">
        <f>AVERAGE(E292:E293)</f>
        <v>2675.6950000000002</v>
      </c>
      <c r="H291" s="18">
        <f>STDEV(E292:E293)</f>
        <v>3.9810111780803399</v>
      </c>
      <c r="K291" s="5">
        <f>G291+$J$256</f>
        <v>2665.1500000000005</v>
      </c>
    </row>
    <row r="292" spans="1:12" x14ac:dyDescent="0.2">
      <c r="A292" s="9" t="s">
        <v>11</v>
      </c>
      <c r="B292" s="31">
        <v>45080</v>
      </c>
      <c r="C292" s="10" t="s">
        <v>12</v>
      </c>
      <c r="D292" s="5">
        <v>48.45</v>
      </c>
      <c r="E292" s="5">
        <v>2672.88</v>
      </c>
      <c r="F292" s="32" t="s">
        <v>252</v>
      </c>
    </row>
    <row r="293" spans="1:12" x14ac:dyDescent="0.2">
      <c r="A293" s="9" t="s">
        <v>11</v>
      </c>
      <c r="B293" s="31">
        <v>45080</v>
      </c>
      <c r="C293" s="10" t="s">
        <v>12</v>
      </c>
      <c r="D293" s="15">
        <v>50.23</v>
      </c>
      <c r="E293" s="15">
        <v>2678.51</v>
      </c>
      <c r="F293" s="32" t="s">
        <v>418</v>
      </c>
    </row>
    <row r="294" spans="1:12" x14ac:dyDescent="0.2">
      <c r="F294" s="32"/>
    </row>
    <row r="295" spans="1:12" x14ac:dyDescent="0.2">
      <c r="A295" s="9" t="s">
        <v>11</v>
      </c>
      <c r="B295" s="31">
        <v>45082</v>
      </c>
      <c r="C295" s="25" t="s">
        <v>12</v>
      </c>
      <c r="D295" s="5">
        <v>50.09</v>
      </c>
      <c r="E295" s="14">
        <v>2229.2600000000002</v>
      </c>
      <c r="F295" s="16" t="s">
        <v>8</v>
      </c>
      <c r="G295" s="13">
        <f>AVERAGE(E296,E297)</f>
        <v>2221.9949999999999</v>
      </c>
      <c r="H295" s="18">
        <f>STDEV(E296,E297)</f>
        <v>1.0111626970966472</v>
      </c>
      <c r="I295" s="3">
        <v>2226.44</v>
      </c>
      <c r="J295" s="4">
        <f>I295-G295</f>
        <v>4.4450000000001637</v>
      </c>
      <c r="K295" s="5">
        <f>G295+J295</f>
        <v>2226.44</v>
      </c>
      <c r="L295" s="2" t="s">
        <v>94</v>
      </c>
    </row>
    <row r="296" spans="1:12" x14ac:dyDescent="0.2">
      <c r="A296" s="9" t="s">
        <v>11</v>
      </c>
      <c r="B296" s="31">
        <v>45082</v>
      </c>
      <c r="C296" s="10" t="s">
        <v>12</v>
      </c>
      <c r="D296" s="5">
        <v>50.52</v>
      </c>
      <c r="E296" s="5">
        <v>2221.2800000000002</v>
      </c>
      <c r="F296" s="16" t="s">
        <v>9</v>
      </c>
    </row>
    <row r="297" spans="1:12" x14ac:dyDescent="0.2">
      <c r="A297" s="9" t="s">
        <v>11</v>
      </c>
      <c r="B297" s="31">
        <v>45082</v>
      </c>
      <c r="C297" s="10" t="s">
        <v>12</v>
      </c>
      <c r="D297" s="5">
        <v>50.23</v>
      </c>
      <c r="E297" s="5">
        <v>2222.71</v>
      </c>
      <c r="F297" s="17" t="s">
        <v>96</v>
      </c>
    </row>
    <row r="298" spans="1:12" x14ac:dyDescent="0.2">
      <c r="A298" s="9" t="s">
        <v>11</v>
      </c>
      <c r="B298" s="31">
        <v>45082</v>
      </c>
      <c r="C298" s="10" t="s">
        <v>12</v>
      </c>
      <c r="D298" s="5">
        <v>50.19</v>
      </c>
      <c r="E298" s="5">
        <v>2675.99</v>
      </c>
      <c r="F298" s="32" t="s">
        <v>253</v>
      </c>
      <c r="G298" s="13">
        <f>AVERAGE(E298,E300)</f>
        <v>2678.7150000000001</v>
      </c>
      <c r="H298" s="18">
        <f>STDEV(E298,E300)</f>
        <v>3.8537319574668771</v>
      </c>
      <c r="K298" s="5">
        <f>G298+$J$295</f>
        <v>2683.1600000000003</v>
      </c>
    </row>
    <row r="299" spans="1:12" x14ac:dyDescent="0.2">
      <c r="A299" s="9" t="s">
        <v>11</v>
      </c>
      <c r="B299" s="31">
        <v>45082</v>
      </c>
      <c r="C299" s="10" t="s">
        <v>12</v>
      </c>
      <c r="D299" s="5">
        <v>49.27</v>
      </c>
      <c r="E299" s="14">
        <v>2689.84</v>
      </c>
      <c r="F299" s="32" t="s">
        <v>254</v>
      </c>
    </row>
    <row r="300" spans="1:12" x14ac:dyDescent="0.2">
      <c r="A300" s="9" t="s">
        <v>11</v>
      </c>
      <c r="B300" s="31">
        <v>45082</v>
      </c>
      <c r="C300" s="10" t="s">
        <v>12</v>
      </c>
      <c r="D300" s="5">
        <v>50.54</v>
      </c>
      <c r="E300" s="5">
        <v>2681.44</v>
      </c>
      <c r="F300" s="32" t="s">
        <v>263</v>
      </c>
    </row>
    <row r="301" spans="1:12" x14ac:dyDescent="0.2">
      <c r="A301" s="9" t="s">
        <v>11</v>
      </c>
      <c r="B301" s="31">
        <v>45082</v>
      </c>
      <c r="C301" s="10" t="s">
        <v>12</v>
      </c>
      <c r="D301" s="5">
        <v>50.97</v>
      </c>
      <c r="E301" s="5">
        <v>2763.97</v>
      </c>
      <c r="F301" s="32" t="s">
        <v>255</v>
      </c>
      <c r="G301" s="13">
        <f>AVERAGE(E301,E303)</f>
        <v>2763.52</v>
      </c>
      <c r="H301" s="18">
        <f>STDEV(E301,E303)</f>
        <v>0.6363961030676355</v>
      </c>
      <c r="K301" s="5">
        <f>G301+$J$295</f>
        <v>2767.9650000000001</v>
      </c>
    </row>
    <row r="302" spans="1:12" x14ac:dyDescent="0.2">
      <c r="A302" s="9" t="s">
        <v>11</v>
      </c>
      <c r="B302" s="31">
        <v>45082</v>
      </c>
      <c r="C302" s="10" t="s">
        <v>12</v>
      </c>
      <c r="D302" s="5">
        <v>51.25</v>
      </c>
      <c r="E302" s="14">
        <v>2775.93</v>
      </c>
      <c r="F302" s="32" t="s">
        <v>256</v>
      </c>
    </row>
    <row r="303" spans="1:12" x14ac:dyDescent="0.2">
      <c r="A303" s="9" t="s">
        <v>11</v>
      </c>
      <c r="B303" s="31">
        <v>45082</v>
      </c>
      <c r="C303" s="10" t="s">
        <v>12</v>
      </c>
      <c r="D303" s="5">
        <v>50.53</v>
      </c>
      <c r="E303" s="5">
        <v>2763.07</v>
      </c>
      <c r="F303" s="32" t="s">
        <v>257</v>
      </c>
    </row>
    <row r="304" spans="1:12" x14ac:dyDescent="0.2">
      <c r="A304" s="9" t="s">
        <v>11</v>
      </c>
      <c r="B304" s="31">
        <v>45082</v>
      </c>
      <c r="C304" s="10" t="s">
        <v>12</v>
      </c>
      <c r="D304" s="5">
        <v>50.84</v>
      </c>
      <c r="E304" s="14">
        <v>2677.87</v>
      </c>
      <c r="F304" s="32" t="s">
        <v>258</v>
      </c>
      <c r="G304" s="13">
        <f>AVERAGE(E305:E306)</f>
        <v>2660.46</v>
      </c>
      <c r="H304" s="18">
        <f>STDEV(E305:E306)</f>
        <v>0.4525483399596219</v>
      </c>
      <c r="K304" s="5">
        <f>G304+$J$295</f>
        <v>2664.9050000000002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51.25</v>
      </c>
      <c r="E305" s="5">
        <v>2660.78</v>
      </c>
      <c r="F305" s="32" t="s">
        <v>259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50.59</v>
      </c>
      <c r="E306" s="5">
        <v>2660.14</v>
      </c>
      <c r="F306" s="32" t="s">
        <v>260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48.28</v>
      </c>
      <c r="E307" s="14">
        <v>2519.1799999999998</v>
      </c>
      <c r="F307" s="32" t="s">
        <v>264</v>
      </c>
      <c r="G307" s="13">
        <f>AVERAGE(E308:E309)</f>
        <v>2502.665</v>
      </c>
      <c r="H307" s="18">
        <f>STDEV(E308:E309)</f>
        <v>0.27577164466298504</v>
      </c>
      <c r="K307" s="5">
        <f>G307+$J$295</f>
        <v>2507.11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50.97</v>
      </c>
      <c r="E308" s="5">
        <v>2502.86</v>
      </c>
      <c r="F308" s="32" t="s">
        <v>265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50.3</v>
      </c>
      <c r="E309" s="5">
        <v>2502.4699999999998</v>
      </c>
      <c r="F309" s="32" t="s">
        <v>266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50.71</v>
      </c>
      <c r="E310" s="14">
        <v>2568.89</v>
      </c>
      <c r="F310" s="32" t="s">
        <v>267</v>
      </c>
      <c r="G310" s="13">
        <f>AVERAGE(E311:E312)</f>
        <v>2556.1350000000002</v>
      </c>
      <c r="H310" s="18">
        <f>STDEV(E311:E312)</f>
        <v>0.91216774773094211</v>
      </c>
      <c r="K310" s="5">
        <f>G310+$J$295</f>
        <v>2560.5800000000004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51.81</v>
      </c>
      <c r="E311" s="5">
        <v>2555.4899999999998</v>
      </c>
      <c r="F311" s="32" t="s">
        <v>268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50</v>
      </c>
      <c r="E312" s="5">
        <v>2556.7800000000002</v>
      </c>
      <c r="F312" s="32" t="s">
        <v>269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48.63</v>
      </c>
      <c r="E313" s="14">
        <v>2560.79</v>
      </c>
      <c r="F313" s="32" t="s">
        <v>270</v>
      </c>
      <c r="G313" s="13">
        <f>AVERAGE(E314,E316)</f>
        <v>2547.31</v>
      </c>
      <c r="H313" s="13">
        <f>STDEV(E314,E316)</f>
        <v>1.8809040379561135</v>
      </c>
      <c r="K313" s="5">
        <f>G313+$J$295</f>
        <v>2551.7550000000001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51.07</v>
      </c>
      <c r="E314" s="5">
        <v>2545.98</v>
      </c>
      <c r="F314" s="32" t="s">
        <v>271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51.47</v>
      </c>
      <c r="E315" s="14">
        <v>2522.4699999999998</v>
      </c>
      <c r="F315" s="32" t="s">
        <v>272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50.71</v>
      </c>
      <c r="E316" s="5">
        <v>2548.64</v>
      </c>
      <c r="F316" s="32" t="s">
        <v>419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51.27</v>
      </c>
      <c r="E317" s="14">
        <v>2585.0100000000002</v>
      </c>
      <c r="F317" s="32" t="s">
        <v>273</v>
      </c>
      <c r="G317" s="13">
        <f>AVERAGE(E318:E319)</f>
        <v>2604.0349999999999</v>
      </c>
      <c r="H317" s="18">
        <f>STDEV(E318:E319)</f>
        <v>6.3639610306892178E-2</v>
      </c>
      <c r="K317" s="5">
        <f>G317+$J$295</f>
        <v>2608.48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49.07</v>
      </c>
      <c r="E318" s="5">
        <v>2603.9899999999998</v>
      </c>
      <c r="F318" s="32" t="s">
        <v>274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48.74</v>
      </c>
      <c r="E319" s="5">
        <v>2604.08</v>
      </c>
      <c r="F319" s="32" t="s">
        <v>275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50.99</v>
      </c>
      <c r="E320" s="14">
        <v>2658.15</v>
      </c>
      <c r="F320" s="32" t="s">
        <v>276</v>
      </c>
      <c r="G320" s="13">
        <f>AVERAGE(E321:E322)</f>
        <v>2646.86</v>
      </c>
      <c r="H320" s="18">
        <f>STDEV(E321:E322)</f>
        <v>2.3617366491631717</v>
      </c>
      <c r="K320" s="5">
        <f>G320+$J$295</f>
        <v>2651.3050000000003</v>
      </c>
    </row>
    <row r="321" spans="1:12" x14ac:dyDescent="0.2">
      <c r="A321" s="9" t="s">
        <v>11</v>
      </c>
      <c r="B321" s="31">
        <v>45082</v>
      </c>
      <c r="C321" s="10" t="s">
        <v>12</v>
      </c>
      <c r="D321" s="5">
        <v>50.89</v>
      </c>
      <c r="E321" s="5">
        <v>2645.19</v>
      </c>
      <c r="F321" s="32" t="s">
        <v>277</v>
      </c>
    </row>
    <row r="322" spans="1:12" x14ac:dyDescent="0.2">
      <c r="A322" s="9" t="s">
        <v>11</v>
      </c>
      <c r="B322" s="31">
        <v>45082</v>
      </c>
      <c r="C322" s="10" t="s">
        <v>12</v>
      </c>
      <c r="D322" s="5">
        <v>49.61</v>
      </c>
      <c r="E322" s="5">
        <v>2648.53</v>
      </c>
      <c r="F322" s="32" t="s">
        <v>278</v>
      </c>
    </row>
    <row r="323" spans="1:12" x14ac:dyDescent="0.2">
      <c r="A323" s="9" t="s">
        <v>11</v>
      </c>
      <c r="B323" s="31">
        <v>45082</v>
      </c>
      <c r="C323" s="10" t="s">
        <v>12</v>
      </c>
      <c r="D323" s="5">
        <v>48.94</v>
      </c>
      <c r="E323" s="5">
        <v>2614.2199999999998</v>
      </c>
      <c r="F323" s="32" t="s">
        <v>279</v>
      </c>
      <c r="G323" s="13">
        <f>AVERAGE(E323:E324)</f>
        <v>2612.37</v>
      </c>
      <c r="H323" s="18">
        <f>STDEV(E323:E324)</f>
        <v>2.6162950903900972</v>
      </c>
      <c r="K323" s="5">
        <f>G323+$J$295</f>
        <v>2616.8150000000001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50.77</v>
      </c>
      <c r="E324" s="5">
        <v>2610.52</v>
      </c>
      <c r="F324" s="32" t="s">
        <v>280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52.43</v>
      </c>
      <c r="E325" s="5">
        <v>2530.13</v>
      </c>
      <c r="F325" s="32" t="s">
        <v>281</v>
      </c>
      <c r="G325" s="13">
        <f>AVERAGE(E325:E326)</f>
        <v>2528.3500000000004</v>
      </c>
      <c r="H325" s="18">
        <f>STDEV(E325:E326)</f>
        <v>2.5173001410240707</v>
      </c>
      <c r="K325" s="5">
        <f>G325+$J$295</f>
        <v>2532.7950000000005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49.17</v>
      </c>
      <c r="E326" s="5">
        <v>2526.5700000000002</v>
      </c>
      <c r="F326" s="32" t="s">
        <v>282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50.31</v>
      </c>
      <c r="E327" s="5">
        <v>2623.15</v>
      </c>
      <c r="F327" s="32" t="s">
        <v>283</v>
      </c>
      <c r="G327" s="13">
        <f>AVERAGE(E327:E328)</f>
        <v>2622.16</v>
      </c>
      <c r="H327" s="18">
        <f>STDEV(E327:E328)</f>
        <v>1.400071426749377</v>
      </c>
      <c r="K327" s="5">
        <f>G327+$J$295</f>
        <v>2626.605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51.67</v>
      </c>
      <c r="E328" s="5">
        <v>2621.17</v>
      </c>
      <c r="F328" s="32" t="s">
        <v>284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50.42</v>
      </c>
      <c r="E329" s="14">
        <v>2585.75</v>
      </c>
      <c r="F329" s="32" t="s">
        <v>285</v>
      </c>
      <c r="G329" s="13">
        <f>AVERAGE(E330:E331)</f>
        <v>2575.38</v>
      </c>
      <c r="H329" s="18">
        <f>STDEV(E330:E331)</f>
        <v>4.2426406871192848</v>
      </c>
      <c r="K329" s="5">
        <f>G329+$J$295</f>
        <v>2579.8250000000003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50.63</v>
      </c>
      <c r="E330" s="5">
        <v>2572.38</v>
      </c>
      <c r="F330" s="32" t="s">
        <v>286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49.19</v>
      </c>
      <c r="E331" s="5">
        <v>2578.38</v>
      </c>
      <c r="F331" s="32" t="s">
        <v>287</v>
      </c>
    </row>
    <row r="332" spans="1:12" x14ac:dyDescent="0.2">
      <c r="C332" s="10"/>
    </row>
    <row r="333" spans="1:12" x14ac:dyDescent="0.2">
      <c r="A333" s="9" t="s">
        <v>11</v>
      </c>
      <c r="B333" s="31">
        <v>45083</v>
      </c>
      <c r="C333" s="25" t="s">
        <v>12</v>
      </c>
      <c r="D333" s="5">
        <v>50.52</v>
      </c>
      <c r="E333" s="14">
        <v>2219.19</v>
      </c>
      <c r="F333" s="16" t="s">
        <v>8</v>
      </c>
      <c r="G333" s="13">
        <f>AVERAGE(E334:E335)</f>
        <v>2238.3050000000003</v>
      </c>
      <c r="H333" s="18">
        <f>STDEV(E334:E335)</f>
        <v>2.8637824638053244</v>
      </c>
      <c r="I333" s="3">
        <v>2226.44</v>
      </c>
      <c r="J333" s="4">
        <f>I333-G333</f>
        <v>-11.865000000000236</v>
      </c>
      <c r="K333" s="5">
        <f>G333+J333</f>
        <v>2226.44</v>
      </c>
      <c r="L333" s="2" t="s">
        <v>94</v>
      </c>
    </row>
    <row r="334" spans="1:12" x14ac:dyDescent="0.2">
      <c r="A334" s="9" t="s">
        <v>11</v>
      </c>
      <c r="B334" s="31">
        <v>45083</v>
      </c>
      <c r="C334" s="10" t="s">
        <v>12</v>
      </c>
      <c r="D334" s="5">
        <v>48.27</v>
      </c>
      <c r="E334" s="5">
        <v>2236.2800000000002</v>
      </c>
      <c r="F334" s="16" t="s">
        <v>9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50.04</v>
      </c>
      <c r="E335" s="5">
        <v>2240.33</v>
      </c>
      <c r="F335" s="17" t="s">
        <v>96</v>
      </c>
    </row>
    <row r="336" spans="1:12" x14ac:dyDescent="0.2">
      <c r="A336" s="9" t="s">
        <v>11</v>
      </c>
      <c r="B336" s="31">
        <v>45082</v>
      </c>
      <c r="C336" s="10" t="s">
        <v>12</v>
      </c>
      <c r="D336" s="5">
        <v>48.96</v>
      </c>
      <c r="E336" s="5">
        <v>2601.0100000000002</v>
      </c>
      <c r="F336" s="32" t="s">
        <v>288</v>
      </c>
      <c r="G336" s="13">
        <f>AVERAGE(E336:E337)</f>
        <v>2601.6750000000002</v>
      </c>
      <c r="H336" s="18">
        <f>STDEV(E336:E337)</f>
        <v>0.94045201897805675</v>
      </c>
      <c r="K336" s="5">
        <f>G336+$J$295</f>
        <v>2606.1200000000003</v>
      </c>
    </row>
    <row r="337" spans="1:11" x14ac:dyDescent="0.2">
      <c r="A337" s="9" t="s">
        <v>11</v>
      </c>
      <c r="B337" s="31">
        <v>45082</v>
      </c>
      <c r="C337" s="10" t="s">
        <v>12</v>
      </c>
      <c r="D337" s="5">
        <v>52.01</v>
      </c>
      <c r="E337" s="5">
        <v>2602.34</v>
      </c>
      <c r="F337" s="32" t="s">
        <v>289</v>
      </c>
    </row>
    <row r="338" spans="1:11" x14ac:dyDescent="0.2">
      <c r="A338" s="9" t="s">
        <v>11</v>
      </c>
      <c r="B338" s="31">
        <v>45082</v>
      </c>
      <c r="C338" s="10" t="s">
        <v>12</v>
      </c>
      <c r="D338" s="5">
        <v>50.22</v>
      </c>
      <c r="E338" s="14">
        <v>2534.11</v>
      </c>
      <c r="F338" s="32" t="s">
        <v>290</v>
      </c>
      <c r="G338" s="18">
        <f>AVERAGE(E339:E340)</f>
        <v>2582.8850000000002</v>
      </c>
      <c r="H338" s="18">
        <f>STDEV(E339:E340)</f>
        <v>9.1923881554006784E-2</v>
      </c>
      <c r="K338" s="5">
        <f>G338+$J$295</f>
        <v>2587.3300000000004</v>
      </c>
    </row>
    <row r="339" spans="1:11" x14ac:dyDescent="0.2">
      <c r="A339" s="9" t="s">
        <v>11</v>
      </c>
      <c r="B339" s="31">
        <v>45082</v>
      </c>
      <c r="C339" s="10" t="s">
        <v>12</v>
      </c>
      <c r="D339" s="5">
        <v>49.96</v>
      </c>
      <c r="E339" s="5">
        <v>2582.9499999999998</v>
      </c>
      <c r="F339" s="32" t="s">
        <v>291</v>
      </c>
    </row>
    <row r="340" spans="1:11" x14ac:dyDescent="0.2">
      <c r="A340" s="9" t="s">
        <v>11</v>
      </c>
      <c r="B340" s="31">
        <v>45082</v>
      </c>
      <c r="C340" s="10" t="s">
        <v>12</v>
      </c>
      <c r="D340" s="5">
        <v>49.71</v>
      </c>
      <c r="E340" s="5">
        <v>2582.8200000000002</v>
      </c>
      <c r="F340" s="32" t="s">
        <v>420</v>
      </c>
    </row>
    <row r="341" spans="1:11" x14ac:dyDescent="0.2">
      <c r="A341" s="9" t="s">
        <v>11</v>
      </c>
      <c r="B341" s="31">
        <v>45082</v>
      </c>
      <c r="C341" s="10" t="s">
        <v>12</v>
      </c>
      <c r="D341" s="5">
        <v>49.6</v>
      </c>
      <c r="E341" s="5">
        <v>2562.94</v>
      </c>
      <c r="F341" s="32" t="s">
        <v>292</v>
      </c>
      <c r="G341" s="13">
        <f>AVERAGE(E341:E342)</f>
        <v>2555.1149999999998</v>
      </c>
      <c r="H341" s="18">
        <f>STDEV(E341,E343)</f>
        <v>2.9698484809833712</v>
      </c>
      <c r="K341" s="5">
        <f>G341+$J$295</f>
        <v>2559.56</v>
      </c>
    </row>
    <row r="342" spans="1:11" x14ac:dyDescent="0.2">
      <c r="A342" s="9" t="s">
        <v>11</v>
      </c>
      <c r="B342" s="31">
        <v>45082</v>
      </c>
      <c r="C342" s="10" t="s">
        <v>12</v>
      </c>
      <c r="D342" s="5">
        <v>52</v>
      </c>
      <c r="E342" s="14">
        <v>2547.29</v>
      </c>
      <c r="F342" s="32" t="s">
        <v>293</v>
      </c>
    </row>
    <row r="343" spans="1:11" x14ac:dyDescent="0.2">
      <c r="A343" s="9" t="s">
        <v>11</v>
      </c>
      <c r="B343" s="31">
        <v>45082</v>
      </c>
      <c r="C343" s="10" t="s">
        <v>12</v>
      </c>
      <c r="D343" s="5">
        <v>49.79</v>
      </c>
      <c r="E343" s="5">
        <v>2567.14</v>
      </c>
      <c r="F343" s="32" t="s">
        <v>294</v>
      </c>
    </row>
    <row r="344" spans="1:11" x14ac:dyDescent="0.2">
      <c r="A344" s="9" t="s">
        <v>11</v>
      </c>
      <c r="B344" s="31">
        <v>45082</v>
      </c>
      <c r="C344" s="10" t="s">
        <v>12</v>
      </c>
      <c r="D344" s="5">
        <v>51.18</v>
      </c>
      <c r="E344" s="14">
        <v>2589.9299999999998</v>
      </c>
      <c r="F344" s="32" t="s">
        <v>295</v>
      </c>
      <c r="G344" s="13">
        <f>AVERAGE(E345:E346)</f>
        <v>2580.4549999999999</v>
      </c>
      <c r="H344" s="18">
        <f>STDEV(E345:E346)</f>
        <v>1.3788582233136391</v>
      </c>
      <c r="K344" s="5">
        <f>G344+$J$295</f>
        <v>2584.9</v>
      </c>
    </row>
    <row r="345" spans="1:11" x14ac:dyDescent="0.2">
      <c r="A345" s="9" t="s">
        <v>11</v>
      </c>
      <c r="B345" s="31">
        <v>45082</v>
      </c>
      <c r="C345" s="10" t="s">
        <v>12</v>
      </c>
      <c r="D345" s="5">
        <v>50.87</v>
      </c>
      <c r="E345" s="5">
        <v>2581.4299999999998</v>
      </c>
      <c r="F345" s="32" t="s">
        <v>296</v>
      </c>
    </row>
    <row r="346" spans="1:11" x14ac:dyDescent="0.2">
      <c r="A346" s="9" t="s">
        <v>11</v>
      </c>
      <c r="B346" s="31">
        <v>45082</v>
      </c>
      <c r="C346" s="10" t="s">
        <v>12</v>
      </c>
      <c r="D346" s="5">
        <v>49.3</v>
      </c>
      <c r="E346" s="5">
        <v>2579.48</v>
      </c>
      <c r="F346" s="32" t="s">
        <v>297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51.48</v>
      </c>
      <c r="F347" s="32" t="s">
        <v>298</v>
      </c>
      <c r="G347" s="13" t="e">
        <f>AVERAGE(E348:E349)</f>
        <v>#DIV/0!</v>
      </c>
      <c r="H347" s="18" t="e">
        <f>STDEV(E348:E349)</f>
        <v>#DIV/0!</v>
      </c>
      <c r="K347" s="5" t="e">
        <f>G347+$J$333</f>
        <v>#DIV/0!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50.77</v>
      </c>
      <c r="F348" s="32" t="s">
        <v>299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50.17</v>
      </c>
      <c r="F349" s="32" t="s">
        <v>300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50.57</v>
      </c>
      <c r="F350" s="32" t="s">
        <v>301</v>
      </c>
      <c r="G350" s="13" t="e">
        <f>AVERAGE(E351:E352)</f>
        <v>#DIV/0!</v>
      </c>
      <c r="H350" s="18" t="e">
        <f>STDEV(E351:E352)</f>
        <v>#DIV/0!</v>
      </c>
      <c r="K350" s="5" t="e">
        <f>G350+$J$333</f>
        <v>#DIV/0!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50.2</v>
      </c>
      <c r="F351" s="32" t="s">
        <v>302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49.92</v>
      </c>
      <c r="F352" s="32" t="s">
        <v>303</v>
      </c>
    </row>
    <row r="353" spans="1:11" x14ac:dyDescent="0.2">
      <c r="A353" s="9" t="s">
        <v>11</v>
      </c>
      <c r="B353" s="31">
        <v>45083</v>
      </c>
      <c r="C353" s="10" t="s">
        <v>12</v>
      </c>
      <c r="F353" s="32" t="s">
        <v>304</v>
      </c>
      <c r="G353" s="13" t="e">
        <f>AVERAGE(E354:E355)</f>
        <v>#DIV/0!</v>
      </c>
      <c r="H353" s="18" t="e">
        <f>STDEV(E354:E355)</f>
        <v>#DIV/0!</v>
      </c>
      <c r="K353" s="5" t="e">
        <f>G353+$J$333</f>
        <v>#DIV/0!</v>
      </c>
    </row>
    <row r="354" spans="1:11" x14ac:dyDescent="0.2">
      <c r="A354" s="9" t="s">
        <v>11</v>
      </c>
      <c r="B354" s="31">
        <v>45083</v>
      </c>
      <c r="C354" s="10" t="s">
        <v>12</v>
      </c>
      <c r="F354" s="32" t="s">
        <v>305</v>
      </c>
    </row>
    <row r="355" spans="1:11" x14ac:dyDescent="0.2">
      <c r="A355" s="9" t="s">
        <v>11</v>
      </c>
      <c r="B355" s="31">
        <v>45083</v>
      </c>
      <c r="C355" s="10" t="s">
        <v>12</v>
      </c>
      <c r="F355" s="32" t="s">
        <v>306</v>
      </c>
    </row>
    <row r="356" spans="1:11" x14ac:dyDescent="0.2">
      <c r="A356" s="9" t="s">
        <v>11</v>
      </c>
      <c r="B356" s="31">
        <v>45083</v>
      </c>
      <c r="C356" s="10" t="s">
        <v>12</v>
      </c>
      <c r="F356" s="32" t="s">
        <v>307</v>
      </c>
      <c r="G356" s="13" t="e">
        <f>AVERAGE(E357:E358)</f>
        <v>#DIV/0!</v>
      </c>
      <c r="H356" s="18" t="e">
        <f>STDEV(E357:E358)</f>
        <v>#DIV/0!</v>
      </c>
      <c r="K356" s="5" t="e">
        <f>G356+$J$333</f>
        <v>#DIV/0!</v>
      </c>
    </row>
    <row r="357" spans="1:11" x14ac:dyDescent="0.2">
      <c r="A357" s="9" t="s">
        <v>11</v>
      </c>
      <c r="B357" s="31">
        <v>45083</v>
      </c>
      <c r="C357" s="10" t="s">
        <v>12</v>
      </c>
      <c r="F357" s="32" t="s">
        <v>308</v>
      </c>
    </row>
    <row r="358" spans="1:11" x14ac:dyDescent="0.2">
      <c r="A358" s="9" t="s">
        <v>11</v>
      </c>
      <c r="B358" s="31">
        <v>45083</v>
      </c>
      <c r="C358" s="10" t="s">
        <v>12</v>
      </c>
      <c r="F358" s="32" t="s">
        <v>309</v>
      </c>
    </row>
    <row r="359" spans="1:11" x14ac:dyDescent="0.2">
      <c r="A359" s="9" t="s">
        <v>11</v>
      </c>
      <c r="B359" s="31">
        <v>45083</v>
      </c>
      <c r="C359" s="10" t="s">
        <v>12</v>
      </c>
      <c r="F359" s="32" t="s">
        <v>310</v>
      </c>
      <c r="G359" s="13" t="e">
        <f>AVERAGE(E360:E361)</f>
        <v>#DIV/0!</v>
      </c>
      <c r="H359" s="18" t="e">
        <f>STDEV(E360:E361)</f>
        <v>#DIV/0!</v>
      </c>
      <c r="K359" s="5" t="e">
        <f>G359+$J$333</f>
        <v>#DIV/0!</v>
      </c>
    </row>
    <row r="360" spans="1:11" x14ac:dyDescent="0.2">
      <c r="A360" s="9" t="s">
        <v>11</v>
      </c>
      <c r="B360" s="31">
        <v>45083</v>
      </c>
      <c r="C360" s="10" t="s">
        <v>12</v>
      </c>
      <c r="F360" s="32" t="s">
        <v>311</v>
      </c>
    </row>
    <row r="361" spans="1:11" x14ac:dyDescent="0.2">
      <c r="A361" s="9" t="s">
        <v>11</v>
      </c>
      <c r="B361" s="31">
        <v>45083</v>
      </c>
      <c r="C361" s="10" t="s">
        <v>12</v>
      </c>
      <c r="F361" s="32" t="s">
        <v>312</v>
      </c>
    </row>
    <row r="362" spans="1:11" x14ac:dyDescent="0.2">
      <c r="A362" s="9" t="s">
        <v>11</v>
      </c>
      <c r="B362" s="31">
        <v>45083</v>
      </c>
      <c r="C362" s="10" t="s">
        <v>12</v>
      </c>
      <c r="F362" s="32" t="s">
        <v>313</v>
      </c>
      <c r="G362" s="13" t="e">
        <f>AVERAGE(E363:E364)</f>
        <v>#DIV/0!</v>
      </c>
      <c r="H362" s="18" t="e">
        <f>STDEV(E363:E364)</f>
        <v>#DIV/0!</v>
      </c>
      <c r="K362" s="5" t="e">
        <f>G362+$J$333</f>
        <v>#DIV/0!</v>
      </c>
    </row>
    <row r="363" spans="1:11" x14ac:dyDescent="0.2">
      <c r="A363" s="9" t="s">
        <v>11</v>
      </c>
      <c r="B363" s="31">
        <v>45083</v>
      </c>
      <c r="C363" s="10" t="s">
        <v>12</v>
      </c>
      <c r="F363" s="32" t="s">
        <v>314</v>
      </c>
    </row>
    <row r="364" spans="1:11" x14ac:dyDescent="0.2">
      <c r="A364" s="9" t="s">
        <v>11</v>
      </c>
      <c r="B364" s="31">
        <v>45083</v>
      </c>
      <c r="C364" s="10" t="s">
        <v>12</v>
      </c>
      <c r="F364" s="32" t="s">
        <v>315</v>
      </c>
    </row>
    <row r="365" spans="1:11" x14ac:dyDescent="0.2">
      <c r="A365" s="9" t="s">
        <v>11</v>
      </c>
      <c r="B365" s="31">
        <v>45083</v>
      </c>
      <c r="C365" s="10" t="s">
        <v>12</v>
      </c>
      <c r="F365" s="32" t="s">
        <v>316</v>
      </c>
      <c r="G365" s="13" t="e">
        <f>AVERAGE(E366:E367)</f>
        <v>#DIV/0!</v>
      </c>
      <c r="H365" s="18" t="e">
        <f>STDEV(E366:E367)</f>
        <v>#DIV/0!</v>
      </c>
      <c r="K365" s="5" t="e">
        <f>G365+$J$333</f>
        <v>#DIV/0!</v>
      </c>
    </row>
    <row r="366" spans="1:11" x14ac:dyDescent="0.2">
      <c r="A366" s="9" t="s">
        <v>11</v>
      </c>
      <c r="B366" s="31">
        <v>45083</v>
      </c>
      <c r="C366" s="10" t="s">
        <v>12</v>
      </c>
      <c r="F366" s="32" t="s">
        <v>317</v>
      </c>
    </row>
    <row r="367" spans="1:11" x14ac:dyDescent="0.2">
      <c r="A367" s="9" t="s">
        <v>11</v>
      </c>
      <c r="B367" s="31">
        <v>45083</v>
      </c>
      <c r="C367" s="10" t="s">
        <v>12</v>
      </c>
      <c r="F367" s="33" t="s">
        <v>318</v>
      </c>
    </row>
    <row r="368" spans="1:11" x14ac:dyDescent="0.2">
      <c r="A368" s="9" t="s">
        <v>11</v>
      </c>
      <c r="B368" s="31">
        <v>45083</v>
      </c>
      <c r="C368" s="10" t="s">
        <v>12</v>
      </c>
      <c r="F368" s="32" t="s">
        <v>319</v>
      </c>
      <c r="G368" s="13" t="e">
        <f>AVERAGE(E369:E370)</f>
        <v>#DIV/0!</v>
      </c>
      <c r="H368" s="18" t="e">
        <f>STDEV(E369:E370)</f>
        <v>#DIV/0!</v>
      </c>
      <c r="K368" s="5" t="e">
        <f>G368+$J$333</f>
        <v>#DIV/0!</v>
      </c>
    </row>
    <row r="369" spans="1:11" x14ac:dyDescent="0.2">
      <c r="A369" s="9" t="s">
        <v>11</v>
      </c>
      <c r="B369" s="31">
        <v>45083</v>
      </c>
      <c r="C369" s="10" t="s">
        <v>12</v>
      </c>
      <c r="F369" s="32" t="s">
        <v>320</v>
      </c>
    </row>
    <row r="370" spans="1:11" x14ac:dyDescent="0.2">
      <c r="A370" s="9" t="s">
        <v>11</v>
      </c>
      <c r="B370" s="31">
        <v>45083</v>
      </c>
      <c r="C370" s="10" t="s">
        <v>12</v>
      </c>
      <c r="F370" s="32" t="s">
        <v>321</v>
      </c>
    </row>
    <row r="371" spans="1:11" x14ac:dyDescent="0.2">
      <c r="A371" s="9" t="s">
        <v>11</v>
      </c>
      <c r="B371" s="31">
        <v>45083</v>
      </c>
      <c r="C371" s="10" t="s">
        <v>12</v>
      </c>
      <c r="F371" s="32" t="s">
        <v>322</v>
      </c>
      <c r="G371" s="13" t="e">
        <f>AVERAGE(E372:E373)</f>
        <v>#DIV/0!</v>
      </c>
      <c r="H371" s="18" t="e">
        <f>STDEV(E372:E373)</f>
        <v>#DIV/0!</v>
      </c>
      <c r="K371" s="5" t="e">
        <f>G371+$J$333</f>
        <v>#DIV/0!</v>
      </c>
    </row>
    <row r="372" spans="1:11" x14ac:dyDescent="0.2">
      <c r="A372" s="9" t="s">
        <v>11</v>
      </c>
      <c r="B372" s="31">
        <v>45083</v>
      </c>
      <c r="C372" s="10" t="s">
        <v>12</v>
      </c>
      <c r="F372" s="32" t="s">
        <v>323</v>
      </c>
    </row>
    <row r="373" spans="1:11" x14ac:dyDescent="0.2">
      <c r="A373" s="9" t="s">
        <v>11</v>
      </c>
      <c r="B373" s="31">
        <v>45083</v>
      </c>
      <c r="C373" s="10" t="s">
        <v>12</v>
      </c>
      <c r="F373" s="32" t="s">
        <v>324</v>
      </c>
    </row>
    <row r="374" spans="1:11" x14ac:dyDescent="0.2">
      <c r="F374" s="32"/>
    </row>
    <row r="375" spans="1:11" x14ac:dyDescent="0.2">
      <c r="C375" s="10" t="s">
        <v>12</v>
      </c>
      <c r="F375" s="32" t="s">
        <v>325</v>
      </c>
      <c r="G375" s="13" t="e">
        <f>AVERAGE(E376:E377)</f>
        <v>#DIV/0!</v>
      </c>
      <c r="H375" s="18" t="e">
        <f>STDEV(E376:E377)</f>
        <v>#DIV/0!</v>
      </c>
      <c r="K375" s="5" t="e">
        <f>G375+$J$333</f>
        <v>#DIV/0!</v>
      </c>
    </row>
    <row r="376" spans="1:11" x14ac:dyDescent="0.2">
      <c r="C376" s="10" t="s">
        <v>12</v>
      </c>
      <c r="F376" s="32" t="s">
        <v>326</v>
      </c>
    </row>
    <row r="377" spans="1:11" x14ac:dyDescent="0.2">
      <c r="C377" s="10" t="s">
        <v>12</v>
      </c>
      <c r="F377" s="32" t="s">
        <v>327</v>
      </c>
    </row>
    <row r="378" spans="1:11" x14ac:dyDescent="0.2">
      <c r="C378" s="10" t="s">
        <v>12</v>
      </c>
      <c r="F378" s="32" t="s">
        <v>328</v>
      </c>
      <c r="G378" s="13" t="e">
        <f>AVERAGE(E379:E380)</f>
        <v>#DIV/0!</v>
      </c>
      <c r="H378" s="18" t="e">
        <f>STDEV(E379:E380)</f>
        <v>#DIV/0!</v>
      </c>
      <c r="K378" s="5" t="e">
        <f>G378+$J$333</f>
        <v>#DIV/0!</v>
      </c>
    </row>
    <row r="379" spans="1:11" x14ac:dyDescent="0.2">
      <c r="C379" s="10" t="s">
        <v>12</v>
      </c>
      <c r="F379" s="32" t="s">
        <v>329</v>
      </c>
    </row>
    <row r="380" spans="1:11" x14ac:dyDescent="0.2">
      <c r="C380" s="10" t="s">
        <v>12</v>
      </c>
      <c r="F380" s="32" t="s">
        <v>330</v>
      </c>
    </row>
    <row r="381" spans="1:11" x14ac:dyDescent="0.2">
      <c r="C381" s="10" t="s">
        <v>12</v>
      </c>
      <c r="F381" s="32" t="s">
        <v>331</v>
      </c>
      <c r="G381" s="13" t="e">
        <f>AVERAGE(E382:E383)</f>
        <v>#DIV/0!</v>
      </c>
      <c r="H381" s="18" t="e">
        <f>STDEV(E382:E383)</f>
        <v>#DIV/0!</v>
      </c>
      <c r="K381" s="5" t="e">
        <f>G381+$J$333</f>
        <v>#DIV/0!</v>
      </c>
    </row>
    <row r="382" spans="1:11" x14ac:dyDescent="0.2">
      <c r="C382" s="10" t="s">
        <v>12</v>
      </c>
      <c r="F382" s="32" t="s">
        <v>332</v>
      </c>
    </row>
    <row r="383" spans="1:11" x14ac:dyDescent="0.2">
      <c r="C383" s="10" t="s">
        <v>12</v>
      </c>
      <c r="F383" s="32" t="s">
        <v>333</v>
      </c>
    </row>
    <row r="384" spans="1:11" x14ac:dyDescent="0.2">
      <c r="C384" s="10" t="s">
        <v>12</v>
      </c>
      <c r="F384" s="32" t="s">
        <v>334</v>
      </c>
      <c r="G384" s="13" t="e">
        <f>AVERAGE(E385:E386)</f>
        <v>#DIV/0!</v>
      </c>
      <c r="H384" s="18" t="e">
        <f>STDEV(E385:E386)</f>
        <v>#DIV/0!</v>
      </c>
      <c r="K384" s="5" t="e">
        <f>G384+$J$333</f>
        <v>#DIV/0!</v>
      </c>
    </row>
    <row r="385" spans="3:11" x14ac:dyDescent="0.2">
      <c r="C385" s="10" t="s">
        <v>12</v>
      </c>
      <c r="F385" s="32" t="s">
        <v>335</v>
      </c>
    </row>
    <row r="386" spans="3:11" x14ac:dyDescent="0.2">
      <c r="C386" s="10" t="s">
        <v>12</v>
      </c>
      <c r="F386" s="32" t="s">
        <v>336</v>
      </c>
    </row>
    <row r="387" spans="3:11" x14ac:dyDescent="0.2">
      <c r="C387" s="10" t="s">
        <v>12</v>
      </c>
      <c r="F387" s="32" t="s">
        <v>337</v>
      </c>
      <c r="G387" s="13" t="e">
        <f>AVERAGE(E388:E389)</f>
        <v>#DIV/0!</v>
      </c>
      <c r="H387" s="18" t="e">
        <f>STDEV(E388:E389)</f>
        <v>#DIV/0!</v>
      </c>
      <c r="K387" s="5" t="e">
        <f>G387+$J$333</f>
        <v>#DIV/0!</v>
      </c>
    </row>
    <row r="388" spans="3:11" x14ac:dyDescent="0.2">
      <c r="C388" s="10" t="s">
        <v>12</v>
      </c>
      <c r="F388" s="32" t="s">
        <v>338</v>
      </c>
    </row>
    <row r="389" spans="3:11" x14ac:dyDescent="0.2">
      <c r="C389" s="10" t="s">
        <v>12</v>
      </c>
      <c r="F389" s="32" t="s">
        <v>339</v>
      </c>
    </row>
    <row r="390" spans="3:11" x14ac:dyDescent="0.2">
      <c r="C390" s="10" t="s">
        <v>12</v>
      </c>
      <c r="F390" s="32" t="s">
        <v>340</v>
      </c>
      <c r="G390" s="13" t="e">
        <f>AVERAGE(E391:E392)</f>
        <v>#DIV/0!</v>
      </c>
      <c r="H390" s="18" t="e">
        <f>STDEV(E391:E392)</f>
        <v>#DIV/0!</v>
      </c>
      <c r="K390" s="5" t="e">
        <f>G390+$J$333</f>
        <v>#DIV/0!</v>
      </c>
    </row>
    <row r="391" spans="3:11" x14ac:dyDescent="0.2">
      <c r="C391" s="10" t="s">
        <v>12</v>
      </c>
      <c r="F391" s="32" t="s">
        <v>341</v>
      </c>
    </row>
    <row r="392" spans="3:11" x14ac:dyDescent="0.2">
      <c r="C392" s="10" t="s">
        <v>12</v>
      </c>
      <c r="F392" s="32" t="s">
        <v>342</v>
      </c>
    </row>
    <row r="393" spans="3:11" x14ac:dyDescent="0.2">
      <c r="C393" s="10" t="s">
        <v>12</v>
      </c>
      <c r="F393" s="32" t="s">
        <v>343</v>
      </c>
      <c r="G393" s="13" t="e">
        <f>AVERAGE(E394:E395)</f>
        <v>#DIV/0!</v>
      </c>
      <c r="H393" s="18" t="e">
        <f>STDEV(E394:E395)</f>
        <v>#DIV/0!</v>
      </c>
      <c r="K393" s="5" t="e">
        <f>G393+$J$333</f>
        <v>#DIV/0!</v>
      </c>
    </row>
    <row r="394" spans="3:11" x14ac:dyDescent="0.2">
      <c r="C394" s="10" t="s">
        <v>12</v>
      </c>
      <c r="F394" s="32" t="s">
        <v>344</v>
      </c>
    </row>
    <row r="395" spans="3:11" x14ac:dyDescent="0.2">
      <c r="C395" s="10" t="s">
        <v>12</v>
      </c>
      <c r="F395" s="32" t="s">
        <v>345</v>
      </c>
    </row>
    <row r="396" spans="3:11" x14ac:dyDescent="0.2">
      <c r="C396" s="10" t="s">
        <v>12</v>
      </c>
      <c r="F396" s="32" t="s">
        <v>346</v>
      </c>
      <c r="G396" s="13" t="e">
        <f>AVERAGE(E397:E398)</f>
        <v>#DIV/0!</v>
      </c>
      <c r="H396" s="18" t="e">
        <f>STDEV(E397:E398)</f>
        <v>#DIV/0!</v>
      </c>
      <c r="K396" s="5" t="e">
        <f>G396+$J$333</f>
        <v>#DIV/0!</v>
      </c>
    </row>
    <row r="397" spans="3:11" x14ac:dyDescent="0.2">
      <c r="C397" s="10" t="s">
        <v>12</v>
      </c>
      <c r="F397" s="32" t="s">
        <v>347</v>
      </c>
    </row>
    <row r="398" spans="3:11" x14ac:dyDescent="0.2">
      <c r="C398" s="10" t="s">
        <v>12</v>
      </c>
      <c r="F398" s="32" t="s">
        <v>348</v>
      </c>
    </row>
    <row r="399" spans="3:11" x14ac:dyDescent="0.2">
      <c r="C399" s="10" t="s">
        <v>12</v>
      </c>
      <c r="F399" s="32" t="s">
        <v>349</v>
      </c>
      <c r="G399" s="13" t="e">
        <f>AVERAGE(E400:E401)</f>
        <v>#DIV/0!</v>
      </c>
      <c r="H399" s="18" t="e">
        <f>STDEV(E400:E401)</f>
        <v>#DIV/0!</v>
      </c>
      <c r="K399" s="5" t="e">
        <f>G399+$J$333</f>
        <v>#DIV/0!</v>
      </c>
    </row>
    <row r="400" spans="3:11" x14ac:dyDescent="0.2">
      <c r="C400" s="10" t="s">
        <v>12</v>
      </c>
      <c r="F400" s="32" t="s">
        <v>350</v>
      </c>
    </row>
    <row r="401" spans="3:6" x14ac:dyDescent="0.2">
      <c r="C401" s="10" t="s">
        <v>12</v>
      </c>
      <c r="F401" s="32" t="s">
        <v>351</v>
      </c>
    </row>
    <row r="402" spans="3:6" x14ac:dyDescent="0.2">
      <c r="C402" s="10"/>
    </row>
    <row r="403" spans="3:6" x14ac:dyDescent="0.2">
      <c r="C403" s="25" t="s">
        <v>12</v>
      </c>
      <c r="F403" s="16" t="s">
        <v>8</v>
      </c>
    </row>
    <row r="404" spans="3:6" x14ac:dyDescent="0.2">
      <c r="C404" s="10" t="s">
        <v>12</v>
      </c>
      <c r="F404" s="16" t="s">
        <v>9</v>
      </c>
    </row>
    <row r="405" spans="3:6" x14ac:dyDescent="0.2">
      <c r="C405" s="10" t="s">
        <v>12</v>
      </c>
      <c r="F405" s="17" t="s">
        <v>96</v>
      </c>
    </row>
    <row r="406" spans="3:6" x14ac:dyDescent="0.2">
      <c r="C406" s="10" t="s">
        <v>12</v>
      </c>
      <c r="F406" s="32" t="s">
        <v>352</v>
      </c>
    </row>
    <row r="407" spans="3:6" x14ac:dyDescent="0.2">
      <c r="C407" s="10" t="s">
        <v>12</v>
      </c>
      <c r="F407" s="32" t="s">
        <v>353</v>
      </c>
    </row>
    <row r="408" spans="3:6" x14ac:dyDescent="0.2">
      <c r="C408" s="10" t="s">
        <v>12</v>
      </c>
      <c r="F408" s="32" t="s">
        <v>354</v>
      </c>
    </row>
    <row r="409" spans="3:6" x14ac:dyDescent="0.2">
      <c r="C409" s="10" t="s">
        <v>12</v>
      </c>
      <c r="F409" s="32" t="s">
        <v>355</v>
      </c>
    </row>
    <row r="410" spans="3:6" x14ac:dyDescent="0.2">
      <c r="C410" s="10" t="s">
        <v>12</v>
      </c>
      <c r="F410" s="32" t="s">
        <v>356</v>
      </c>
    </row>
    <row r="411" spans="3:6" x14ac:dyDescent="0.2">
      <c r="C411" s="10" t="s">
        <v>12</v>
      </c>
      <c r="F411" s="32" t="s">
        <v>357</v>
      </c>
    </row>
    <row r="412" spans="3:6" x14ac:dyDescent="0.2">
      <c r="C412" s="10" t="s">
        <v>12</v>
      </c>
      <c r="F412" s="32" t="s">
        <v>358</v>
      </c>
    </row>
    <row r="413" spans="3:6" x14ac:dyDescent="0.2">
      <c r="C413" s="10" t="s">
        <v>12</v>
      </c>
      <c r="F413" s="32" t="s">
        <v>359</v>
      </c>
    </row>
    <row r="414" spans="3:6" x14ac:dyDescent="0.2">
      <c r="C414" s="10" t="s">
        <v>12</v>
      </c>
      <c r="F414" s="32" t="s">
        <v>360</v>
      </c>
    </row>
    <row r="415" spans="3:6" x14ac:dyDescent="0.2">
      <c r="C415" s="10" t="s">
        <v>12</v>
      </c>
      <c r="F415" s="32" t="s">
        <v>361</v>
      </c>
    </row>
    <row r="416" spans="3:6" x14ac:dyDescent="0.2">
      <c r="C416" s="10" t="s">
        <v>12</v>
      </c>
      <c r="F416" s="32" t="s">
        <v>362</v>
      </c>
    </row>
    <row r="417" spans="3:6" x14ac:dyDescent="0.2">
      <c r="C417" s="10" t="s">
        <v>12</v>
      </c>
      <c r="F417" s="32" t="s">
        <v>363</v>
      </c>
    </row>
    <row r="418" spans="3:6" x14ac:dyDescent="0.2">
      <c r="C418" s="10" t="s">
        <v>12</v>
      </c>
      <c r="F418" s="32" t="s">
        <v>364</v>
      </c>
    </row>
    <row r="419" spans="3:6" x14ac:dyDescent="0.2">
      <c r="C419" s="10" t="s">
        <v>12</v>
      </c>
      <c r="F419" s="32" t="s">
        <v>365</v>
      </c>
    </row>
    <row r="420" spans="3:6" x14ac:dyDescent="0.2">
      <c r="C420" s="10" t="s">
        <v>12</v>
      </c>
      <c r="F420" s="32" t="s">
        <v>366</v>
      </c>
    </row>
    <row r="421" spans="3:6" x14ac:dyDescent="0.2">
      <c r="C421" s="10" t="s">
        <v>12</v>
      </c>
      <c r="F421" s="32" t="s">
        <v>367</v>
      </c>
    </row>
    <row r="422" spans="3:6" x14ac:dyDescent="0.2">
      <c r="C422" s="10" t="s">
        <v>12</v>
      </c>
      <c r="F422" s="32" t="s">
        <v>368</v>
      </c>
    </row>
    <row r="423" spans="3:6" x14ac:dyDescent="0.2">
      <c r="C423" s="10" t="s">
        <v>12</v>
      </c>
      <c r="F423" s="32" t="s">
        <v>369</v>
      </c>
    </row>
    <row r="424" spans="3:6" x14ac:dyDescent="0.2">
      <c r="C424" s="10" t="s">
        <v>12</v>
      </c>
      <c r="F424" s="32" t="s">
        <v>370</v>
      </c>
    </row>
    <row r="425" spans="3:6" x14ac:dyDescent="0.2">
      <c r="C425" s="10" t="s">
        <v>12</v>
      </c>
      <c r="F425" s="32" t="s">
        <v>371</v>
      </c>
    </row>
    <row r="426" spans="3:6" x14ac:dyDescent="0.2">
      <c r="C426" s="10" t="s">
        <v>12</v>
      </c>
      <c r="F426" s="32" t="s">
        <v>372</v>
      </c>
    </row>
    <row r="427" spans="3:6" x14ac:dyDescent="0.2">
      <c r="C427" s="10" t="s">
        <v>12</v>
      </c>
      <c r="F427" s="32" t="s">
        <v>373</v>
      </c>
    </row>
    <row r="428" spans="3:6" x14ac:dyDescent="0.2">
      <c r="C428" s="10" t="s">
        <v>12</v>
      </c>
      <c r="F428" s="32" t="s">
        <v>374</v>
      </c>
    </row>
    <row r="429" spans="3:6" x14ac:dyDescent="0.2">
      <c r="C429" s="10" t="s">
        <v>12</v>
      </c>
      <c r="F429" s="32" t="s">
        <v>375</v>
      </c>
    </row>
    <row r="430" spans="3:6" x14ac:dyDescent="0.2">
      <c r="C430" s="10" t="s">
        <v>12</v>
      </c>
      <c r="F430" s="32" t="s">
        <v>376</v>
      </c>
    </row>
    <row r="431" spans="3:6" x14ac:dyDescent="0.2">
      <c r="C431" s="10" t="s">
        <v>12</v>
      </c>
      <c r="F431" s="32" t="s">
        <v>377</v>
      </c>
    </row>
    <row r="432" spans="3:6" x14ac:dyDescent="0.2">
      <c r="C432" s="10" t="s">
        <v>12</v>
      </c>
      <c r="F432" s="32" t="s">
        <v>378</v>
      </c>
    </row>
    <row r="433" spans="3:6" x14ac:dyDescent="0.2">
      <c r="C433" s="10" t="s">
        <v>12</v>
      </c>
      <c r="F433" s="32" t="s">
        <v>379</v>
      </c>
    </row>
    <row r="434" spans="3:6" x14ac:dyDescent="0.2">
      <c r="C434" s="10" t="s">
        <v>12</v>
      </c>
      <c r="F434" s="32" t="s">
        <v>380</v>
      </c>
    </row>
    <row r="435" spans="3:6" x14ac:dyDescent="0.2">
      <c r="C435" s="10" t="s">
        <v>12</v>
      </c>
      <c r="F435" s="32" t="s">
        <v>381</v>
      </c>
    </row>
    <row r="436" spans="3:6" x14ac:dyDescent="0.2">
      <c r="C436" s="10" t="s">
        <v>12</v>
      </c>
      <c r="F436" s="32" t="s">
        <v>382</v>
      </c>
    </row>
    <row r="437" spans="3:6" x14ac:dyDescent="0.2">
      <c r="C437" s="10" t="s">
        <v>12</v>
      </c>
      <c r="F437" s="33" t="s">
        <v>383</v>
      </c>
    </row>
    <row r="438" spans="3:6" x14ac:dyDescent="0.2">
      <c r="C438" s="10" t="s">
        <v>12</v>
      </c>
      <c r="F438" s="32" t="s">
        <v>384</v>
      </c>
    </row>
    <row r="439" spans="3:6" x14ac:dyDescent="0.2">
      <c r="C439" s="10" t="s">
        <v>12</v>
      </c>
      <c r="F439" s="32" t="s">
        <v>385</v>
      </c>
    </row>
    <row r="440" spans="3:6" x14ac:dyDescent="0.2">
      <c r="C440" s="10" t="s">
        <v>12</v>
      </c>
      <c r="F440" s="32" t="s">
        <v>386</v>
      </c>
    </row>
    <row r="441" spans="3:6" x14ac:dyDescent="0.2">
      <c r="C441" s="10" t="s">
        <v>12</v>
      </c>
      <c r="F441" s="32" t="s">
        <v>387</v>
      </c>
    </row>
    <row r="442" spans="3:6" x14ac:dyDescent="0.2">
      <c r="C442" s="25" t="s">
        <v>12</v>
      </c>
      <c r="F442" s="32" t="s">
        <v>388</v>
      </c>
    </row>
    <row r="443" spans="3:6" x14ac:dyDescent="0.2">
      <c r="C443" s="10" t="s">
        <v>12</v>
      </c>
      <c r="F443" s="32" t="s">
        <v>389</v>
      </c>
    </row>
    <row r="444" spans="3:6" x14ac:dyDescent="0.2">
      <c r="F444" s="32"/>
    </row>
    <row r="445" spans="3:6" x14ac:dyDescent="0.2">
      <c r="C445" s="10" t="s">
        <v>12</v>
      </c>
      <c r="F445" s="16" t="s">
        <v>8</v>
      </c>
    </row>
    <row r="446" spans="3:6" x14ac:dyDescent="0.2">
      <c r="C446" s="10" t="s">
        <v>12</v>
      </c>
      <c r="F446" s="16" t="s">
        <v>9</v>
      </c>
    </row>
    <row r="447" spans="3:6" x14ac:dyDescent="0.2">
      <c r="C447" s="10" t="s">
        <v>12</v>
      </c>
      <c r="F447" s="17" t="s">
        <v>96</v>
      </c>
    </row>
    <row r="448" spans="3:6" x14ac:dyDescent="0.2">
      <c r="C448" s="10" t="s">
        <v>12</v>
      </c>
      <c r="F448" s="32" t="s">
        <v>390</v>
      </c>
    </row>
    <row r="449" spans="3:6" x14ac:dyDescent="0.2">
      <c r="C449" s="10" t="s">
        <v>12</v>
      </c>
      <c r="F449" s="32" t="s">
        <v>391</v>
      </c>
    </row>
    <row r="450" spans="3:6" x14ac:dyDescent="0.2">
      <c r="C450" s="10" t="s">
        <v>12</v>
      </c>
      <c r="F450" s="32" t="s">
        <v>392</v>
      </c>
    </row>
    <row r="451" spans="3:6" x14ac:dyDescent="0.2">
      <c r="C451" s="10" t="s">
        <v>12</v>
      </c>
      <c r="F451" s="32" t="s">
        <v>393</v>
      </c>
    </row>
    <row r="452" spans="3:6" x14ac:dyDescent="0.2">
      <c r="C452" s="10" t="s">
        <v>12</v>
      </c>
      <c r="F452" s="32" t="s">
        <v>394</v>
      </c>
    </row>
    <row r="453" spans="3:6" x14ac:dyDescent="0.2">
      <c r="C453" s="10" t="s">
        <v>12</v>
      </c>
      <c r="F453" s="32" t="s">
        <v>395</v>
      </c>
    </row>
    <row r="454" spans="3:6" x14ac:dyDescent="0.2">
      <c r="C454" s="10" t="s">
        <v>12</v>
      </c>
      <c r="F454" s="32" t="s">
        <v>396</v>
      </c>
    </row>
    <row r="455" spans="3:6" x14ac:dyDescent="0.2">
      <c r="C455" s="10" t="s">
        <v>12</v>
      </c>
      <c r="F455" s="32" t="s">
        <v>397</v>
      </c>
    </row>
    <row r="456" spans="3:6" x14ac:dyDescent="0.2">
      <c r="C456" s="10" t="s">
        <v>12</v>
      </c>
      <c r="F456" s="32" t="s">
        <v>398</v>
      </c>
    </row>
    <row r="457" spans="3:6" x14ac:dyDescent="0.2">
      <c r="C457" s="10" t="s">
        <v>12</v>
      </c>
      <c r="F457" s="32" t="s">
        <v>399</v>
      </c>
    </row>
    <row r="458" spans="3:6" x14ac:dyDescent="0.2">
      <c r="C458" s="10" t="s">
        <v>12</v>
      </c>
      <c r="F458" s="32" t="s">
        <v>400</v>
      </c>
    </row>
    <row r="459" spans="3:6" x14ac:dyDescent="0.2">
      <c r="C459" s="10" t="s">
        <v>12</v>
      </c>
      <c r="F459" s="32" t="s">
        <v>401</v>
      </c>
    </row>
    <row r="460" spans="3:6" x14ac:dyDescent="0.2">
      <c r="C460" s="10" t="s">
        <v>12</v>
      </c>
      <c r="F460" s="32" t="s">
        <v>402</v>
      </c>
    </row>
    <row r="461" spans="3:6" x14ac:dyDescent="0.2">
      <c r="C461" s="10" t="s">
        <v>12</v>
      </c>
      <c r="F461" s="32" t="s">
        <v>403</v>
      </c>
    </row>
    <row r="462" spans="3:6" x14ac:dyDescent="0.2">
      <c r="C462" s="10" t="s">
        <v>12</v>
      </c>
      <c r="F462" s="32" t="s">
        <v>404</v>
      </c>
    </row>
    <row r="463" spans="3:6" x14ac:dyDescent="0.2">
      <c r="C463" s="10" t="s">
        <v>12</v>
      </c>
      <c r="F463" s="32" t="s">
        <v>405</v>
      </c>
    </row>
    <row r="464" spans="3:6" x14ac:dyDescent="0.2">
      <c r="C464" s="10" t="s">
        <v>12</v>
      </c>
      <c r="F464" s="32" t="s">
        <v>406</v>
      </c>
    </row>
    <row r="465" spans="3:6" x14ac:dyDescent="0.2">
      <c r="C465" s="10" t="s">
        <v>12</v>
      </c>
      <c r="F465" s="32" t="s">
        <v>407</v>
      </c>
    </row>
    <row r="466" spans="3:6" x14ac:dyDescent="0.2">
      <c r="C466" s="10" t="s">
        <v>12</v>
      </c>
      <c r="F466" s="32" t="s">
        <v>408</v>
      </c>
    </row>
    <row r="467" spans="3:6" x14ac:dyDescent="0.2">
      <c r="C467" s="10" t="s">
        <v>12</v>
      </c>
      <c r="F467" s="32" t="s">
        <v>409</v>
      </c>
    </row>
    <row r="468" spans="3:6" x14ac:dyDescent="0.2">
      <c r="C468" s="10" t="s">
        <v>12</v>
      </c>
      <c r="F468" s="32" t="s">
        <v>410</v>
      </c>
    </row>
    <row r="469" spans="3:6" x14ac:dyDescent="0.2">
      <c r="C469" s="10" t="s">
        <v>12</v>
      </c>
      <c r="F469" s="32" t="s">
        <v>411</v>
      </c>
    </row>
    <row r="470" spans="3:6" x14ac:dyDescent="0.2">
      <c r="C470" s="10" t="s">
        <v>12</v>
      </c>
      <c r="F470" s="32" t="s">
        <v>412</v>
      </c>
    </row>
    <row r="471" spans="3:6" x14ac:dyDescent="0.2">
      <c r="C471" s="10" t="s">
        <v>12</v>
      </c>
      <c r="F471" s="32" t="s">
        <v>413</v>
      </c>
    </row>
    <row r="472" spans="3:6" x14ac:dyDescent="0.2">
      <c r="C472" s="10" t="s">
        <v>12</v>
      </c>
      <c r="F472" s="32" t="s">
        <v>414</v>
      </c>
    </row>
    <row r="473" spans="3:6" x14ac:dyDescent="0.2">
      <c r="C473" s="10" t="s">
        <v>12</v>
      </c>
      <c r="F473" s="32" t="s">
        <v>415</v>
      </c>
    </row>
    <row r="474" spans="3:6" x14ac:dyDescent="0.2">
      <c r="C474" s="10" t="s">
        <v>12</v>
      </c>
      <c r="F474" s="32" t="s">
        <v>416</v>
      </c>
    </row>
    <row r="475" spans="3:6" x14ac:dyDescent="0.2">
      <c r="C475" s="10"/>
    </row>
    <row r="476" spans="3:6" x14ac:dyDescent="0.2">
      <c r="C476" s="10"/>
    </row>
    <row r="477" spans="3:6" x14ac:dyDescent="0.2">
      <c r="C477" s="10"/>
    </row>
    <row r="478" spans="3:6" x14ac:dyDescent="0.2">
      <c r="C478" s="10"/>
    </row>
    <row r="479" spans="3:6" x14ac:dyDescent="0.2">
      <c r="C479" s="10"/>
    </row>
    <row r="480" spans="3:6" x14ac:dyDescent="0.2">
      <c r="C480" s="10"/>
    </row>
    <row r="481" spans="3:3" x14ac:dyDescent="0.2">
      <c r="C481" s="10"/>
    </row>
    <row r="482" spans="3:3" x14ac:dyDescent="0.2">
      <c r="C482" s="10"/>
    </row>
    <row r="483" spans="3:3" x14ac:dyDescent="0.2">
      <c r="C483" s="10"/>
    </row>
    <row r="485" spans="3:3" x14ac:dyDescent="0.2">
      <c r="C485" s="25"/>
    </row>
    <row r="486" spans="3:3" x14ac:dyDescent="0.2">
      <c r="C486" s="10"/>
    </row>
    <row r="487" spans="3:3" x14ac:dyDescent="0.2">
      <c r="C487" s="10"/>
    </row>
    <row r="488" spans="3:3" x14ac:dyDescent="0.2">
      <c r="C488" s="10"/>
    </row>
    <row r="489" spans="3:3" x14ac:dyDescent="0.2">
      <c r="C489" s="10"/>
    </row>
    <row r="490" spans="3:3" x14ac:dyDescent="0.2">
      <c r="C490" s="10"/>
    </row>
    <row r="491" spans="3:3" x14ac:dyDescent="0.2">
      <c r="C491" s="10"/>
    </row>
    <row r="492" spans="3:3" x14ac:dyDescent="0.2">
      <c r="C492" s="10"/>
    </row>
    <row r="493" spans="3:3" x14ac:dyDescent="0.2">
      <c r="C493" s="10"/>
    </row>
    <row r="494" spans="3:3" x14ac:dyDescent="0.2">
      <c r="C494" s="10"/>
    </row>
    <row r="495" spans="3:3" x14ac:dyDescent="0.2">
      <c r="C495" s="10"/>
    </row>
    <row r="496" spans="3:3" x14ac:dyDescent="0.2">
      <c r="C496" s="10"/>
    </row>
    <row r="497" spans="3:3" x14ac:dyDescent="0.2">
      <c r="C497" s="10"/>
    </row>
    <row r="498" spans="3:3" x14ac:dyDescent="0.2">
      <c r="C498" s="10"/>
    </row>
    <row r="499" spans="3:3" x14ac:dyDescent="0.2">
      <c r="C499" s="10"/>
    </row>
    <row r="500" spans="3:3" x14ac:dyDescent="0.2">
      <c r="C500" s="10"/>
    </row>
    <row r="501" spans="3:3" x14ac:dyDescent="0.2">
      <c r="C501" s="10"/>
    </row>
    <row r="502" spans="3:3" x14ac:dyDescent="0.2">
      <c r="C502" s="10"/>
    </row>
    <row r="503" spans="3:3" x14ac:dyDescent="0.2">
      <c r="C503" s="10"/>
    </row>
    <row r="504" spans="3:3" x14ac:dyDescent="0.2">
      <c r="C504" s="10"/>
    </row>
    <row r="505" spans="3:3" x14ac:dyDescent="0.2">
      <c r="C505" s="10"/>
    </row>
    <row r="506" spans="3:3" x14ac:dyDescent="0.2">
      <c r="C506" s="10"/>
    </row>
    <row r="507" spans="3:3" x14ac:dyDescent="0.2">
      <c r="C507" s="10"/>
    </row>
    <row r="508" spans="3:3" x14ac:dyDescent="0.2">
      <c r="C508" s="10"/>
    </row>
    <row r="509" spans="3:3" x14ac:dyDescent="0.2">
      <c r="C509" s="10"/>
    </row>
    <row r="510" spans="3:3" x14ac:dyDescent="0.2">
      <c r="C510" s="10"/>
    </row>
    <row r="511" spans="3:3" x14ac:dyDescent="0.2">
      <c r="C511" s="10"/>
    </row>
    <row r="512" spans="3:3" x14ac:dyDescent="0.2">
      <c r="C512" s="10"/>
    </row>
    <row r="513" spans="3:3" x14ac:dyDescent="0.2">
      <c r="C513" s="10"/>
    </row>
    <row r="514" spans="3:3" x14ac:dyDescent="0.2">
      <c r="C514" s="10"/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2023-06-06T09:05:20Z</dcterms:modified>
</cp:coreProperties>
</file>