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ntella-SZN\Desktop\Total_Alkalinity\ischia_alkalinity_data\"/>
    </mc:Choice>
  </mc:AlternateContent>
  <bookViews>
    <workbookView xWindow="12750" yWindow="10230" windowWidth="27630" windowHeight="16950"/>
  </bookViews>
  <sheets>
    <sheet name="Feuil1" sheetId="1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1" l="1"/>
  <c r="B8" i="1"/>
  <c r="B9" i="1"/>
</calcChain>
</file>

<file path=xl/sharedStrings.xml><?xml version="1.0" encoding="utf-8"?>
<sst xmlns="http://schemas.openxmlformats.org/spreadsheetml/2006/main" count="21" uniqueCount="20">
  <si>
    <t>Slope calculation with 2 points buffer pH</t>
  </si>
  <si>
    <t xml:space="preserve">The probe must follow the Nerstian law : </t>
  </si>
  <si>
    <t>59.16 mV / pH at 25 °C</t>
  </si>
  <si>
    <t>%</t>
  </si>
  <si>
    <t>pH buffers</t>
  </si>
  <si>
    <t>mV measurements</t>
  </si>
  <si>
    <t>Fill the yellow boxes.</t>
  </si>
  <si>
    <t>Calculation of the pH of a Tris Buffer  (Batch T33)</t>
  </si>
  <si>
    <t>Based on equation 18 of DelValls &amp; Dickson (1998)</t>
  </si>
  <si>
    <t>Deep-Sea Research I, 45, 1541–1554.</t>
  </si>
  <si>
    <t>°C</t>
  </si>
  <si>
    <t>Enter desired temperature</t>
  </si>
  <si>
    <t>pH =</t>
  </si>
  <si>
    <t>Estimated pH of buffer at entered temperature</t>
  </si>
  <si>
    <r>
      <rPr>
        <b/>
        <i/>
        <sz val="12"/>
        <color theme="1"/>
        <rFont val="Calibri"/>
        <family val="2"/>
        <scheme val="minor"/>
      </rPr>
      <t>S</t>
    </r>
    <r>
      <rPr>
        <b/>
        <sz val="12"/>
        <color theme="1"/>
        <rFont val="Calibri"/>
        <family val="2"/>
        <scheme val="minor"/>
      </rPr>
      <t xml:space="preserve"> = </t>
    </r>
  </si>
  <si>
    <r>
      <rPr>
        <b/>
        <i/>
        <sz val="12"/>
        <color theme="1"/>
        <rFont val="Calibri"/>
        <family val="2"/>
        <scheme val="minor"/>
      </rPr>
      <t>t</t>
    </r>
    <r>
      <rPr>
        <b/>
        <sz val="12"/>
        <color theme="1"/>
        <rFont val="Calibri"/>
        <family val="2"/>
        <scheme val="minor"/>
      </rPr>
      <t xml:space="preserve"> = </t>
    </r>
  </si>
  <si>
    <t>Final slope</t>
  </si>
  <si>
    <t xml:space="preserve">∆pH = </t>
  </si>
  <si>
    <t>Adjustment based on measured pH value - implies buffer is not identical to that of Del Valls &amp; Dickson (1998)</t>
  </si>
  <si>
    <t>Adjustment is assumed identical at all temperatures  (a good approximation).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</si>
</sst>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00"/>
  </numFmts>
  <fonts count="7" x14ac:knownFonts="1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B05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0" fillId="0" borderId="0" xfId="0" applyFont="1"/>
    <xf numFmtId="0" fontId="4" fillId="0" borderId="0" xfId="0" applyFont="1"/>
    <xf numFmtId="164" fontId="0" fillId="0" borderId="0" xfId="0" applyNumberFormat="1"/>
    <xf numFmtId="165" fontId="1" fillId="0" borderId="0" xfId="0" applyNumberFormat="1" applyFon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4" fillId="2" borderId="0" xfId="0" applyFont="1" applyFill="1"/>
    <xf numFmtId="0" fontId="2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tabSelected="1" workbookViewId="0">
      <selection activeCell="I4" sqref="I4"/>
    </sheetView>
  </sheetViews>
  <sheetFormatPr defaultColWidth="11.25" defaultRowHeight="15.75" x14ac:dyDescent="0.25"/>
  <cols>
    <col min="1" max="1" width="17.75" customWidth="1"/>
  </cols>
  <sheetData>
    <row r="1" spans="1:8" ht="18.75" x14ac:dyDescent="0.3">
      <c r="A1" s="1" t="s">
        <v>0</v>
      </c>
      <c r="E1" s="2" t="s">
        <v>7</v>
      </c>
    </row>
    <row r="2" spans="1:8" x14ac:dyDescent="0.25">
      <c r="A2" t="s">
        <v>6</v>
      </c>
      <c r="E2" t="s">
        <v>8</v>
      </c>
    </row>
    <row r="3" spans="1:8" x14ac:dyDescent="0.25">
      <c r="A3" t="s">
        <v>1</v>
      </c>
      <c r="E3" t="s">
        <v>9</v>
      </c>
    </row>
    <row r="4" spans="1:8" x14ac:dyDescent="0.25">
      <c r="A4" t="s">
        <v>2</v>
      </c>
      <c r="E4" t="s">
        <v>6</v>
      </c>
    </row>
    <row r="5" spans="1:8" x14ac:dyDescent="0.25">
      <c r="A5" s="1" t="s">
        <v>4</v>
      </c>
      <c r="B5" s="10">
        <v>10.01</v>
      </c>
      <c r="C5" s="10">
        <v>7</v>
      </c>
      <c r="E5" s="14" t="s">
        <v>14</v>
      </c>
      <c r="F5" s="4">
        <v>35</v>
      </c>
    </row>
    <row r="6" spans="1:8" x14ac:dyDescent="0.25">
      <c r="A6" s="1" t="s">
        <v>5</v>
      </c>
      <c r="B6" s="10">
        <v>-180.7</v>
      </c>
      <c r="C6" s="10">
        <v>-5</v>
      </c>
      <c r="E6" s="14" t="s">
        <v>15</v>
      </c>
      <c r="F6" s="13">
        <v>25</v>
      </c>
      <c r="G6" t="s">
        <v>10</v>
      </c>
      <c r="H6" s="5" t="s">
        <v>11</v>
      </c>
    </row>
    <row r="7" spans="1:8" x14ac:dyDescent="0.25">
      <c r="B7" s="11"/>
      <c r="C7" s="11"/>
      <c r="E7" s="3" t="s">
        <v>17</v>
      </c>
      <c r="F7" s="6">
        <v>2.3699999999990951E-3</v>
      </c>
      <c r="H7" t="s">
        <v>18</v>
      </c>
    </row>
    <row r="8" spans="1:8" x14ac:dyDescent="0.25">
      <c r="B8" s="12">
        <f>(C6-B6)/(B5-C5)</f>
        <v>58.372093023255815</v>
      </c>
      <c r="C8" s="11"/>
      <c r="H8" t="s">
        <v>19</v>
      </c>
    </row>
    <row r="9" spans="1:8" x14ac:dyDescent="0.25">
      <c r="A9" s="16" t="s">
        <v>16</v>
      </c>
      <c r="B9" s="9">
        <f>(B8/59.16)*100</f>
        <v>98.668176171832016</v>
      </c>
      <c r="C9" s="8" t="s">
        <v>3</v>
      </c>
      <c r="E9" s="15" t="s">
        <v>12</v>
      </c>
      <c r="F9" s="7">
        <f>(11911.08 - 18.2499*F5 - 0.039336*F5^2)/(F6 + 273.15) + (-366.27059 + 0.53993607*F5 + 0.00016329*F5^2) + (64.52243 - 0.084041*F5)*LN(F6+273.15) - 0.11149858*(F6+273.15)  +  F7</f>
        <v>8.0959190943465984</v>
      </c>
      <c r="H9" s="8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Microsoft Office</dc:creator>
  <cp:lastModifiedBy>Santella-SZN</cp:lastModifiedBy>
  <dcterms:created xsi:type="dcterms:W3CDTF">2021-07-28T12:14:15Z</dcterms:created>
  <dcterms:modified xsi:type="dcterms:W3CDTF">2023-05-24T06:33:19Z</dcterms:modified>
</cp:coreProperties>
</file>