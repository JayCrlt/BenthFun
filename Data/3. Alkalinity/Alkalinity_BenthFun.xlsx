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3. Alkalinity/"/>
    </mc:Choice>
  </mc:AlternateContent>
  <xr:revisionPtr revIDLastSave="0" documentId="13_ncr:1_{E7BD92B2-D6C2-9C40-ACDF-7C77D76DE1C0}" xr6:coauthVersionLast="47" xr6:coauthVersionMax="47" xr10:uidLastSave="{00000000-0000-0000-0000-000000000000}"/>
  <bookViews>
    <workbookView xWindow="0" yWindow="500" windowWidth="28800" windowHeight="1604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Sheet1!$A$1:$L$554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24" i="1" l="1"/>
  <c r="G724" i="1"/>
  <c r="H727" i="1"/>
  <c r="G727" i="1"/>
  <c r="G719" i="1"/>
  <c r="H719" i="1"/>
  <c r="H722" i="1"/>
  <c r="G722" i="1"/>
  <c r="G714" i="1"/>
  <c r="H714" i="1"/>
  <c r="H717" i="1"/>
  <c r="G717" i="1"/>
  <c r="G709" i="1"/>
  <c r="H709" i="1"/>
  <c r="G712" i="1"/>
  <c r="H712" i="1"/>
  <c r="G703" i="1"/>
  <c r="H703" i="1"/>
  <c r="H706" i="1"/>
  <c r="G706" i="1"/>
  <c r="H701" i="1"/>
  <c r="G701" i="1"/>
  <c r="J701" i="1" l="1"/>
  <c r="G698" i="1"/>
  <c r="H698" i="1"/>
  <c r="G695" i="1"/>
  <c r="H695" i="1"/>
  <c r="H692" i="1"/>
  <c r="G692" i="1"/>
  <c r="G689" i="1"/>
  <c r="H689" i="1"/>
  <c r="H681" i="1"/>
  <c r="G681" i="1"/>
  <c r="H674" i="1"/>
  <c r="G674" i="1"/>
  <c r="G684" i="1"/>
  <c r="H684" i="1"/>
  <c r="H687" i="1"/>
  <c r="G687" i="1"/>
  <c r="G677" i="1"/>
  <c r="H677" i="1"/>
  <c r="H679" i="1"/>
  <c r="G679" i="1"/>
  <c r="H665" i="1"/>
  <c r="G665" i="1"/>
  <c r="H662" i="1"/>
  <c r="G662" i="1"/>
  <c r="K719" i="1" l="1"/>
  <c r="K724" i="1"/>
  <c r="K727" i="1"/>
  <c r="K722" i="1"/>
  <c r="K703" i="1"/>
  <c r="K706" i="1"/>
  <c r="K714" i="1"/>
  <c r="K717" i="1"/>
  <c r="K709" i="1"/>
  <c r="K712" i="1"/>
  <c r="H659" i="1"/>
  <c r="G659" i="1"/>
  <c r="H668" i="1"/>
  <c r="G668" i="1"/>
  <c r="H671" i="1"/>
  <c r="G671" i="1"/>
  <c r="J671" i="1" s="1"/>
  <c r="K665" i="1" l="1"/>
  <c r="K701" i="1"/>
  <c r="K698" i="1"/>
  <c r="K695" i="1"/>
  <c r="K689" i="1"/>
  <c r="K692" i="1"/>
  <c r="K687" i="1"/>
  <c r="K679" i="1"/>
  <c r="K677" i="1"/>
  <c r="K684" i="1"/>
  <c r="K681" i="1"/>
  <c r="K674" i="1"/>
  <c r="K668" i="1"/>
  <c r="K659" i="1"/>
  <c r="K662" i="1"/>
  <c r="K671" i="1"/>
  <c r="G657" i="1"/>
  <c r="H657" i="1"/>
  <c r="G654" i="1"/>
  <c r="H654" i="1"/>
  <c r="G652" i="1"/>
  <c r="H652" i="1"/>
  <c r="H650" i="1"/>
  <c r="G641" i="1"/>
  <c r="J641" i="1" s="1"/>
  <c r="H612" i="1"/>
  <c r="G635" i="1"/>
  <c r="G638" i="1"/>
  <c r="G647" i="1"/>
  <c r="H647" i="1"/>
  <c r="G650" i="1"/>
  <c r="G644" i="1"/>
  <c r="H644" i="1"/>
  <c r="H635" i="1"/>
  <c r="H632" i="1"/>
  <c r="G632" i="1"/>
  <c r="H629" i="1"/>
  <c r="G629" i="1"/>
  <c r="H641" i="1"/>
  <c r="H638" i="1"/>
  <c r="H622" i="1"/>
  <c r="K654" i="1" l="1"/>
  <c r="K657" i="1"/>
  <c r="K644" i="1"/>
  <c r="K650" i="1"/>
  <c r="K647" i="1"/>
  <c r="K652" i="1"/>
  <c r="K629" i="1"/>
  <c r="K638" i="1"/>
  <c r="K635" i="1"/>
  <c r="K641" i="1"/>
  <c r="G615" i="1"/>
  <c r="H615" i="1"/>
  <c r="H617" i="1"/>
  <c r="G617" i="1"/>
  <c r="H626" i="1"/>
  <c r="G626" i="1"/>
  <c r="G619" i="1"/>
  <c r="H619" i="1"/>
  <c r="G622" i="1"/>
  <c r="H624" i="1"/>
  <c r="G624" i="1"/>
  <c r="G612" i="1"/>
  <c r="G607" i="1"/>
  <c r="H607" i="1"/>
  <c r="G604" i="1"/>
  <c r="H604" i="1"/>
  <c r="G601" i="1"/>
  <c r="H601" i="1"/>
  <c r="H593" i="1"/>
  <c r="G593" i="1"/>
  <c r="G596" i="1"/>
  <c r="H596" i="1"/>
  <c r="H590" i="1"/>
  <c r="G590" i="1"/>
  <c r="H585" i="1"/>
  <c r="G585" i="1"/>
  <c r="H610" i="1"/>
  <c r="G610" i="1"/>
  <c r="H599" i="1"/>
  <c r="G599" i="1"/>
  <c r="H588" i="1"/>
  <c r="G588" i="1"/>
  <c r="G574" i="1"/>
  <c r="J574" i="1" s="1"/>
  <c r="K574" i="1" s="1"/>
  <c r="H574" i="1"/>
  <c r="G571" i="1"/>
  <c r="H571" i="1"/>
  <c r="H583" i="1"/>
  <c r="G583" i="1"/>
  <c r="H581" i="1"/>
  <c r="G581" i="1"/>
  <c r="H579" i="1"/>
  <c r="G579" i="1"/>
  <c r="H577" i="1"/>
  <c r="G577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J612" i="1" l="1"/>
  <c r="K612" i="1" s="1"/>
  <c r="K632" i="1"/>
  <c r="K588" i="1"/>
  <c r="K601" i="1"/>
  <c r="K607" i="1"/>
  <c r="K585" i="1"/>
  <c r="K596" i="1"/>
  <c r="K593" i="1"/>
  <c r="K599" i="1"/>
  <c r="K604" i="1"/>
  <c r="K590" i="1"/>
  <c r="K610" i="1"/>
  <c r="K583" i="1"/>
  <c r="K581" i="1"/>
  <c r="K579" i="1"/>
  <c r="K577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617" i="1" l="1"/>
  <c r="K626" i="1"/>
  <c r="K619" i="1"/>
  <c r="K624" i="1"/>
  <c r="K622" i="1"/>
  <c r="K615" i="1"/>
  <c r="K544" i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<sst xmlns="http://schemas.openxmlformats.org/spreadsheetml/2006/main" count="2464" uniqueCount="722">
  <si>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</si>
  <si>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</si>
  <si>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</si>
  <si>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</si>
  <si>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</si>
  <si>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</si>
  <si>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</si>
  <si>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</si>
  <si>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</si>
  <si>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</si>
  <si>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</si>
  <si>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</si>
  <si>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</si>
  <si>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</si>
  <si>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</si>
  <si>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</si>
  <si>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</si>
  <si>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</si>
  <si>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</si>
  <si>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</si>
  <si>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</si>
  <si>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</si>
  <si>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</si>
  <si>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</si>
  <si>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</si>
  <si>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</si>
  <si>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</si>
  <si>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</si>
  <si>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</si>
  <si>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</si>
  <si>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</si>
  <si>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</si>
  <si>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</si>
  <si>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</si>
  <si>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</si>
  <si>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</si>
  <si>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</si>
  <si>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</si>
  <si>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</si>
  <si>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</si>
  <si>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</si>
  <si>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</si>
  <si>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</si>
  <si>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</si>
  <si>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</si>
  <si>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</si>
  <si>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</si>
  <si>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</si>
  <si>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</si>
  <si>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</si>
  <si>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</si>
  <si>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</si>
  <si>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</si>
  <si>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</si>
  <si>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</si>
  <si>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</si>
  <si>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</si>
  <si>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</si>
  <si>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</si>
  <si>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</si>
  <si>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</si>
  <si>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</si>
  <si>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</si>
  <si>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</si>
  <si>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</si>
  <si>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</si>
  <si>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</si>
  <si>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</si>
  <si>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</si>
  <si>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</si>
  <si>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</si>
  <si>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</si>
  <si>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</si>
  <si>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</si>
  <si>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</si>
  <si>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</si>
  <si>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</si>
  <si>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</si>
  <si>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</si>
  <si>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</si>
  <si>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</si>
  <si>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</si>
  <si>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</si>
  <si>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</si>
  <si>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</si>
  <si>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</si>
  <si>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</si>
  <si>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</si>
  <si>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</si>
  <si>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</si>
  <si>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</si>
  <si>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</si>
  <si>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</si>
  <si>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</si>
  <si>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</si>
  <si>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</si>
  <si>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</si>
  <si>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</si>
  <si>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</si>
  <si>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</si>
  <si>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</si>
  <si>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</si>
  <si>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</si>
  <si>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</si>
  <si>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</si>
  <si>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</si>
  <si>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</si>
  <si>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</si>
  <si>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</si>
  <si>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</si>
  <si>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</si>
  <si>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</si>
  <si>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</si>
  <si>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</si>
  <si>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</si>
  <si>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</si>
  <si>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</si>
  <si>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</si>
  <si>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</si>
  <si>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</si>
  <si>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</si>
  <si>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</si>
  <si>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</si>
  <si>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</si>
  <si>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</si>
  <si>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</si>
  <si>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</si>
  <si>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</si>
  <si>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</si>
  <si>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</si>
  <si>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</si>
  <si>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</si>
  <si>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</si>
  <si>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</si>
  <si>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</si>
  <si>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</si>
  <si>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</si>
  <si>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</si>
  <si>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</si>
  <si>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</si>
  <si>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</si>
  <si>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</si>
  <si>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</si>
  <si>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</si>
  <si>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</si>
  <si>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</si>
  <si>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</si>
  <si>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</si>
  <si>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</si>
  <si>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</si>
  <si>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</si>
  <si>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</si>
  <si>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</si>
  <si>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</si>
  <si>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</si>
  <si>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</si>
  <si>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</si>
  <si>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</si>
  <si>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</si>
  <si>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</si>
  <si>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</si>
  <si>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</si>
  <si>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</si>
  <si>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</si>
  <si>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</si>
  <si>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</si>
  <si>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</si>
  <si>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</si>
  <si>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</si>
  <si>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</si>
  <si>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</si>
  <si>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</si>
  <si>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</si>
  <si>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</si>
  <si>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</si>
  <si>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</si>
  <si>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</si>
  <si>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</si>
  <si>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</si>
  <si>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</si>
  <si>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</si>
  <si>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</si>
  <si>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</si>
  <si>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</si>
  <si>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</si>
  <si>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</si>
  <si>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</si>
  <si>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</si>
  <si>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</si>
  <si>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</si>
  <si>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</si>
  <si>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</si>
  <si>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</si>
  <si>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</si>
  <si>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</si>
  <si>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</si>
  <si>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</si>
  <si>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</si>
  <si>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</si>
  <si>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</si>
  <si>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</si>
  <si>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</si>
  <si>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</si>
  <si>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</si>
  <si>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</si>
  <si>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</si>
  <si>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</si>
  <si>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</si>
  <si>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</si>
  <si>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</si>
  <si>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</si>
  <si>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</si>
  <si>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</si>
  <si>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</si>
  <si>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</si>
  <si>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</si>
  <si>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</si>
  <si>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</si>
  <si>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</si>
  <si>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</si>
  <si>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</si>
  <si>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</si>
  <si>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</si>
  <si>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</si>
  <si>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</si>
  <si>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</si>
  <si>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</si>
  <si>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</si>
  <si>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</si>
  <si>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</si>
  <si>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</si>
  <si>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</si>
  <si>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</si>
  <si>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</si>
  <si>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</si>
  <si>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</si>
  <si>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</si>
  <si>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</si>
  <si>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</si>
  <si>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</si>
  <si>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</si>
  <si>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</si>
  <si>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</si>
  <si>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</si>
  <si>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</si>
  <si>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</si>
  <si>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</si>
  <si>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</si>
  <si>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</si>
  <si>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</si>
  <si>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</si>
  <si>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</si>
  <si>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</si>
  <si>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</si>
  <si>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</si>
  <si>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</si>
  <si>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</si>
  <si>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</si>
  <si>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</si>
  <si>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</si>
  <si>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</si>
  <si>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</si>
  <si>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</si>
  <si>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</si>
  <si>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</si>
  <si>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</si>
  <si>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</si>
  <si>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</si>
  <si>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</si>
  <si>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</si>
  <si>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</si>
  <si>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</si>
  <si>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</si>
  <si>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</si>
  <si>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</si>
  <si>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</si>
  <si>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</si>
  <si>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</si>
  <si>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</si>
  <si>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</si>
  <si>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</si>
  <si>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</si>
  <si>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</si>
  <si>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</si>
  <si>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</si>
  <si>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</si>
  <si>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</si>
  <si>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</si>
  <si>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</si>
  <si>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</si>
  <si>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</si>
  <si>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</si>
  <si>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</si>
  <si>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</si>
  <si>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</si>
  <si>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</si>
  <si>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</si>
  <si>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</si>
  <si>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</si>
  <si>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</si>
  <si>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</si>
  <si>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</si>
  <si>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</si>
  <si>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</si>
  <si>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</si>
  <si>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</si>
  <si>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</si>
  <si>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</si>
  <si>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</si>
  <si>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</si>
  <si>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</si>
  <si>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</si>
  <si>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</si>
  <si>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</si>
  <si>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</si>
  <si>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</si>
  <si>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</si>
  <si>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</si>
  <si>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</si>
  <si>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</si>
  <si>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</si>
  <si>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</si>
  <si>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</si>
  <si>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</si>
  <si>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</si>
  <si>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</si>
  <si>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</si>
  <si>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</si>
  <si>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</si>
  <si>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</si>
  <si>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</si>
  <si>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</si>
  <si>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</si>
  <si>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</si>
  <si>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</si>
  <si>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</si>
  <si>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</si>
  <si>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</si>
  <si>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</si>
  <si>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</si>
  <si>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</si>
  <si>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</si>
  <si>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</si>
  <si>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</si>
  <si>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</si>
  <si>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</si>
  <si>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</si>
  <si>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</si>
  <si>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</si>
  <si>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</si>
  <si>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</si>
  <si>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</si>
  <si>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</si>
  <si>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</si>
  <si>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</si>
  <si>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</si>
  <si>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</si>
  <si>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</si>
  <si>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</si>
  <si>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</si>
  <si>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</si>
  <si>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</si>
  <si>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</si>
  <si>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</si>
  <si>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</si>
  <si>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</si>
  <si>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</si>
  <si>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</si>
  <si>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</si>
  <si>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</si>
  <si>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</si>
  <si>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</si>
  <si>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</si>
  <si>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</si>
  <si>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</si>
  <si>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</si>
  <si>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</si>
  <si>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</si>
  <si>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</si>
  <si>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</si>
  <si>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</si>
  <si>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</si>
  <si>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</si>
  <si>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</si>
  <si>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</si>
  <si>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</si>
  <si>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</si>
  <si>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</si>
  <si>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</si>
  <si>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</si>
  <si>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</si>
  <si>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</si>
  <si>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</si>
  <si>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</si>
  <si>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</si>
  <si>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</si>
  <si>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</si>
  <si>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</si>
  <si>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</si>
  <si>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</si>
  <si>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</si>
  <si>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</si>
  <si>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</si>
  <si>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</si>
  <si>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</si>
  <si>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</si>
  <si>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</si>
  <si>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</si>
  <si>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</si>
  <si>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</si>
  <si>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</si>
  <si>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</si>
  <si>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</si>
  <si>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</si>
  <si>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</si>
  <si>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</si>
  <si>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</si>
  <si>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</si>
  <si>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</si>
  <si>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</si>
  <si>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</si>
  <si>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</si>
  <si>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</si>
  <si>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</si>
  <si>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</si>
  <si>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</si>
  <si>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</si>
  <si>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</si>
  <si>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</si>
  <si>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</si>
  <si>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</si>
  <si>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</si>
  <si>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</si>
  <si>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</si>
  <si>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</si>
  <si>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</si>
  <si>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</si>
  <si>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</si>
  <si>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</si>
  <si>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</si>
  <si>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</si>
  <si>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</si>
  <si>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</si>
  <si>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</si>
  <si>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</si>
  <si>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</si>
  <si>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</si>
  <si>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</si>
  <si>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</si>
  <si>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</si>
  <si>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</si>
  <si>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</si>
  <si>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</si>
  <si>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</si>
  <si>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</si>
  <si>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</si>
  <si>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</si>
  <si>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</si>
  <si>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</si>
  <si>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</si>
  <si>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</si>
  <si>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</si>
  <si>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</si>
  <si>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</si>
  <si>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</si>
  <si>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</si>
  <si>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</si>
  <si>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</si>
  <si>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</si>
  <si>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</si>
  <si>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</si>
  <si>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</si>
  <si>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</si>
  <si>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</si>
  <si>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</si>
  <si>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</si>
  <si>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</si>
  <si>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</si>
  <si>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</si>
  <si>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</si>
  <si>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</si>
  <si>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</si>
  <si>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</si>
  <si>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</si>
  <si>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</si>
  <si>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</si>
  <si>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</si>
  <si>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</si>
  <si>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</si>
  <si>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</si>
  <si>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</si>
  <si>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</si>
  <si>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</si>
  <si>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</si>
  <si>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</si>
  <si>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</si>
  <si>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</si>
  <si>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</si>
  <si>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</si>
  <si>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</si>
  <si>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</si>
  <si>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</si>
  <si>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</si>
  <si>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</si>
  <si>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</si>
  <si>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</si>
  <si>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</si>
  <si>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</si>
  <si>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</si>
  <si>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</si>
  <si>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</si>
  <si>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</si>
  <si>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</si>
  <si>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</si>
  <si>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</si>
  <si>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</si>
  <si>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</si>
  <si>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</si>
  <si>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</si>
  <si>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</si>
  <si>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</si>
  <si>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</si>
  <si>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</si>
  <si>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</si>
  <si>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</si>
  <si>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</si>
  <si>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</si>
  <si>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T2_t1_AMB_tile_01a</t>
  </si>
  <si>
    <t>T2_t1_AMB_tile_01b</t>
  </si>
  <si>
    <t>T2_t1_AMB_tile_01c</t>
  </si>
  <si>
    <t>T2_t1_AMB_tile_02a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</si>
  <si>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</si>
  <si>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</si>
  <si>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</si>
  <si>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</si>
  <si>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</si>
  <si>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</si>
  <si>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</si>
  <si>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</si>
  <si>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</si>
  <si>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</si>
  <si>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</si>
  <si>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</si>
  <si>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</si>
  <si>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</si>
  <si>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T2_t1_AMB_blank_02a</t>
  </si>
  <si>
    <t>T2_t1_AMB_blank_02b</t>
  </si>
  <si>
    <t>PI_t5_AMB_Tile_3d</t>
  </si>
  <si>
    <t>PI_t6_AMB_Tile_3d</t>
  </si>
  <si>
    <t>Ali e Anto</t>
  </si>
  <si>
    <t>Tn_t1_LOW_blank_01d</t>
  </si>
  <si>
    <t>T2_t1_LOW_blank_01d</t>
  </si>
  <si>
    <t>T2_t1_AMB_tile_02e</t>
  </si>
  <si>
    <t>T2_t1_AMB_tile_06e</t>
  </si>
  <si>
    <t>T3_t0_ELOW_blank_01a</t>
  </si>
  <si>
    <t>T3_t0_ELOW_blank_01b</t>
  </si>
  <si>
    <t>T3_t0_ELOW_blank_02a</t>
  </si>
  <si>
    <t>T3_t0_ELOW_blank_02b</t>
  </si>
  <si>
    <t>T3_t1_ELOW_tile_01a</t>
  </si>
  <si>
    <t>T3_t1_ELOW_tile_01b</t>
  </si>
  <si>
    <t>T3_t1_ELOW_tile_02a</t>
  </si>
  <si>
    <t>T3_t1_ELOW_tile_02b</t>
  </si>
  <si>
    <t>T3_t1_ELOW_tile_03a</t>
  </si>
  <si>
    <t>T3_t1_ELOW_tile_03b</t>
  </si>
  <si>
    <t>T3_t1_ELOW_blank_01a</t>
  </si>
  <si>
    <t>T3_t1_ELOW_blank_01b</t>
  </si>
  <si>
    <t>T3_t1_ELOW_tile_04a</t>
  </si>
  <si>
    <t>T3_t1_ELOW_tile_04b</t>
  </si>
  <si>
    <t>T3_t1_ELOW_tile_05a</t>
  </si>
  <si>
    <t>T3_t1_ELOW_tile_05b</t>
  </si>
  <si>
    <t>T3_t1_ELOW_tile_05c</t>
  </si>
  <si>
    <t>T3_t1_ELOW_tile_06a</t>
  </si>
  <si>
    <t>T3_t1_ELOW_tile_06b</t>
  </si>
  <si>
    <t>T3_t1_ELOW_blank_02a</t>
  </si>
  <si>
    <t>T3_t1_ELOW_blank_02b</t>
  </si>
  <si>
    <t>T3_t0_LOW_blank_01a</t>
  </si>
  <si>
    <t>T3_t0_LOW_blank_01b</t>
  </si>
  <si>
    <t>T3_t0_LOW_blank_02a</t>
  </si>
  <si>
    <t>T3_t0_LOW_blank_02b</t>
  </si>
  <si>
    <t>T3_t1_LOW_tile_01a</t>
  </si>
  <si>
    <t>T3_t1_LOW_tile_01b</t>
  </si>
  <si>
    <t>T3_t1_LOW_tile_02a</t>
  </si>
  <si>
    <t>T3_t1_LOW_tile_02b</t>
  </si>
  <si>
    <t>T3_t1_LOW_tile_03a</t>
  </si>
  <si>
    <t>T3_t1_LOW_tile_03b</t>
  </si>
  <si>
    <t>T3_t1_LOW_tile_03c</t>
  </si>
  <si>
    <t>T3_t1_LOW_blank_01a</t>
  </si>
  <si>
    <t>T3_t1_LOW_blank_01b</t>
  </si>
  <si>
    <t>T3_t1_LOW_tile_04a</t>
  </si>
  <si>
    <t>T3_t1_LOW_tile_04b</t>
  </si>
  <si>
    <t>T3_t1_LOW_tile_05a</t>
  </si>
  <si>
    <t>T3_t1_LOW_tile_05b</t>
  </si>
  <si>
    <t>T3_t1_LOW_tile_06a</t>
  </si>
  <si>
    <t>T3_t1_LOW_tile_06b</t>
  </si>
  <si>
    <t>T3_t1_LOW_blank_02a</t>
  </si>
  <si>
    <t>T3_t1_LOW_blank_02b</t>
  </si>
  <si>
    <t>T3_t0_AMB_blank_01a</t>
  </si>
  <si>
    <t>T3_t0_AMB_blank_01b</t>
  </si>
  <si>
    <t>T3_t0_AMB_blank_02a</t>
  </si>
  <si>
    <t>T3_t0_AMB_blank_02b</t>
  </si>
  <si>
    <t>T3_t1_AMB_tile_01a</t>
  </si>
  <si>
    <t>T3_t1_AMB_tile_01b</t>
  </si>
  <si>
    <t>T3_t1_AMB_tile_02a</t>
  </si>
  <si>
    <t>T3_t1_AMB_tile_02e</t>
  </si>
  <si>
    <t>T3_t1_AMB_tile_03a</t>
  </si>
  <si>
    <t>T3_t1_AMB_tile_03b</t>
  </si>
  <si>
    <t>T3_t1_AMB_tile_03c</t>
  </si>
  <si>
    <t>T3_t1_AMB_blank_01a</t>
  </si>
  <si>
    <t>T3_t1_AMB_blank_01b</t>
  </si>
  <si>
    <t>T3_t1_AMB_tile_04a</t>
  </si>
  <si>
    <t>T3_t1_AMB_tile_04b</t>
  </si>
  <si>
    <t>T3_t1_AMB_tile_04c</t>
  </si>
  <si>
    <t>T3_t1_AMB_tile_05a</t>
  </si>
  <si>
    <t>T3_t1_AMB_tile_05b</t>
  </si>
  <si>
    <t>T3_t1_AMB_tile_05c</t>
  </si>
  <si>
    <t>T3_t1_AMB_tile_06a</t>
  </si>
  <si>
    <t>T3_t1_AMB_tile_06b</t>
  </si>
  <si>
    <t>T3_t1_AMB_blank_02a</t>
  </si>
  <si>
    <t>T3_t1_AMB_blank_02b</t>
  </si>
  <si>
    <t>CRM4</t>
  </si>
  <si>
    <t>T3_t1_ELOW_tile_01c</t>
  </si>
  <si>
    <t>T3_t1_ELOW_blank_02c</t>
  </si>
  <si>
    <t>T3_t1_ELOW_tile_06c</t>
  </si>
  <si>
    <t>T3_t1_ELOW_tile_04c</t>
  </si>
  <si>
    <t>T3_t1_ELOW_blank_01c</t>
  </si>
  <si>
    <t>T3_t0_LOW_blank_01c</t>
  </si>
  <si>
    <t>T3_t0_LOW_blank_02c</t>
  </si>
  <si>
    <t>T3_t1_LOW_tile_04c</t>
  </si>
  <si>
    <t>T3_t1_LOW_tile_06c</t>
  </si>
  <si>
    <t>T3_t1_LOW_blank_02c</t>
  </si>
  <si>
    <t>T3_t1_LOW_tile_05d</t>
  </si>
  <si>
    <t>T3_t0_AMB_blank_01d</t>
  </si>
  <si>
    <t>T3_t1_AMB_tile_02d</t>
  </si>
  <si>
    <t>T3_t1_AMB_tile_06c</t>
  </si>
  <si>
    <t>T3_t1_AMB_blank_02c</t>
  </si>
  <si>
    <t>Tn2_t0_ELOW_blank_01a</t>
  </si>
  <si>
    <t>Tn2_t0_ELOW_blank_01b</t>
  </si>
  <si>
    <t>Tn2_t0_ELOW_blank_02a</t>
  </si>
  <si>
    <t>Tn2_t0_ELOW_blank_02b</t>
  </si>
  <si>
    <t>Tn2_t1_ELOW_tile_01a</t>
  </si>
  <si>
    <t>Tn2_t1_ELOW_tile_01b</t>
  </si>
  <si>
    <t>Tn2_t1_ELOW_tile_01c</t>
  </si>
  <si>
    <t>Tn2_t1_ELOW_tile_02a</t>
  </si>
  <si>
    <t>Tn2_t1_ELOW_tile_02b</t>
  </si>
  <si>
    <t>Tn2_t1_ELOW_tile_03a</t>
  </si>
  <si>
    <t>Tn2_t1_ELOW_tile_03b</t>
  </si>
  <si>
    <t>Tn2_t1_ELOW_blank_01a</t>
  </si>
  <si>
    <t>Tn2_t1_ELOW_blank_01b</t>
  </si>
  <si>
    <t>Tn2_t1_ELOW_blank_01c</t>
  </si>
  <si>
    <t>Tn2_t1_ELOW_tile_04a</t>
  </si>
  <si>
    <t>Tn2_t1_ELOW_tile_04b</t>
  </si>
  <si>
    <t>Tn2_t1_ELOW_tile_04c</t>
  </si>
  <si>
    <t>Tn2_t1_ELOW_tile_05a</t>
  </si>
  <si>
    <t>Tn2_t1_ELOW_tile_05b</t>
  </si>
  <si>
    <t>Tn2_t1_ELOW_tile_05c</t>
  </si>
  <si>
    <t>Tn2_t1_ELOW_tile_06a</t>
  </si>
  <si>
    <t>Tn2_t1_ELOW_tile_06b</t>
  </si>
  <si>
    <t>Tn2_t1_ELOW_tile_06c</t>
  </si>
  <si>
    <t>Tn2_t1_ELOW_blank_02a</t>
  </si>
  <si>
    <t>Tn2_t1_ELOW_blank_02b</t>
  </si>
  <si>
    <t>Tn2_t1_ELOW_blank_02c</t>
  </si>
  <si>
    <t>Tn2_t0_LOW_blank_01a</t>
  </si>
  <si>
    <t>Tn2_t0_LOW_blank_01b</t>
  </si>
  <si>
    <t>Tn2_t0_LOW_blank_01c</t>
  </si>
  <si>
    <t>Tn2_t0_LOW_blank_02a</t>
  </si>
  <si>
    <t>Tn2_t0_LOW_blank_02b</t>
  </si>
  <si>
    <t>Tn2_t0_LOW_blank_02c</t>
  </si>
  <si>
    <t>Tn2_t1_LOW_tile_01a</t>
  </si>
  <si>
    <t>Tn2_t1_LOW_tile_01b</t>
  </si>
  <si>
    <t>Tn2_t1_LOW_tile_02a</t>
  </si>
  <si>
    <t>Tn2_t1_LOW_tile_02b</t>
  </si>
  <si>
    <t>Tn2_t1_LOW_tile_03a</t>
  </si>
  <si>
    <t>Tn2_t1_LOW_tile_03b</t>
  </si>
  <si>
    <t>Tn2_t1_LOW_tile_03c</t>
  </si>
  <si>
    <t>Tn2_t1_LOW_blank_01a</t>
  </si>
  <si>
    <t>Tn2_t1_LOW_blank_01b</t>
  </si>
  <si>
    <t>Tn2_t1_LOW_tile_04a</t>
  </si>
  <si>
    <t>Tn2_t1_LOW_tile_04b</t>
  </si>
  <si>
    <t>Tn2_t1_LOW_tile_04c</t>
  </si>
  <si>
    <t>Tn2_t1_LOW_tile_05a</t>
  </si>
  <si>
    <t>Tn2_t1_LOW_tile_05b</t>
  </si>
  <si>
    <t>Tn2_t1_LOW_tile_05c</t>
  </si>
  <si>
    <t>Tn2_t1_LOW_tile_06a</t>
  </si>
  <si>
    <t>Tn2_t1_LOW_tile_06b</t>
  </si>
  <si>
    <t>Tn2_t1_LOW_tile_06c</t>
  </si>
  <si>
    <t>Tn2_t1_LOW_blank_02a</t>
  </si>
  <si>
    <t>Tn2_t1_LOW_blank_02b</t>
  </si>
  <si>
    <t>Tn2_t1_LOW_blank_02c</t>
  </si>
  <si>
    <t>Tn2_t0_AMB_blank_01a</t>
  </si>
  <si>
    <t>Tn2_t0_AMB_blank_02a</t>
  </si>
  <si>
    <t>Tn2_t0_AMB_blank_02b</t>
  </si>
  <si>
    <t>Tn2_t1_AMB_tile_01a</t>
  </si>
  <si>
    <t>Tn2_t1_AMB_tile_01b</t>
  </si>
  <si>
    <t>Tn2_t1_AMB_tile_02a</t>
  </si>
  <si>
    <t>Tn2_t1_AMB_tile_03a</t>
  </si>
  <si>
    <t>Tn2_t1_AMB_tile_03b</t>
  </si>
  <si>
    <t>Tn2_t1_AMB_tile_03c</t>
  </si>
  <si>
    <t>Tn2_t1_AMB_blank_01a</t>
  </si>
  <si>
    <t>Tn2_t1_AMB_blank_01b</t>
  </si>
  <si>
    <t>Tn2_t1_AMB_tile_04a</t>
  </si>
  <si>
    <t>Tn2_t1_AMB_tile_04b</t>
  </si>
  <si>
    <t>Tn2_t1_AMB_tile_04c</t>
  </si>
  <si>
    <t>Tn2_t1_AMB_tile_05a</t>
  </si>
  <si>
    <t>Tn2_t1_AMB_tile_05b</t>
  </si>
  <si>
    <t>Tn2_t1_AMB_tile_06c</t>
  </si>
  <si>
    <t>Tn2_t1_AMB_blank_02a</t>
  </si>
  <si>
    <t>Tn2_t1_AMB_blank_02b</t>
  </si>
  <si>
    <t>Tn2_t1_AMB_blank_02c</t>
  </si>
  <si>
    <t>Tn2_t0_AMB_blank_01c</t>
  </si>
  <si>
    <t>Tn2_t1_AMB_tile_02b</t>
  </si>
  <si>
    <t>Tn2_t0_ELOW_blank_01c</t>
  </si>
  <si>
    <t>Tn2_t0_ELOW_blank_02c</t>
  </si>
  <si>
    <t>Tn2_t1_ELOW_tile_02c</t>
  </si>
  <si>
    <t>Tn2_t1_ELOW_tile_03c</t>
  </si>
  <si>
    <t>Tn2_t1_LOW_tile_01c</t>
  </si>
  <si>
    <t>Tn2_t1_LOW_tile_02c</t>
  </si>
  <si>
    <t>Tn2_t1_LOW_blank_01c</t>
  </si>
  <si>
    <t>Tn2_t0_AMB_blank_02c</t>
  </si>
  <si>
    <t>Tn2_t1_AMB_tile_01c</t>
  </si>
  <si>
    <t>Tn2_t0_AMB_blank_01d</t>
  </si>
  <si>
    <t>Tn2_t1_AMB_tile_06d</t>
  </si>
  <si>
    <t>Tn2_t1_AMB_tile_06e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</si>
</sst>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96"/>
  <sheetViews>
    <sheetView tabSelected="1" zoomScale="90" zoomScaleNormal="73" workbookViewId="0">
      <pane ySplit="1" topLeftCell="A703" activePane="bottomLeft" state="frozen"/>
      <selection pane="bottomLeft" activeCell="C733" sqref="C733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547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548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2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2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2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2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2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2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2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2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2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2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2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2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2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2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2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2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2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2">
      <c r="A489" s="9" t="s">
        <v>549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550</v>
      </c>
    </row>
    <row r="490" spans="1:12" x14ac:dyDescent="0.2">
      <c r="A490" s="9" t="s">
        <v>549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2">
      <c r="A491" s="9" t="s">
        <v>549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2">
      <c r="A492" s="9" t="s">
        <v>549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2">
      <c r="A493" s="9" t="s">
        <v>549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2">
      <c r="A494" s="9" t="s">
        <v>549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2">
      <c r="A495" s="9" t="s">
        <v>549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2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2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2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2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2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2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2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2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2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2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2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2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2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2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2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2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2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2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2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2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2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2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2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2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2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2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2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2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2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2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2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2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2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2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2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2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2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2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2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2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2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2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2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2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2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2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2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2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2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2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2" x14ac:dyDescent="0.2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2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2" x14ac:dyDescent="0.2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492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2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493</v>
      </c>
    </row>
    <row r="550" spans="1:12" x14ac:dyDescent="0.2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494</v>
      </c>
    </row>
    <row r="551" spans="1:12" x14ac:dyDescent="0.2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495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2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496</v>
      </c>
    </row>
    <row r="553" spans="1:12" x14ac:dyDescent="0.2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497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2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498</v>
      </c>
    </row>
    <row r="555" spans="1:12" x14ac:dyDescent="0.2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2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2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2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499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2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500</v>
      </c>
    </row>
    <row r="560" spans="1:12" x14ac:dyDescent="0.2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501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2" x14ac:dyDescent="0.2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502</v>
      </c>
    </row>
    <row r="562" spans="1:12" x14ac:dyDescent="0.2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503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2" x14ac:dyDescent="0.2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504</v>
      </c>
    </row>
    <row r="564" spans="1:12" x14ac:dyDescent="0.2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505</v>
      </c>
    </row>
    <row r="565" spans="1:12" x14ac:dyDescent="0.2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506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2" x14ac:dyDescent="0.2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507</v>
      </c>
    </row>
    <row r="567" spans="1:12" x14ac:dyDescent="0.2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508</v>
      </c>
    </row>
    <row r="568" spans="1:12" x14ac:dyDescent="0.2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509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2" x14ac:dyDescent="0.2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510</v>
      </c>
    </row>
    <row r="570" spans="1:12" x14ac:dyDescent="0.2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511</v>
      </c>
    </row>
    <row r="571" spans="1:12" x14ac:dyDescent="0.2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512</v>
      </c>
      <c r="G571" s="13">
        <f>AVERAGE(E571,E573)</f>
        <v>2700.95</v>
      </c>
      <c r="H571" s="18">
        <f>STDEV(E571,E573)</f>
        <v>1.1030865786509756</v>
      </c>
      <c r="K571" s="5">
        <f>G571+$J$555</f>
        <v>2688.66</v>
      </c>
    </row>
    <row r="572" spans="1:12" x14ac:dyDescent="0.2">
      <c r="A572" s="15" t="s">
        <v>11</v>
      </c>
      <c r="B572" s="31">
        <v>45097</v>
      </c>
      <c r="C572" s="10" t="s">
        <v>12</v>
      </c>
      <c r="D572" s="5">
        <v>50.75</v>
      </c>
      <c r="E572" s="14">
        <v>2690.09</v>
      </c>
      <c r="F572" s="16" t="s">
        <v>513</v>
      </c>
    </row>
    <row r="573" spans="1:12" x14ac:dyDescent="0.2">
      <c r="A573" s="15" t="s">
        <v>11</v>
      </c>
      <c r="B573" s="31">
        <v>45098</v>
      </c>
      <c r="C573" s="10" t="s">
        <v>12</v>
      </c>
      <c r="D573" s="5">
        <v>48.6</v>
      </c>
      <c r="E573" s="5">
        <v>2700.17</v>
      </c>
      <c r="F573" s="16" t="s">
        <v>551</v>
      </c>
    </row>
    <row r="574" spans="1:12" x14ac:dyDescent="0.2">
      <c r="A574" s="15" t="s">
        <v>11</v>
      </c>
      <c r="B574" s="31">
        <v>45098</v>
      </c>
      <c r="C574" s="10" t="s">
        <v>12</v>
      </c>
      <c r="D574" s="5">
        <v>50.3</v>
      </c>
      <c r="E574" s="14">
        <v>2240.85</v>
      </c>
      <c r="F574" s="16" t="s">
        <v>8</v>
      </c>
      <c r="G574" s="13">
        <f>AVERAGE(E575,E576)</f>
        <v>2235.2750000000001</v>
      </c>
      <c r="H574" s="18">
        <f>STDEV(E575,E576)</f>
        <v>2.7647875144392979</v>
      </c>
      <c r="I574" s="3">
        <v>2226.44</v>
      </c>
      <c r="J574" s="4">
        <f>I574-G574</f>
        <v>-8.8350000000000364</v>
      </c>
      <c r="K574" s="5">
        <f>G574+J574</f>
        <v>2226.44</v>
      </c>
      <c r="L574" s="2" t="s">
        <v>94</v>
      </c>
    </row>
    <row r="575" spans="1:12" x14ac:dyDescent="0.2">
      <c r="A575" s="15" t="s">
        <v>11</v>
      </c>
      <c r="B575" s="31">
        <v>45098</v>
      </c>
      <c r="C575" s="10" t="s">
        <v>12</v>
      </c>
      <c r="D575" s="5">
        <v>51.28</v>
      </c>
      <c r="E575" s="5">
        <v>2233.3200000000002</v>
      </c>
      <c r="F575" s="16" t="s">
        <v>9</v>
      </c>
    </row>
    <row r="576" spans="1:12" x14ac:dyDescent="0.2">
      <c r="A576" s="15" t="s">
        <v>11</v>
      </c>
      <c r="B576" s="31">
        <v>45098</v>
      </c>
      <c r="C576" s="10" t="s">
        <v>12</v>
      </c>
      <c r="D576" s="5">
        <v>50.69</v>
      </c>
      <c r="E576" s="5">
        <v>2237.23</v>
      </c>
      <c r="F576" s="16" t="s">
        <v>96</v>
      </c>
    </row>
    <row r="577" spans="1:11" x14ac:dyDescent="0.2">
      <c r="A577" s="15" t="s">
        <v>11</v>
      </c>
      <c r="B577" s="31">
        <v>45098</v>
      </c>
      <c r="C577" s="10" t="s">
        <v>12</v>
      </c>
      <c r="D577" s="5">
        <v>48.44</v>
      </c>
      <c r="E577" s="5">
        <v>2593.87</v>
      </c>
      <c r="F577" s="16" t="s">
        <v>514</v>
      </c>
      <c r="G577" s="13">
        <f>AVERAGE(E577:E578)</f>
        <v>2595.9299999999998</v>
      </c>
      <c r="H577" s="18">
        <f>STDEV(E577:E578)</f>
        <v>2.9132799384884986</v>
      </c>
      <c r="K577" s="5">
        <f>G577+$J$574</f>
        <v>2587.0949999999998</v>
      </c>
    </row>
    <row r="578" spans="1:11" x14ac:dyDescent="0.2">
      <c r="A578" s="15" t="s">
        <v>11</v>
      </c>
      <c r="B578" s="31">
        <v>45098</v>
      </c>
      <c r="C578" s="10" t="s">
        <v>12</v>
      </c>
      <c r="D578" s="5">
        <v>50.4</v>
      </c>
      <c r="E578" s="5">
        <v>2597.9899999999998</v>
      </c>
      <c r="F578" s="16" t="s">
        <v>515</v>
      </c>
    </row>
    <row r="579" spans="1:11" x14ac:dyDescent="0.2">
      <c r="A579" s="15" t="s">
        <v>11</v>
      </c>
      <c r="B579" s="31">
        <v>45098</v>
      </c>
      <c r="C579" s="10" t="s">
        <v>12</v>
      </c>
      <c r="D579" s="5">
        <v>50.8</v>
      </c>
      <c r="E579" s="5">
        <v>2601.64</v>
      </c>
      <c r="F579" s="16" t="s">
        <v>516</v>
      </c>
      <c r="G579" s="13">
        <f>AVERAGE(E579:E580)</f>
        <v>2599.62</v>
      </c>
      <c r="H579" s="18">
        <f>STDEV(E579:E580)</f>
        <v>2.8567113959936261</v>
      </c>
      <c r="K579" s="5">
        <f>G579+$J$574</f>
        <v>2590.7849999999999</v>
      </c>
    </row>
    <row r="580" spans="1:11" x14ac:dyDescent="0.2">
      <c r="A580" s="15" t="s">
        <v>11</v>
      </c>
      <c r="B580" s="31">
        <v>45098</v>
      </c>
      <c r="C580" s="10" t="s">
        <v>12</v>
      </c>
      <c r="D580" s="5">
        <v>51.91</v>
      </c>
      <c r="E580" s="5">
        <v>2597.6</v>
      </c>
      <c r="F580" s="16" t="s">
        <v>517</v>
      </c>
    </row>
    <row r="581" spans="1:11" x14ac:dyDescent="0.2">
      <c r="A581" s="15" t="s">
        <v>11</v>
      </c>
      <c r="B581" s="31">
        <v>45098</v>
      </c>
      <c r="C581" s="10" t="s">
        <v>12</v>
      </c>
      <c r="D581" s="5">
        <v>51.17</v>
      </c>
      <c r="E581" s="5">
        <v>2555.08</v>
      </c>
      <c r="F581" s="16" t="s">
        <v>518</v>
      </c>
      <c r="G581" s="13">
        <f>AVERAGE(E581:E582)</f>
        <v>2558.5349999999999</v>
      </c>
      <c r="H581" s="18">
        <f>STDEV(E581:E582)</f>
        <v>4.8861078579989403</v>
      </c>
      <c r="K581" s="5">
        <f>G581+$J$574</f>
        <v>2549.6999999999998</v>
      </c>
    </row>
    <row r="582" spans="1:11" x14ac:dyDescent="0.2">
      <c r="A582" s="15" t="s">
        <v>11</v>
      </c>
      <c r="B582" s="31">
        <v>45098</v>
      </c>
      <c r="C582" s="10" t="s">
        <v>12</v>
      </c>
      <c r="D582" s="5">
        <v>51.28</v>
      </c>
      <c r="E582" s="5">
        <v>2561.9899999999998</v>
      </c>
      <c r="F582" s="16" t="s">
        <v>519</v>
      </c>
    </row>
    <row r="583" spans="1:11" x14ac:dyDescent="0.2">
      <c r="A583" s="15" t="s">
        <v>11</v>
      </c>
      <c r="B583" s="31">
        <v>45098</v>
      </c>
      <c r="C583" s="10" t="s">
        <v>12</v>
      </c>
      <c r="D583" s="5">
        <v>51.51</v>
      </c>
      <c r="E583" s="5">
        <v>2684.96</v>
      </c>
      <c r="F583" s="16" t="s">
        <v>520</v>
      </c>
      <c r="G583" s="13">
        <f>AVERAGE(E583:E584)</f>
        <v>2683.2950000000001</v>
      </c>
      <c r="H583" s="18">
        <f>STDEV(E583:E584)</f>
        <v>2.3546655813511519</v>
      </c>
      <c r="K583" s="5">
        <f>G583+$J$574</f>
        <v>2674.46</v>
      </c>
    </row>
    <row r="584" spans="1:11" x14ac:dyDescent="0.2">
      <c r="A584" s="15" t="s">
        <v>11</v>
      </c>
      <c r="B584" s="31">
        <v>45098</v>
      </c>
      <c r="C584" s="10" t="s">
        <v>12</v>
      </c>
      <c r="D584" s="5">
        <v>49.79</v>
      </c>
      <c r="E584" s="5">
        <v>2681.63</v>
      </c>
      <c r="F584" s="16" t="s">
        <v>521</v>
      </c>
    </row>
    <row r="585" spans="1:11" x14ac:dyDescent="0.2">
      <c r="A585" s="15" t="s">
        <v>11</v>
      </c>
      <c r="B585" s="31">
        <v>45099</v>
      </c>
      <c r="C585" s="10" t="s">
        <v>12</v>
      </c>
      <c r="D585" s="5">
        <v>49.98</v>
      </c>
      <c r="E585" s="14">
        <v>2715.04</v>
      </c>
      <c r="F585" s="16" t="s">
        <v>522</v>
      </c>
      <c r="G585" s="13">
        <f>AVERAGE(E586:E587)</f>
        <v>2693.16</v>
      </c>
      <c r="H585" s="18">
        <f>STDEV(E586:E587)</f>
        <v>0.33941125496955571</v>
      </c>
      <c r="K585" s="5">
        <f>G585+$J$574</f>
        <v>2684.3249999999998</v>
      </c>
    </row>
    <row r="586" spans="1:11" x14ac:dyDescent="0.2">
      <c r="A586" s="15" t="s">
        <v>11</v>
      </c>
      <c r="B586" s="31">
        <v>45099</v>
      </c>
      <c r="C586" s="10" t="s">
        <v>12</v>
      </c>
      <c r="D586" s="5">
        <v>50.43</v>
      </c>
      <c r="E586" s="5">
        <v>2692.92</v>
      </c>
      <c r="F586" s="16" t="s">
        <v>523</v>
      </c>
    </row>
    <row r="587" spans="1:11" x14ac:dyDescent="0.2">
      <c r="A587" s="15" t="s">
        <v>11</v>
      </c>
      <c r="B587" s="31">
        <v>45099</v>
      </c>
      <c r="C587" s="10" t="s">
        <v>12</v>
      </c>
      <c r="D587" s="5">
        <v>50.15</v>
      </c>
      <c r="E587" s="5">
        <v>2693.4</v>
      </c>
      <c r="F587" s="16" t="s">
        <v>524</v>
      </c>
    </row>
    <row r="588" spans="1:11" x14ac:dyDescent="0.2">
      <c r="A588" s="15" t="s">
        <v>11</v>
      </c>
      <c r="B588" s="31">
        <v>45099</v>
      </c>
      <c r="C588" s="10" t="s">
        <v>12</v>
      </c>
      <c r="D588" s="5">
        <v>50.55</v>
      </c>
      <c r="E588" s="5">
        <v>2686.54</v>
      </c>
      <c r="F588" s="16" t="s">
        <v>525</v>
      </c>
      <c r="G588" s="13">
        <f>AVERAGE(E588:E589)</f>
        <v>2684.17</v>
      </c>
      <c r="H588" s="18">
        <f>STDEV(E588:E589)</f>
        <v>3.3516861428240809</v>
      </c>
      <c r="K588" s="5">
        <f>G588+$J$574</f>
        <v>2675.335</v>
      </c>
    </row>
    <row r="589" spans="1:11" x14ac:dyDescent="0.2">
      <c r="A589" s="15" t="s">
        <v>11</v>
      </c>
      <c r="B589" s="31">
        <v>45099</v>
      </c>
      <c r="C589" s="10" t="s">
        <v>12</v>
      </c>
      <c r="D589" s="5">
        <v>50.75</v>
      </c>
      <c r="E589" s="5">
        <v>2681.8</v>
      </c>
      <c r="F589" s="16" t="s">
        <v>526</v>
      </c>
    </row>
    <row r="590" spans="1:11" x14ac:dyDescent="0.2">
      <c r="A590" s="15" t="s">
        <v>11</v>
      </c>
      <c r="B590" s="31">
        <v>45099</v>
      </c>
      <c r="C590" s="10" t="s">
        <v>12</v>
      </c>
      <c r="D590" s="5">
        <v>49.37</v>
      </c>
      <c r="E590" s="5">
        <v>2538.7600000000002</v>
      </c>
      <c r="F590" s="16" t="s">
        <v>527</v>
      </c>
      <c r="G590" s="13">
        <f>AVERAGE(E590,E592)</f>
        <v>2539.2200000000003</v>
      </c>
      <c r="H590" s="18">
        <f>STDEV(E590,E592)</f>
        <v>0.65053823869135363</v>
      </c>
      <c r="K590" s="5">
        <f>G590+$J$574</f>
        <v>2530.3850000000002</v>
      </c>
    </row>
    <row r="591" spans="1:11" x14ac:dyDescent="0.2">
      <c r="A591" s="15" t="s">
        <v>11</v>
      </c>
      <c r="B591" s="31">
        <v>45099</v>
      </c>
      <c r="C591" s="10" t="s">
        <v>12</v>
      </c>
      <c r="D591" s="5">
        <v>50.21</v>
      </c>
      <c r="E591" s="14">
        <v>2524.25</v>
      </c>
      <c r="F591" s="16" t="s">
        <v>528</v>
      </c>
    </row>
    <row r="592" spans="1:11" x14ac:dyDescent="0.2">
      <c r="A592" s="15" t="s">
        <v>11</v>
      </c>
      <c r="B592" s="31">
        <v>45099</v>
      </c>
      <c r="C592" s="10" t="s">
        <v>12</v>
      </c>
      <c r="D592" s="5">
        <v>48.43</v>
      </c>
      <c r="E592" s="5">
        <v>2539.6799999999998</v>
      </c>
      <c r="F592" s="16" t="s">
        <v>529</v>
      </c>
    </row>
    <row r="593" spans="1:11" x14ac:dyDescent="0.2">
      <c r="A593" s="15" t="s">
        <v>11</v>
      </c>
      <c r="B593" s="31">
        <v>45099</v>
      </c>
      <c r="C593" s="10" t="s">
        <v>12</v>
      </c>
      <c r="D593" s="5">
        <v>50.41</v>
      </c>
      <c r="E593" s="14">
        <v>2578.7800000000002</v>
      </c>
      <c r="F593" s="16" t="s">
        <v>530</v>
      </c>
      <c r="G593" s="13">
        <f>AVERAGE(E594:E595)</f>
        <v>2590.33</v>
      </c>
      <c r="H593" s="18">
        <f>STDEV(E594:E595)</f>
        <v>3.0688434303497192</v>
      </c>
      <c r="K593" s="5">
        <f>G593+$J$574</f>
        <v>2581.4949999999999</v>
      </c>
    </row>
    <row r="594" spans="1:11" x14ac:dyDescent="0.2">
      <c r="A594" s="15" t="s">
        <v>11</v>
      </c>
      <c r="B594" s="31">
        <v>45099</v>
      </c>
      <c r="C594" s="10" t="s">
        <v>12</v>
      </c>
      <c r="D594" s="5">
        <v>49.38</v>
      </c>
      <c r="E594" s="5">
        <v>2592.5</v>
      </c>
      <c r="F594" s="16" t="s">
        <v>531</v>
      </c>
    </row>
    <row r="595" spans="1:11" x14ac:dyDescent="0.2">
      <c r="A595" s="15" t="s">
        <v>11</v>
      </c>
      <c r="B595" s="31">
        <v>45099</v>
      </c>
      <c r="C595" s="10" t="s">
        <v>12</v>
      </c>
      <c r="D595" s="5">
        <v>49.42</v>
      </c>
      <c r="E595" s="5">
        <v>2588.16</v>
      </c>
      <c r="F595" s="16" t="s">
        <v>552</v>
      </c>
    </row>
    <row r="596" spans="1:11" x14ac:dyDescent="0.2">
      <c r="A596" s="15" t="s">
        <v>11</v>
      </c>
      <c r="B596" s="31">
        <v>45099</v>
      </c>
      <c r="C596" s="10" t="s">
        <v>12</v>
      </c>
      <c r="D596" s="5">
        <v>51.38</v>
      </c>
      <c r="E596" s="14">
        <v>2545.4299999999998</v>
      </c>
      <c r="F596" s="16" t="s">
        <v>532</v>
      </c>
      <c r="G596" s="13">
        <f>AVERAGE(E597:E598)</f>
        <v>2558.52</v>
      </c>
      <c r="H596" s="18">
        <f>STDEV(E597:E598)</f>
        <v>3.1112698372205521</v>
      </c>
      <c r="K596" s="5">
        <f>G596+$J$574</f>
        <v>2549.6849999999999</v>
      </c>
    </row>
    <row r="597" spans="1:11" x14ac:dyDescent="0.2">
      <c r="A597" s="15" t="s">
        <v>11</v>
      </c>
      <c r="B597" s="31">
        <v>45099</v>
      </c>
      <c r="C597" s="10" t="s">
        <v>12</v>
      </c>
      <c r="D597" s="5">
        <v>51.28</v>
      </c>
      <c r="E597" s="5">
        <v>2560.7199999999998</v>
      </c>
      <c r="F597" s="16" t="s">
        <v>533</v>
      </c>
    </row>
    <row r="598" spans="1:11" x14ac:dyDescent="0.2">
      <c r="A598" s="15" t="s">
        <v>11</v>
      </c>
      <c r="B598" s="31">
        <v>45099</v>
      </c>
      <c r="C598" s="10" t="s">
        <v>12</v>
      </c>
      <c r="D598" s="5">
        <v>50.12</v>
      </c>
      <c r="E598" s="5">
        <v>2556.3200000000002</v>
      </c>
      <c r="F598" s="16" t="s">
        <v>534</v>
      </c>
    </row>
    <row r="599" spans="1:11" x14ac:dyDescent="0.2">
      <c r="A599" s="15" t="s">
        <v>11</v>
      </c>
      <c r="B599" s="31">
        <v>45099</v>
      </c>
      <c r="C599" s="10" t="s">
        <v>12</v>
      </c>
      <c r="D599" s="5">
        <v>51.33</v>
      </c>
      <c r="E599" s="5">
        <v>2680.89</v>
      </c>
      <c r="F599" s="16" t="s">
        <v>535</v>
      </c>
      <c r="G599" s="13">
        <f>AVERAGE(E599:E600)</f>
        <v>2678.87</v>
      </c>
      <c r="H599" s="18">
        <f>STDEV(E599:E600)</f>
        <v>2.8567113959936261</v>
      </c>
      <c r="K599" s="5">
        <f>G599+$J$574</f>
        <v>2670.0349999999999</v>
      </c>
    </row>
    <row r="600" spans="1:11" x14ac:dyDescent="0.2">
      <c r="A600" s="15" t="s">
        <v>11</v>
      </c>
      <c r="B600" s="31">
        <v>45099</v>
      </c>
      <c r="C600" s="10" t="s">
        <v>12</v>
      </c>
      <c r="D600" s="5">
        <v>51.22</v>
      </c>
      <c r="E600" s="5">
        <v>2676.85</v>
      </c>
      <c r="F600" s="16" t="s">
        <v>536</v>
      </c>
    </row>
    <row r="601" spans="1:11" x14ac:dyDescent="0.2">
      <c r="A601" s="15" t="s">
        <v>11</v>
      </c>
      <c r="B601" s="31">
        <v>45099</v>
      </c>
      <c r="C601" s="10" t="s">
        <v>12</v>
      </c>
      <c r="D601" s="5">
        <v>53.6</v>
      </c>
      <c r="E601" s="14">
        <v>2626.42</v>
      </c>
      <c r="F601" s="16" t="s">
        <v>537</v>
      </c>
      <c r="G601" s="13">
        <f>AVERAGE(E602:E603)</f>
        <v>2616.3000000000002</v>
      </c>
      <c r="H601" s="18">
        <f>STDEV(E602:E603)</f>
        <v>3.8466608896548569</v>
      </c>
      <c r="K601" s="5">
        <f>G601+$J$574</f>
        <v>2607.4650000000001</v>
      </c>
    </row>
    <row r="602" spans="1:11" x14ac:dyDescent="0.2">
      <c r="A602" s="15" t="s">
        <v>11</v>
      </c>
      <c r="B602" s="31">
        <v>45099</v>
      </c>
      <c r="C602" s="10" t="s">
        <v>12</v>
      </c>
      <c r="D602" s="5">
        <v>51.26</v>
      </c>
      <c r="E602" s="5">
        <v>2613.58</v>
      </c>
      <c r="F602" s="16" t="s">
        <v>538</v>
      </c>
    </row>
    <row r="603" spans="1:11" x14ac:dyDescent="0.2">
      <c r="A603" s="15" t="s">
        <v>11</v>
      </c>
      <c r="B603" s="31">
        <v>45099</v>
      </c>
      <c r="C603" s="10" t="s">
        <v>12</v>
      </c>
      <c r="D603" s="5">
        <v>50.69</v>
      </c>
      <c r="E603" s="5">
        <v>2619.02</v>
      </c>
      <c r="F603" s="16" t="s">
        <v>539</v>
      </c>
    </row>
    <row r="604" spans="1:11" x14ac:dyDescent="0.2">
      <c r="A604" s="15" t="s">
        <v>11</v>
      </c>
      <c r="B604" s="31">
        <v>45099</v>
      </c>
      <c r="C604" s="10" t="s">
        <v>12</v>
      </c>
      <c r="D604" s="5">
        <v>53.95</v>
      </c>
      <c r="E604" s="5">
        <v>2543.17</v>
      </c>
      <c r="F604" s="16" t="s">
        <v>540</v>
      </c>
      <c r="G604" s="13">
        <f>AVERAGE(E604,E606)</f>
        <v>2545.9499999999998</v>
      </c>
      <c r="H604" s="18">
        <f>STDEV(E604,E606)</f>
        <v>3.9315137033971657</v>
      </c>
      <c r="K604" s="5">
        <f>G604+$J$574</f>
        <v>2537.1149999999998</v>
      </c>
    </row>
    <row r="605" spans="1:11" x14ac:dyDescent="0.2">
      <c r="A605" s="15" t="s">
        <v>11</v>
      </c>
      <c r="B605" s="31">
        <v>45099</v>
      </c>
      <c r="C605" s="10" t="s">
        <v>12</v>
      </c>
      <c r="D605" s="5">
        <v>51</v>
      </c>
      <c r="E605" s="14">
        <v>2532.25</v>
      </c>
      <c r="F605" s="16" t="s">
        <v>541</v>
      </c>
    </row>
    <row r="606" spans="1:11" x14ac:dyDescent="0.2">
      <c r="A606" s="15" t="s">
        <v>11</v>
      </c>
      <c r="B606" s="31">
        <v>45099</v>
      </c>
      <c r="C606" s="10" t="s">
        <v>12</v>
      </c>
      <c r="D606" s="5">
        <v>50.84</v>
      </c>
      <c r="E606" s="5">
        <v>2548.73</v>
      </c>
      <c r="F606" s="16" t="s">
        <v>542</v>
      </c>
    </row>
    <row r="607" spans="1:11" x14ac:dyDescent="0.2">
      <c r="A607" s="15" t="s">
        <v>11</v>
      </c>
      <c r="B607" s="31">
        <v>45099</v>
      </c>
      <c r="C607" s="10" t="s">
        <v>12</v>
      </c>
      <c r="D607" s="5">
        <v>50.39</v>
      </c>
      <c r="E607" s="14">
        <v>2552.04</v>
      </c>
      <c r="F607" s="16" t="s">
        <v>543</v>
      </c>
      <c r="G607" s="13">
        <f>AVERAGE(E608:E609)</f>
        <v>2595.13</v>
      </c>
      <c r="H607" s="18">
        <f>STDEV(E608:E609)</f>
        <v>2.3475945135394536</v>
      </c>
      <c r="K607" s="5">
        <f>G607+$J$574</f>
        <v>2586.2950000000001</v>
      </c>
    </row>
    <row r="608" spans="1:11" x14ac:dyDescent="0.2">
      <c r="A608" s="15" t="s">
        <v>11</v>
      </c>
      <c r="B608" s="31">
        <v>45099</v>
      </c>
      <c r="C608" s="10" t="s">
        <v>12</v>
      </c>
      <c r="D608" s="5">
        <v>49.68</v>
      </c>
      <c r="E608" s="5">
        <v>2593.4699999999998</v>
      </c>
      <c r="F608" s="16" t="s">
        <v>544</v>
      </c>
    </row>
    <row r="609" spans="1:12" x14ac:dyDescent="0.2">
      <c r="A609" s="15" t="s">
        <v>11</v>
      </c>
      <c r="B609" s="31">
        <v>45099</v>
      </c>
      <c r="C609" s="10" t="s">
        <v>12</v>
      </c>
      <c r="D609" s="5">
        <v>50.42</v>
      </c>
      <c r="E609" s="5">
        <v>2596.79</v>
      </c>
      <c r="F609" s="16" t="s">
        <v>553</v>
      </c>
    </row>
    <row r="610" spans="1:12" x14ac:dyDescent="0.2">
      <c r="A610" s="15" t="s">
        <v>11</v>
      </c>
      <c r="B610" s="31">
        <v>45099</v>
      </c>
      <c r="C610" s="10" t="s">
        <v>12</v>
      </c>
      <c r="D610" s="5">
        <v>51.14</v>
      </c>
      <c r="E610" s="5">
        <v>2689.54</v>
      </c>
      <c r="F610" s="16" t="s">
        <v>545</v>
      </c>
      <c r="G610" s="13">
        <f>AVERAGE(E610:E611)</f>
        <v>2687.41</v>
      </c>
      <c r="H610" s="18">
        <f>STDEV(E610:E611)</f>
        <v>3.0122748878545251</v>
      </c>
      <c r="K610" s="5">
        <f>G610+$J$574</f>
        <v>2678.5749999999998</v>
      </c>
    </row>
    <row r="611" spans="1:12" x14ac:dyDescent="0.2">
      <c r="A611" s="15" t="s">
        <v>11</v>
      </c>
      <c r="B611" s="31">
        <v>45099</v>
      </c>
      <c r="C611" s="10" t="s">
        <v>12</v>
      </c>
      <c r="D611" s="5">
        <v>50.5</v>
      </c>
      <c r="E611" s="5">
        <v>2685.28</v>
      </c>
      <c r="F611" s="16" t="s">
        <v>546</v>
      </c>
    </row>
    <row r="612" spans="1:12" x14ac:dyDescent="0.2">
      <c r="A612" s="15" t="s">
        <v>11</v>
      </c>
      <c r="B612" s="31">
        <v>45181</v>
      </c>
      <c r="C612" s="10" t="s">
        <v>12</v>
      </c>
      <c r="D612" s="5">
        <v>49.83</v>
      </c>
      <c r="E612" s="22">
        <v>2249.41</v>
      </c>
      <c r="F612" s="16" t="s">
        <v>8</v>
      </c>
      <c r="G612" s="13">
        <f>AVERAGE(E612,E613:E614)</f>
        <v>2249.0333333333333</v>
      </c>
      <c r="H612" s="18">
        <f>STDEV(E612,E613:E614)</f>
        <v>2.308166660649452</v>
      </c>
      <c r="I612" s="3">
        <v>2226.44</v>
      </c>
      <c r="J612" s="4">
        <f>I612-G612</f>
        <v>-22.593333333333248</v>
      </c>
      <c r="K612" s="5">
        <f>G612+J612</f>
        <v>2226.44</v>
      </c>
      <c r="L612" s="2" t="s">
        <v>94</v>
      </c>
    </row>
    <row r="613" spans="1:12" x14ac:dyDescent="0.2">
      <c r="A613" s="15" t="s">
        <v>11</v>
      </c>
      <c r="B613" s="31">
        <v>45181</v>
      </c>
      <c r="C613" s="10" t="s">
        <v>12</v>
      </c>
      <c r="D613" s="5">
        <v>48.36</v>
      </c>
      <c r="E613" s="22">
        <v>2251.13</v>
      </c>
      <c r="F613" s="16" t="s">
        <v>96</v>
      </c>
    </row>
    <row r="614" spans="1:12" x14ac:dyDescent="0.2">
      <c r="A614" s="15" t="s">
        <v>11</v>
      </c>
      <c r="B614" s="31">
        <v>45181</v>
      </c>
      <c r="C614" s="10" t="s">
        <v>12</v>
      </c>
      <c r="D614" s="15">
        <v>49.89</v>
      </c>
      <c r="E614" s="5">
        <v>2246.56</v>
      </c>
      <c r="F614" s="16" t="s">
        <v>619</v>
      </c>
    </row>
    <row r="615" spans="1:12" x14ac:dyDescent="0.2">
      <c r="A615" s="15" t="s">
        <v>11</v>
      </c>
      <c r="B615" s="31">
        <v>45181</v>
      </c>
      <c r="C615" s="10" t="s">
        <v>12</v>
      </c>
      <c r="D615" s="5">
        <v>50.33</v>
      </c>
      <c r="E615" s="5">
        <v>2583.5100000000002</v>
      </c>
      <c r="F615" s="16" t="s">
        <v>554</v>
      </c>
      <c r="G615" s="13">
        <f>AVERAGE(E615:E616)</f>
        <v>2584.4949999999999</v>
      </c>
      <c r="H615" s="18">
        <f>STDEV(E615:E616)</f>
        <v>1.3930003589373572</v>
      </c>
      <c r="K615" s="5">
        <f>G615+$J$612</f>
        <v>2561.9016666666666</v>
      </c>
    </row>
    <row r="616" spans="1:12" x14ac:dyDescent="0.2">
      <c r="A616" s="15" t="s">
        <v>11</v>
      </c>
      <c r="B616" s="31">
        <v>45181</v>
      </c>
      <c r="C616" s="10" t="s">
        <v>12</v>
      </c>
      <c r="D616" s="5">
        <v>51.66</v>
      </c>
      <c r="E616" s="5">
        <v>2585.48</v>
      </c>
      <c r="F616" s="16" t="s">
        <v>555</v>
      </c>
    </row>
    <row r="617" spans="1:12" x14ac:dyDescent="0.2">
      <c r="A617" s="15" t="s">
        <v>11</v>
      </c>
      <c r="B617" s="31">
        <v>45181</v>
      </c>
      <c r="C617" s="10" t="s">
        <v>12</v>
      </c>
      <c r="D617" s="5">
        <v>51.24</v>
      </c>
      <c r="E617" s="5">
        <v>2618.61</v>
      </c>
      <c r="F617" s="16" t="s">
        <v>556</v>
      </c>
      <c r="G617" s="13">
        <f>AVERAGE(E617:E618)</f>
        <v>2616.0299999999997</v>
      </c>
      <c r="H617" s="18">
        <f>STDEV(E617:E618)</f>
        <v>3.6486709909228039</v>
      </c>
      <c r="K617" s="5">
        <f>G617+$J$612</f>
        <v>2593.4366666666665</v>
      </c>
    </row>
    <row r="618" spans="1:12" x14ac:dyDescent="0.2">
      <c r="A618" s="15" t="s">
        <v>11</v>
      </c>
      <c r="B618" s="31">
        <v>45181</v>
      </c>
      <c r="C618" s="10" t="s">
        <v>12</v>
      </c>
      <c r="D618" s="15">
        <v>48.02</v>
      </c>
      <c r="E618" s="15">
        <v>2613.4499999999998</v>
      </c>
      <c r="F618" s="16" t="s">
        <v>557</v>
      </c>
    </row>
    <row r="619" spans="1:12" x14ac:dyDescent="0.2">
      <c r="A619" s="15" t="s">
        <v>11</v>
      </c>
      <c r="B619" s="31">
        <v>45181</v>
      </c>
      <c r="C619" s="10" t="s">
        <v>12</v>
      </c>
      <c r="D619" s="5">
        <v>49.87</v>
      </c>
      <c r="E619" s="5">
        <v>2632.69</v>
      </c>
      <c r="F619" s="16" t="s">
        <v>558</v>
      </c>
      <c r="G619" s="13">
        <f>AVERAGE(E619,E621)</f>
        <v>2634.9750000000004</v>
      </c>
      <c r="H619" s="18">
        <f>STDEV(E619,E621)</f>
        <v>3.231477990022638</v>
      </c>
      <c r="K619" s="5">
        <f>G619+$J$612</f>
        <v>2612.3816666666671</v>
      </c>
    </row>
    <row r="620" spans="1:12" x14ac:dyDescent="0.2">
      <c r="A620" s="15" t="s">
        <v>11</v>
      </c>
      <c r="B620" s="31">
        <v>45181</v>
      </c>
      <c r="C620" s="10" t="s">
        <v>12</v>
      </c>
      <c r="D620" s="5">
        <v>49.8</v>
      </c>
      <c r="E620" s="14">
        <v>2652.05</v>
      </c>
      <c r="F620" s="16" t="s">
        <v>559</v>
      </c>
    </row>
    <row r="621" spans="1:12" x14ac:dyDescent="0.2">
      <c r="A621" s="15" t="s">
        <v>11</v>
      </c>
      <c r="B621" s="31">
        <v>45181</v>
      </c>
      <c r="C621" s="10" t="s">
        <v>12</v>
      </c>
      <c r="D621" s="5">
        <v>49.97</v>
      </c>
      <c r="E621" s="5">
        <v>2637.26</v>
      </c>
      <c r="F621" s="16" t="s">
        <v>620</v>
      </c>
    </row>
    <row r="622" spans="1:12" x14ac:dyDescent="0.2">
      <c r="A622" s="15" t="s">
        <v>11</v>
      </c>
      <c r="B622" s="31">
        <v>45181</v>
      </c>
      <c r="C622" s="10" t="s">
        <v>12</v>
      </c>
      <c r="D622" s="5">
        <v>51.1</v>
      </c>
      <c r="E622" s="5">
        <v>2582.6799999999998</v>
      </c>
      <c r="F622" s="16" t="s">
        <v>560</v>
      </c>
      <c r="G622" s="13">
        <f>AVERAGE(E622:E623)</f>
        <v>2580.12</v>
      </c>
      <c r="H622" s="18">
        <f>STDEV(E622:E623)</f>
        <v>3.6203867196750461</v>
      </c>
      <c r="K622" s="5">
        <f>G622+$J$612</f>
        <v>2557.5266666666666</v>
      </c>
    </row>
    <row r="623" spans="1:12" x14ac:dyDescent="0.2">
      <c r="A623" s="15" t="s">
        <v>11</v>
      </c>
      <c r="B623" s="31">
        <v>45181</v>
      </c>
      <c r="C623" s="10" t="s">
        <v>12</v>
      </c>
      <c r="D623" s="5">
        <v>50.43</v>
      </c>
      <c r="E623" s="22">
        <v>2577.56</v>
      </c>
      <c r="F623" s="16" t="s">
        <v>561</v>
      </c>
    </row>
    <row r="624" spans="1:12" x14ac:dyDescent="0.2">
      <c r="A624" s="15" t="s">
        <v>11</v>
      </c>
      <c r="B624" s="31">
        <v>45181</v>
      </c>
      <c r="C624" s="10" t="s">
        <v>12</v>
      </c>
      <c r="D624" s="5">
        <v>51.6</v>
      </c>
      <c r="E624" s="5">
        <v>2597.64</v>
      </c>
      <c r="F624" s="16" t="s">
        <v>562</v>
      </c>
      <c r="G624" s="13">
        <f>AVERAGE(E624:E625)</f>
        <v>2599.605</v>
      </c>
      <c r="H624" s="18">
        <f>STDEV(E624:E625)</f>
        <v>2.7789296500633376</v>
      </c>
      <c r="K624" s="5">
        <f>G624+$J$612</f>
        <v>2577.0116666666668</v>
      </c>
    </row>
    <row r="625" spans="1:15" x14ac:dyDescent="0.2">
      <c r="A625" s="15" t="s">
        <v>11</v>
      </c>
      <c r="B625" s="31">
        <v>45181</v>
      </c>
      <c r="C625" s="10" t="s">
        <v>12</v>
      </c>
      <c r="D625" s="5">
        <v>49.34</v>
      </c>
      <c r="E625" s="5">
        <v>2601.5700000000002</v>
      </c>
      <c r="F625" s="16" t="s">
        <v>563</v>
      </c>
    </row>
    <row r="626" spans="1:15" x14ac:dyDescent="0.2">
      <c r="A626" s="15" t="s">
        <v>11</v>
      </c>
      <c r="B626" s="31">
        <v>45181</v>
      </c>
      <c r="C626" s="10" t="s">
        <v>12</v>
      </c>
      <c r="D626" s="5">
        <v>49.47</v>
      </c>
      <c r="E626" s="5">
        <v>2610.0100000000002</v>
      </c>
      <c r="F626" s="16" t="s">
        <v>564</v>
      </c>
      <c r="G626" s="13">
        <f>AVERAGE(E626,E628)</f>
        <v>2611.2049999999999</v>
      </c>
      <c r="H626" s="18">
        <f>STDEV(E626,E628)</f>
        <v>1.6899852070357586</v>
      </c>
      <c r="K626" s="5">
        <f>G626+$J$612</f>
        <v>2588.6116666666667</v>
      </c>
      <c r="N626" s="5"/>
      <c r="O626" s="5"/>
    </row>
    <row r="627" spans="1:15" x14ac:dyDescent="0.2">
      <c r="A627" s="15" t="s">
        <v>11</v>
      </c>
      <c r="B627" s="31">
        <v>45181</v>
      </c>
      <c r="C627" s="10" t="s">
        <v>12</v>
      </c>
      <c r="D627" s="5">
        <v>50.18</v>
      </c>
      <c r="E627" s="14">
        <v>2642.76</v>
      </c>
      <c r="F627" s="16" t="s">
        <v>565</v>
      </c>
      <c r="N627" s="5"/>
      <c r="O627" s="5"/>
    </row>
    <row r="628" spans="1:15" x14ac:dyDescent="0.2">
      <c r="A628" s="15" t="s">
        <v>11</v>
      </c>
      <c r="B628" s="31">
        <v>45181</v>
      </c>
      <c r="C628" s="10" t="s">
        <v>12</v>
      </c>
      <c r="D628" s="5">
        <v>49.96</v>
      </c>
      <c r="E628" s="5">
        <v>2612.4</v>
      </c>
      <c r="F628" s="16" t="s">
        <v>624</v>
      </c>
    </row>
    <row r="629" spans="1:15" x14ac:dyDescent="0.2">
      <c r="A629" s="15" t="s">
        <v>152</v>
      </c>
      <c r="B629" s="31">
        <v>45182</v>
      </c>
      <c r="C629" s="10" t="s">
        <v>12</v>
      </c>
      <c r="D629" s="5">
        <v>53.71</v>
      </c>
      <c r="E629" s="5">
        <v>2595.98</v>
      </c>
      <c r="F629" s="16" t="s">
        <v>566</v>
      </c>
      <c r="G629" s="13">
        <f>AVERAGE(E629,E631)</f>
        <v>2592.4250000000002</v>
      </c>
      <c r="H629" s="18">
        <f>STDEV(E629,E631)</f>
        <v>5.0275292142364432</v>
      </c>
      <c r="K629" s="5">
        <f>G629+$J$641</f>
        <v>2589.8383333333336</v>
      </c>
    </row>
    <row r="630" spans="1:15" x14ac:dyDescent="0.2">
      <c r="A630" s="15" t="s">
        <v>152</v>
      </c>
      <c r="B630" s="31">
        <v>45182</v>
      </c>
      <c r="C630" s="10" t="s">
        <v>12</v>
      </c>
      <c r="D630" s="5">
        <v>50.04</v>
      </c>
      <c r="E630" s="14">
        <v>2604.71</v>
      </c>
      <c r="F630" s="16" t="s">
        <v>567</v>
      </c>
    </row>
    <row r="631" spans="1:15" x14ac:dyDescent="0.2">
      <c r="A631" s="15" t="s">
        <v>152</v>
      </c>
      <c r="B631" s="31">
        <v>45182</v>
      </c>
      <c r="C631" s="10" t="s">
        <v>12</v>
      </c>
      <c r="D631" s="5">
        <v>51.49</v>
      </c>
      <c r="E631" s="5">
        <v>2588.87</v>
      </c>
      <c r="F631" s="16" t="s">
        <v>623</v>
      </c>
    </row>
    <row r="632" spans="1:15" x14ac:dyDescent="0.2">
      <c r="A632" s="15" t="s">
        <v>152</v>
      </c>
      <c r="B632" s="31">
        <v>45182</v>
      </c>
      <c r="C632" s="10" t="s">
        <v>12</v>
      </c>
      <c r="D632" s="5">
        <v>54.67</v>
      </c>
      <c r="E632" s="5">
        <v>2595.79</v>
      </c>
      <c r="F632" s="16" t="s">
        <v>568</v>
      </c>
      <c r="G632" s="13">
        <f>AVERAGE(E632,E634)</f>
        <v>2594.0450000000001</v>
      </c>
      <c r="H632" s="18">
        <f>STDEV(E632,E634)</f>
        <v>2.4678026663408965</v>
      </c>
      <c r="K632" s="5">
        <f>G632+$J$641</f>
        <v>2591.4583333333335</v>
      </c>
    </row>
    <row r="633" spans="1:15" x14ac:dyDescent="0.2">
      <c r="A633" s="15" t="s">
        <v>152</v>
      </c>
      <c r="B633" s="31">
        <v>45182</v>
      </c>
      <c r="C633" s="10" t="s">
        <v>12</v>
      </c>
      <c r="D633" s="5">
        <v>52.41</v>
      </c>
      <c r="E633" s="14">
        <v>2607.23</v>
      </c>
      <c r="F633" s="16" t="s">
        <v>569</v>
      </c>
    </row>
    <row r="634" spans="1:15" x14ac:dyDescent="0.2">
      <c r="A634" s="15" t="s">
        <v>152</v>
      </c>
      <c r="B634" s="31">
        <v>45182</v>
      </c>
      <c r="C634" s="10" t="s">
        <v>12</v>
      </c>
      <c r="D634" s="5">
        <v>49.5</v>
      </c>
      <c r="E634" s="5">
        <v>2592.3000000000002</v>
      </c>
      <c r="F634" s="16" t="s">
        <v>570</v>
      </c>
    </row>
    <row r="635" spans="1:15" x14ac:dyDescent="0.2">
      <c r="A635" s="15" t="s">
        <v>152</v>
      </c>
      <c r="B635" s="31">
        <v>45182</v>
      </c>
      <c r="C635" s="10" t="s">
        <v>12</v>
      </c>
      <c r="D635" s="5">
        <v>52.29</v>
      </c>
      <c r="E635" s="14">
        <v>2592.75</v>
      </c>
      <c r="F635" s="16" t="s">
        <v>571</v>
      </c>
      <c r="G635" s="13">
        <f>AVERAGE(E636,E637)</f>
        <v>2601.8199999999997</v>
      </c>
      <c r="H635" s="18">
        <f>STDEV(E636,E637)</f>
        <v>2.842569260369908</v>
      </c>
      <c r="K635" s="5">
        <f>G635+$J$641</f>
        <v>2599.2333333333331</v>
      </c>
    </row>
    <row r="636" spans="1:15" x14ac:dyDescent="0.2">
      <c r="A636" s="15" t="s">
        <v>152</v>
      </c>
      <c r="B636" s="31">
        <v>45182</v>
      </c>
      <c r="C636" s="10" t="s">
        <v>12</v>
      </c>
      <c r="D636" s="5">
        <v>52.25</v>
      </c>
      <c r="E636" s="5">
        <v>2603.83</v>
      </c>
      <c r="F636" s="16" t="s">
        <v>572</v>
      </c>
    </row>
    <row r="637" spans="1:15" x14ac:dyDescent="0.2">
      <c r="A637" s="15" t="s">
        <v>152</v>
      </c>
      <c r="B637" s="31">
        <v>45182</v>
      </c>
      <c r="C637" s="10" t="s">
        <v>12</v>
      </c>
      <c r="D637" s="5">
        <v>49.95</v>
      </c>
      <c r="E637" s="5">
        <v>2599.81</v>
      </c>
      <c r="F637" s="16" t="s">
        <v>622</v>
      </c>
    </row>
    <row r="638" spans="1:15" x14ac:dyDescent="0.2">
      <c r="A638" s="15" t="s">
        <v>152</v>
      </c>
      <c r="B638" s="31">
        <v>45182</v>
      </c>
      <c r="C638" s="10" t="s">
        <v>12</v>
      </c>
      <c r="D638" s="5">
        <v>50.16</v>
      </c>
      <c r="E638" s="5">
        <v>2606.08</v>
      </c>
      <c r="F638" s="16" t="s">
        <v>573</v>
      </c>
      <c r="G638" s="13">
        <f>AVERAGE(E638,E639)</f>
        <v>2605.5349999999999</v>
      </c>
      <c r="H638" s="18">
        <f>STDEV(E638,E639)</f>
        <v>0.77074639149343971</v>
      </c>
      <c r="K638" s="5">
        <f>G638+$J$641</f>
        <v>2602.9483333333333</v>
      </c>
    </row>
    <row r="639" spans="1:15" x14ac:dyDescent="0.2">
      <c r="A639" s="15" t="s">
        <v>152</v>
      </c>
      <c r="B639" s="31">
        <v>45182</v>
      </c>
      <c r="C639" s="10" t="s">
        <v>12</v>
      </c>
      <c r="D639" s="5">
        <v>52.33</v>
      </c>
      <c r="E639" s="5">
        <v>2604.9899999999998</v>
      </c>
      <c r="F639" s="16" t="s">
        <v>574</v>
      </c>
    </row>
    <row r="640" spans="1:15" x14ac:dyDescent="0.2">
      <c r="A640" s="15" t="s">
        <v>152</v>
      </c>
      <c r="B640" s="31">
        <v>45182</v>
      </c>
      <c r="C640" s="10" t="s">
        <v>12</v>
      </c>
      <c r="D640" s="5">
        <v>51.6</v>
      </c>
      <c r="E640" s="14">
        <v>2594.91</v>
      </c>
      <c r="F640" s="16" t="s">
        <v>621</v>
      </c>
    </row>
    <row r="641" spans="1:12" x14ac:dyDescent="0.2">
      <c r="A641" s="15" t="s">
        <v>152</v>
      </c>
      <c r="B641" s="31">
        <v>45182</v>
      </c>
      <c r="C641" s="10" t="s">
        <v>12</v>
      </c>
      <c r="D641" s="5">
        <v>51.1</v>
      </c>
      <c r="E641" s="5">
        <v>2232.91</v>
      </c>
      <c r="F641" s="16" t="s">
        <v>8</v>
      </c>
      <c r="G641" s="13">
        <f>AVERAGE(E641,E642,E643)</f>
        <v>2229.0266666666666</v>
      </c>
      <c r="H641" s="18">
        <f>STDEV(E641,E642,E643)</f>
        <v>4.6872628828914422</v>
      </c>
      <c r="I641" s="3">
        <v>2226.44</v>
      </c>
      <c r="J641" s="4">
        <f>I641-G641</f>
        <v>-2.5866666666665878</v>
      </c>
      <c r="K641" s="5">
        <f>G641+$J$641</f>
        <v>2226.44</v>
      </c>
      <c r="L641" s="2" t="s">
        <v>94</v>
      </c>
    </row>
    <row r="642" spans="1:12" x14ac:dyDescent="0.2">
      <c r="A642" s="15" t="s">
        <v>152</v>
      </c>
      <c r="B642" s="31">
        <v>45182</v>
      </c>
      <c r="C642" s="10" t="s">
        <v>12</v>
      </c>
      <c r="D642" s="5">
        <v>54.72</v>
      </c>
      <c r="E642" s="5">
        <v>2223.8200000000002</v>
      </c>
      <c r="F642" s="16" t="s">
        <v>96</v>
      </c>
    </row>
    <row r="643" spans="1:12" x14ac:dyDescent="0.2">
      <c r="A643" s="15" t="s">
        <v>152</v>
      </c>
      <c r="B643" s="31">
        <v>45182</v>
      </c>
      <c r="C643" s="10" t="s">
        <v>12</v>
      </c>
      <c r="D643" s="5">
        <v>51.93</v>
      </c>
      <c r="E643" s="5">
        <v>2230.35</v>
      </c>
      <c r="F643" s="16" t="s">
        <v>619</v>
      </c>
    </row>
    <row r="644" spans="1:12" x14ac:dyDescent="0.2">
      <c r="A644" s="15" t="s">
        <v>11</v>
      </c>
      <c r="B644" s="31">
        <v>45182</v>
      </c>
      <c r="C644" s="10" t="s">
        <v>12</v>
      </c>
      <c r="D644" s="5">
        <v>48.76</v>
      </c>
      <c r="E644" s="14">
        <v>2625.94</v>
      </c>
      <c r="F644" s="16" t="s">
        <v>575</v>
      </c>
      <c r="G644" s="13">
        <f>AVERAGE(E645,E646)</f>
        <v>2604.915</v>
      </c>
      <c r="H644" s="18">
        <f>STDEV(E645,E646)</f>
        <v>3.6274577874870659</v>
      </c>
      <c r="K644" s="5">
        <f>G644+$J$641</f>
        <v>2602.3283333333334</v>
      </c>
    </row>
    <row r="645" spans="1:12" x14ac:dyDescent="0.2">
      <c r="A645" s="15" t="s">
        <v>11</v>
      </c>
      <c r="B645" s="31">
        <v>45182</v>
      </c>
      <c r="C645" s="10" t="s">
        <v>12</v>
      </c>
      <c r="D645" s="5">
        <v>48.03</v>
      </c>
      <c r="E645" s="5">
        <v>2607.48</v>
      </c>
      <c r="F645" s="16" t="s">
        <v>576</v>
      </c>
    </row>
    <row r="646" spans="1:12" x14ac:dyDescent="0.2">
      <c r="A646" s="15" t="s">
        <v>11</v>
      </c>
      <c r="B646" s="31">
        <v>45182</v>
      </c>
      <c r="C646" s="10" t="s">
        <v>12</v>
      </c>
      <c r="D646" s="5">
        <v>50.81</v>
      </c>
      <c r="E646" s="5">
        <v>2602.35</v>
      </c>
      <c r="F646" s="16" t="s">
        <v>625</v>
      </c>
    </row>
    <row r="647" spans="1:12" x14ac:dyDescent="0.2">
      <c r="A647" s="15" t="s">
        <v>11</v>
      </c>
      <c r="B647" s="31">
        <v>45182</v>
      </c>
      <c r="C647" s="10" t="s">
        <v>12</v>
      </c>
      <c r="D647" s="5">
        <v>49.85</v>
      </c>
      <c r="E647" s="5">
        <v>2613.0500000000002</v>
      </c>
      <c r="F647" s="16" t="s">
        <v>577</v>
      </c>
      <c r="G647" s="13">
        <f>AVERAGE(E647,E649)</f>
        <v>2615.0550000000003</v>
      </c>
      <c r="H647" s="18">
        <f>STDEV(E647,E649)</f>
        <v>2.8354981925578886</v>
      </c>
      <c r="K647" s="5">
        <f>G647+$J$641</f>
        <v>2612.4683333333337</v>
      </c>
    </row>
    <row r="648" spans="1:12" x14ac:dyDescent="0.2">
      <c r="A648" s="15" t="s">
        <v>11</v>
      </c>
      <c r="B648" s="31">
        <v>45182</v>
      </c>
      <c r="C648" s="10" t="s">
        <v>12</v>
      </c>
      <c r="D648" s="5">
        <v>49.69</v>
      </c>
      <c r="E648" s="14">
        <v>2602.4299999999998</v>
      </c>
      <c r="F648" s="16" t="s">
        <v>578</v>
      </c>
    </row>
    <row r="649" spans="1:12" x14ac:dyDescent="0.2">
      <c r="A649" s="15" t="s">
        <v>11</v>
      </c>
      <c r="B649" s="31">
        <v>45182</v>
      </c>
      <c r="C649" s="10" t="s">
        <v>12</v>
      </c>
      <c r="D649" s="5">
        <v>48.95</v>
      </c>
      <c r="E649" s="5">
        <v>2617.06</v>
      </c>
      <c r="F649" s="16" t="s">
        <v>626</v>
      </c>
    </row>
    <row r="650" spans="1:12" x14ac:dyDescent="0.2">
      <c r="A650" s="15" t="s">
        <v>11</v>
      </c>
      <c r="B650" s="31">
        <v>45182</v>
      </c>
      <c r="C650" s="10" t="s">
        <v>12</v>
      </c>
      <c r="D650" s="5">
        <v>52.04</v>
      </c>
      <c r="E650" s="5">
        <v>2510.23</v>
      </c>
      <c r="F650" s="16" t="s">
        <v>579</v>
      </c>
      <c r="G650" s="13">
        <f>AVERAGE(E651,E652)</f>
        <v>2504.67</v>
      </c>
      <c r="H650" s="18">
        <f>STDEV(E651,E650)</f>
        <v>2.6375082938258352</v>
      </c>
      <c r="K650" s="5">
        <f>G650+$J$641</f>
        <v>2502.0833333333335</v>
      </c>
    </row>
    <row r="651" spans="1:12" x14ac:dyDescent="0.2">
      <c r="A651" s="15" t="s">
        <v>11</v>
      </c>
      <c r="B651" s="31">
        <v>45182</v>
      </c>
      <c r="C651" s="10" t="s">
        <v>12</v>
      </c>
      <c r="D651" s="5">
        <v>48.94</v>
      </c>
      <c r="E651" s="5">
        <v>2506.5</v>
      </c>
      <c r="F651" s="16" t="s">
        <v>580</v>
      </c>
    </row>
    <row r="652" spans="1:12" x14ac:dyDescent="0.2">
      <c r="A652" s="15" t="s">
        <v>11</v>
      </c>
      <c r="B652" s="31">
        <v>45182</v>
      </c>
      <c r="C652" s="10" t="s">
        <v>12</v>
      </c>
      <c r="D652" s="5">
        <v>49.11</v>
      </c>
      <c r="E652" s="5">
        <v>2502.84</v>
      </c>
      <c r="F652" s="16" t="s">
        <v>581</v>
      </c>
      <c r="G652" s="13">
        <f>AVERAGE(E652:E653)</f>
        <v>2500.08</v>
      </c>
      <c r="H652" s="18">
        <f>STDEV(E653,E652)</f>
        <v>3.9032294321497294</v>
      </c>
      <c r="K652" s="5">
        <f>G652+$J$641</f>
        <v>2497.4933333333333</v>
      </c>
    </row>
    <row r="653" spans="1:12" x14ac:dyDescent="0.2">
      <c r="A653" s="15" t="s">
        <v>11</v>
      </c>
      <c r="B653" s="31">
        <v>45182</v>
      </c>
      <c r="C653" s="10" t="s">
        <v>12</v>
      </c>
      <c r="D653" s="5">
        <v>49.6</v>
      </c>
      <c r="E653" s="5">
        <v>2497.3200000000002</v>
      </c>
      <c r="F653" s="16" t="s">
        <v>582</v>
      </c>
    </row>
    <row r="654" spans="1:12" x14ac:dyDescent="0.2">
      <c r="A654" s="15" t="s">
        <v>11</v>
      </c>
      <c r="B654" s="31">
        <v>45182</v>
      </c>
      <c r="C654" s="10" t="s">
        <v>12</v>
      </c>
      <c r="D654" s="15">
        <v>51.92</v>
      </c>
      <c r="E654" s="14">
        <v>2489.41</v>
      </c>
      <c r="F654" s="16" t="s">
        <v>583</v>
      </c>
      <c r="G654" s="13">
        <f>AVERAGE(E655,E656)</f>
        <v>2509.15</v>
      </c>
      <c r="H654" s="18">
        <f>STDEV(E655,E656)</f>
        <v>2.5597265478952247</v>
      </c>
      <c r="K654" s="5">
        <f>G654+$J$641</f>
        <v>2506.5633333333335</v>
      </c>
    </row>
    <row r="655" spans="1:12" x14ac:dyDescent="0.2">
      <c r="A655" s="15" t="s">
        <v>11</v>
      </c>
      <c r="B655" s="31">
        <v>45182</v>
      </c>
      <c r="C655" s="10" t="s">
        <v>12</v>
      </c>
      <c r="D655" s="5">
        <v>48.19</v>
      </c>
      <c r="E655" s="5">
        <v>2510.96</v>
      </c>
      <c r="F655" s="16" t="s">
        <v>584</v>
      </c>
    </row>
    <row r="656" spans="1:12" x14ac:dyDescent="0.2">
      <c r="A656" s="15" t="s">
        <v>11</v>
      </c>
      <c r="B656" s="31">
        <v>45182</v>
      </c>
      <c r="C656" s="10" t="s">
        <v>12</v>
      </c>
      <c r="D656" s="5">
        <v>48.16</v>
      </c>
      <c r="E656" s="5">
        <v>2507.34</v>
      </c>
      <c r="F656" s="16" t="s">
        <v>585</v>
      </c>
    </row>
    <row r="657" spans="1:12" x14ac:dyDescent="0.2">
      <c r="A657" s="15" t="s">
        <v>11</v>
      </c>
      <c r="B657" s="31">
        <v>45182</v>
      </c>
      <c r="C657" s="10" t="s">
        <v>12</v>
      </c>
      <c r="D657" s="5">
        <v>50.52</v>
      </c>
      <c r="E657" s="5">
        <v>2605.37</v>
      </c>
      <c r="F657" s="16" t="s">
        <v>586</v>
      </c>
      <c r="G657" s="13">
        <f>AVERAGE(E658,E657)</f>
        <v>2608.5249999999996</v>
      </c>
      <c r="H657" s="18">
        <f>STDEV(E658,E657)</f>
        <v>4.4618437892870766</v>
      </c>
      <c r="K657" s="5">
        <f>G657+$J$641</f>
        <v>2605.938333333333</v>
      </c>
    </row>
    <row r="658" spans="1:12" x14ac:dyDescent="0.2">
      <c r="A658" s="15" t="s">
        <v>11</v>
      </c>
      <c r="B658" s="31">
        <v>45182</v>
      </c>
      <c r="C658" s="10" t="s">
        <v>12</v>
      </c>
      <c r="D658" s="5">
        <v>49.7</v>
      </c>
      <c r="E658" s="22">
        <v>2611.6799999999998</v>
      </c>
      <c r="F658" s="16" t="s">
        <v>587</v>
      </c>
    </row>
    <row r="659" spans="1:12" x14ac:dyDescent="0.2">
      <c r="A659" s="15" t="s">
        <v>152</v>
      </c>
      <c r="B659" s="31">
        <v>45183</v>
      </c>
      <c r="C659" s="10" t="s">
        <v>12</v>
      </c>
      <c r="D659" s="5">
        <v>51.23</v>
      </c>
      <c r="E659" s="14">
        <v>2541.79</v>
      </c>
      <c r="F659" s="16" t="s">
        <v>588</v>
      </c>
      <c r="G659" s="13">
        <f>AVERAGE(E660,E661)</f>
        <v>2528.0649999999996</v>
      </c>
      <c r="H659" s="18">
        <f>STDEV(E660,E661)</f>
        <v>0.89802561210690246</v>
      </c>
      <c r="K659" s="5">
        <f>G659+$J$671</f>
        <v>2520.8549999999996</v>
      </c>
    </row>
    <row r="660" spans="1:12" x14ac:dyDescent="0.2">
      <c r="A660" s="15" t="s">
        <v>152</v>
      </c>
      <c r="B660" s="31">
        <v>45183</v>
      </c>
      <c r="C660" s="10" t="s">
        <v>12</v>
      </c>
      <c r="D660" s="5">
        <v>51.47</v>
      </c>
      <c r="E660" s="5">
        <v>2528.6999999999998</v>
      </c>
      <c r="F660" s="16" t="s">
        <v>589</v>
      </c>
    </row>
    <row r="661" spans="1:12" x14ac:dyDescent="0.2">
      <c r="A661" s="15" t="s">
        <v>152</v>
      </c>
      <c r="B661" s="31">
        <v>45183</v>
      </c>
      <c r="C661" s="10" t="s">
        <v>12</v>
      </c>
      <c r="D661" s="5">
        <v>51.47</v>
      </c>
      <c r="E661" s="5">
        <v>2527.4299999999998</v>
      </c>
      <c r="F661" s="16" t="s">
        <v>627</v>
      </c>
    </row>
    <row r="662" spans="1:12" x14ac:dyDescent="0.2">
      <c r="A662" s="15" t="s">
        <v>152</v>
      </c>
      <c r="B662" s="31">
        <v>45183</v>
      </c>
      <c r="C662" s="10" t="s">
        <v>12</v>
      </c>
      <c r="D662" s="5">
        <v>50.76</v>
      </c>
      <c r="E662" s="5">
        <v>2542.09</v>
      </c>
      <c r="F662" s="16" t="s">
        <v>590</v>
      </c>
      <c r="G662" s="13">
        <f>AVERAGE(E664,E662)</f>
        <v>2543.2150000000001</v>
      </c>
      <c r="H662" s="18">
        <f>STDEV(E664,E662)</f>
        <v>1.5909902576697319</v>
      </c>
      <c r="K662" s="5">
        <f>G662+$J$671</f>
        <v>2536.0050000000001</v>
      </c>
    </row>
    <row r="663" spans="1:12" x14ac:dyDescent="0.2">
      <c r="A663" s="15" t="s">
        <v>152</v>
      </c>
      <c r="B663" s="31">
        <v>45183</v>
      </c>
      <c r="C663" s="10" t="s">
        <v>12</v>
      </c>
      <c r="D663" s="5">
        <v>53.55</v>
      </c>
      <c r="E663" s="14">
        <v>2529.9699999999998</v>
      </c>
      <c r="F663" s="16" t="s">
        <v>591</v>
      </c>
    </row>
    <row r="664" spans="1:12" x14ac:dyDescent="0.2">
      <c r="A664" s="15" t="s">
        <v>152</v>
      </c>
      <c r="B664" s="31">
        <v>45183</v>
      </c>
      <c r="C664" s="10" t="s">
        <v>12</v>
      </c>
      <c r="D664" s="5">
        <v>53.83</v>
      </c>
      <c r="E664" s="5">
        <v>2544.34</v>
      </c>
      <c r="F664" s="16" t="s">
        <v>630</v>
      </c>
    </row>
    <row r="665" spans="1:12" x14ac:dyDescent="0.2">
      <c r="A665" s="15" t="s">
        <v>152</v>
      </c>
      <c r="B665" s="31">
        <v>45183</v>
      </c>
      <c r="C665" s="10" t="s">
        <v>12</v>
      </c>
      <c r="D665" s="5">
        <v>53.71</v>
      </c>
      <c r="E665" s="5">
        <v>2540.21</v>
      </c>
      <c r="F665" s="16" t="s">
        <v>592</v>
      </c>
      <c r="G665" s="13">
        <f>AVERAGE(E665,E667)</f>
        <v>2540.085</v>
      </c>
      <c r="H665" s="18">
        <f>STDEV(E665,E667)</f>
        <v>0.17677669529663689</v>
      </c>
      <c r="K665" s="5">
        <f>G665+$J$671</f>
        <v>2532.875</v>
      </c>
    </row>
    <row r="666" spans="1:12" x14ac:dyDescent="0.2">
      <c r="A666" s="15" t="s">
        <v>152</v>
      </c>
      <c r="B666" s="31">
        <v>45183</v>
      </c>
      <c r="C666" s="10" t="s">
        <v>12</v>
      </c>
      <c r="D666" s="5">
        <v>53.68</v>
      </c>
      <c r="E666" s="14">
        <v>2558.08</v>
      </c>
      <c r="F666" s="16" t="s">
        <v>593</v>
      </c>
    </row>
    <row r="667" spans="1:12" x14ac:dyDescent="0.2">
      <c r="A667" s="15" t="s">
        <v>152</v>
      </c>
      <c r="B667" s="31">
        <v>45183</v>
      </c>
      <c r="C667" s="10" t="s">
        <v>12</v>
      </c>
      <c r="D667" s="5">
        <v>52.03</v>
      </c>
      <c r="E667" s="5">
        <v>2539.96</v>
      </c>
      <c r="F667" s="16" t="s">
        <v>628</v>
      </c>
    </row>
    <row r="668" spans="1:12" x14ac:dyDescent="0.2">
      <c r="A668" s="15" t="s">
        <v>152</v>
      </c>
      <c r="B668" s="31">
        <v>45183</v>
      </c>
      <c r="C668" s="10" t="s">
        <v>12</v>
      </c>
      <c r="D668" s="5">
        <v>51.65</v>
      </c>
      <c r="E668" s="5">
        <v>2647.54</v>
      </c>
      <c r="F668" s="16" t="s">
        <v>594</v>
      </c>
      <c r="G668" s="13">
        <f>AVERAGE(E668,E670)</f>
        <v>2648.0349999999999</v>
      </c>
      <c r="H668" s="18">
        <f>STDEV(E668,E670)</f>
        <v>0.70003571337484927</v>
      </c>
      <c r="K668" s="5">
        <f>G668+$J$671</f>
        <v>2640.8249999999998</v>
      </c>
    </row>
    <row r="669" spans="1:12" x14ac:dyDescent="0.2">
      <c r="A669" s="15" t="s">
        <v>152</v>
      </c>
      <c r="B669" s="31">
        <v>45183</v>
      </c>
      <c r="C669" s="10" t="s">
        <v>12</v>
      </c>
      <c r="D669" s="5">
        <v>49.63</v>
      </c>
      <c r="E669" s="14">
        <v>2636.63</v>
      </c>
      <c r="F669" s="16" t="s">
        <v>595</v>
      </c>
    </row>
    <row r="670" spans="1:12" x14ac:dyDescent="0.2">
      <c r="A670" s="15" t="s">
        <v>152</v>
      </c>
      <c r="B670" s="31">
        <v>45183</v>
      </c>
      <c r="C670" s="10" t="s">
        <v>12</v>
      </c>
      <c r="D670" s="5">
        <v>50.34</v>
      </c>
      <c r="E670" s="5">
        <v>2648.53</v>
      </c>
      <c r="F670" s="16" t="s">
        <v>629</v>
      </c>
    </row>
    <row r="671" spans="1:12" x14ac:dyDescent="0.2">
      <c r="A671" s="15" t="s">
        <v>152</v>
      </c>
      <c r="B671" s="31">
        <v>45183</v>
      </c>
      <c r="C671" s="10" t="s">
        <v>12</v>
      </c>
      <c r="D671" s="5">
        <v>51.51</v>
      </c>
      <c r="E671" s="14">
        <v>2220.2199999999998</v>
      </c>
      <c r="F671" s="16" t="s">
        <v>8</v>
      </c>
      <c r="G671" s="13">
        <f>AVERAGE(E672,E673)</f>
        <v>2233.65</v>
      </c>
      <c r="H671" s="18">
        <f>STDEV(E672,E673)</f>
        <v>0.43840620433558231</v>
      </c>
      <c r="I671" s="3">
        <v>2226.44</v>
      </c>
      <c r="J671" s="4">
        <f>I671-G671</f>
        <v>-7.2100000000000364</v>
      </c>
      <c r="K671" s="5">
        <f>G671+$J$671</f>
        <v>2226.44</v>
      </c>
      <c r="L671" s="2" t="s">
        <v>94</v>
      </c>
    </row>
    <row r="672" spans="1:12" x14ac:dyDescent="0.2">
      <c r="A672" s="15" t="s">
        <v>152</v>
      </c>
      <c r="B672" s="31">
        <v>45183</v>
      </c>
      <c r="C672" s="10" t="s">
        <v>12</v>
      </c>
      <c r="D672" s="5">
        <v>50.33</v>
      </c>
      <c r="E672" s="5">
        <v>2233.34</v>
      </c>
      <c r="F672" s="16" t="s">
        <v>9</v>
      </c>
    </row>
    <row r="673" spans="1:11" x14ac:dyDescent="0.2">
      <c r="A673" s="15" t="s">
        <v>152</v>
      </c>
      <c r="B673" s="31">
        <v>45183</v>
      </c>
      <c r="C673" s="10" t="s">
        <v>12</v>
      </c>
      <c r="D673" s="5">
        <v>51.66</v>
      </c>
      <c r="E673" s="5">
        <v>2233.96</v>
      </c>
      <c r="F673" s="16" t="s">
        <v>96</v>
      </c>
    </row>
    <row r="674" spans="1:11" x14ac:dyDescent="0.2">
      <c r="A674" s="15" t="s">
        <v>11</v>
      </c>
      <c r="B674" s="31">
        <v>45183</v>
      </c>
      <c r="C674" s="10" t="s">
        <v>12</v>
      </c>
      <c r="D674" s="5">
        <v>49.66</v>
      </c>
      <c r="E674" s="14">
        <v>2671.32</v>
      </c>
      <c r="F674" s="16" t="s">
        <v>596</v>
      </c>
      <c r="G674" s="13">
        <f>AVERAGE(E675,E676)</f>
        <v>2601.7449999999999</v>
      </c>
      <c r="H674" s="18">
        <f>STDEV(E675,E676)</f>
        <v>1.6617009357883223</v>
      </c>
      <c r="K674" s="5">
        <f>G674+$J$671</f>
        <v>2594.5349999999999</v>
      </c>
    </row>
    <row r="675" spans="1:11" x14ac:dyDescent="0.2">
      <c r="A675" s="15" t="s">
        <v>11</v>
      </c>
      <c r="B675" s="31">
        <v>45183</v>
      </c>
      <c r="C675" s="10" t="s">
        <v>12</v>
      </c>
      <c r="D675" s="5">
        <v>49.69</v>
      </c>
      <c r="E675" s="5">
        <v>2602.92</v>
      </c>
      <c r="F675" s="16" t="s">
        <v>597</v>
      </c>
    </row>
    <row r="676" spans="1:11" x14ac:dyDescent="0.2">
      <c r="A676" s="15" t="s">
        <v>11</v>
      </c>
      <c r="B676" s="31">
        <v>45183</v>
      </c>
      <c r="C676" s="10" t="s">
        <v>12</v>
      </c>
      <c r="D676" s="5">
        <v>52.3</v>
      </c>
      <c r="E676" s="5">
        <v>2600.5700000000002</v>
      </c>
      <c r="F676" s="16" t="s">
        <v>631</v>
      </c>
    </row>
    <row r="677" spans="1:11" x14ac:dyDescent="0.2">
      <c r="A677" s="15" t="s">
        <v>11</v>
      </c>
      <c r="B677" s="31">
        <v>45183</v>
      </c>
      <c r="C677" s="10" t="s">
        <v>12</v>
      </c>
      <c r="D677" s="5">
        <v>50.26</v>
      </c>
      <c r="E677" s="5">
        <v>2588.17</v>
      </c>
      <c r="F677" s="16" t="s">
        <v>598</v>
      </c>
      <c r="G677" s="13">
        <f>AVERAGE(E677,E678)</f>
        <v>2587.605</v>
      </c>
      <c r="H677" s="18">
        <f>STDEV(E677,E678)</f>
        <v>0.79903066274087586</v>
      </c>
      <c r="K677" s="5">
        <f>G677+$J$671</f>
        <v>2580.395</v>
      </c>
    </row>
    <row r="678" spans="1:11" x14ac:dyDescent="0.2">
      <c r="A678" s="15" t="s">
        <v>11</v>
      </c>
      <c r="B678" s="31">
        <v>45183</v>
      </c>
      <c r="C678" s="10" t="s">
        <v>12</v>
      </c>
      <c r="D678" s="5">
        <v>52.19</v>
      </c>
      <c r="E678" s="5">
        <v>2587.04</v>
      </c>
      <c r="F678" s="16" t="s">
        <v>599</v>
      </c>
    </row>
    <row r="679" spans="1:11" x14ac:dyDescent="0.2">
      <c r="A679" s="15" t="s">
        <v>11</v>
      </c>
      <c r="B679" s="31">
        <v>45183</v>
      </c>
      <c r="C679" s="10" t="s">
        <v>12</v>
      </c>
      <c r="D679" s="5">
        <v>49.76</v>
      </c>
      <c r="E679" s="5">
        <v>2486.2399999999998</v>
      </c>
      <c r="F679" s="16" t="s">
        <v>600</v>
      </c>
      <c r="G679" s="13">
        <f>AVERAGE(E679,E680)</f>
        <v>2488.2849999999999</v>
      </c>
      <c r="H679" s="18">
        <f>STDEV(E679,E680)</f>
        <v>2.8920667350530822</v>
      </c>
      <c r="K679" s="5">
        <f>G679+$J$671</f>
        <v>2481.0749999999998</v>
      </c>
    </row>
    <row r="680" spans="1:11" x14ac:dyDescent="0.2">
      <c r="A680" s="15" t="s">
        <v>11</v>
      </c>
      <c r="B680" s="31">
        <v>45183</v>
      </c>
      <c r="C680" s="10" t="s">
        <v>12</v>
      </c>
      <c r="D680" s="5">
        <v>48.09</v>
      </c>
      <c r="E680" s="22">
        <v>2490.33</v>
      </c>
      <c r="F680" s="16" t="s">
        <v>601</v>
      </c>
    </row>
    <row r="681" spans="1:11" x14ac:dyDescent="0.2">
      <c r="A681" s="15" t="s">
        <v>11</v>
      </c>
      <c r="B681" s="31">
        <v>45183</v>
      </c>
      <c r="C681" s="10" t="s">
        <v>12</v>
      </c>
      <c r="D681" s="5">
        <v>50.31</v>
      </c>
      <c r="E681" s="14">
        <v>2379.1</v>
      </c>
      <c r="F681" s="16" t="s">
        <v>602</v>
      </c>
      <c r="G681" s="13">
        <f>AVERAGE(E682,E683)</f>
        <v>2395.105</v>
      </c>
      <c r="H681" s="18">
        <f>STDEV(E682,E683)</f>
        <v>3.8254476862191193</v>
      </c>
      <c r="K681" s="5">
        <f>G681+$J$671</f>
        <v>2387.895</v>
      </c>
    </row>
    <row r="682" spans="1:11" x14ac:dyDescent="0.2">
      <c r="A682" s="15" t="s">
        <v>11</v>
      </c>
      <c r="B682" s="31">
        <v>45183</v>
      </c>
      <c r="C682" s="10" t="s">
        <v>12</v>
      </c>
      <c r="D682" s="5">
        <v>48.7</v>
      </c>
      <c r="E682" s="5">
        <v>2397.81</v>
      </c>
      <c r="F682" s="16" t="s">
        <v>632</v>
      </c>
    </row>
    <row r="683" spans="1:11" x14ac:dyDescent="0.2">
      <c r="A683" s="15" t="s">
        <v>11</v>
      </c>
      <c r="B683" s="31">
        <v>45183</v>
      </c>
      <c r="C683" s="10" t="s">
        <v>12</v>
      </c>
      <c r="D683" s="5">
        <v>49.86</v>
      </c>
      <c r="E683" s="5">
        <v>2392.4</v>
      </c>
      <c r="F683" s="16" t="s">
        <v>603</v>
      </c>
    </row>
    <row r="684" spans="1:11" x14ac:dyDescent="0.2">
      <c r="A684" s="15" t="s">
        <v>11</v>
      </c>
      <c r="B684" s="31">
        <v>45183</v>
      </c>
      <c r="C684" s="10" t="s">
        <v>12</v>
      </c>
      <c r="D684" s="5">
        <v>48.21</v>
      </c>
      <c r="E684" s="14">
        <v>2416.37</v>
      </c>
      <c r="F684" s="16" t="s">
        <v>604</v>
      </c>
      <c r="G684" s="13">
        <f>AVERAGE(E685,E686)</f>
        <v>2389.7550000000001</v>
      </c>
      <c r="H684" s="18">
        <f>STDEV(E685,E686)</f>
        <v>0.24748737341522731</v>
      </c>
      <c r="K684" s="5">
        <f>G684+$J$671</f>
        <v>2382.5450000000001</v>
      </c>
    </row>
    <row r="685" spans="1:11" x14ac:dyDescent="0.2">
      <c r="A685" s="15" t="s">
        <v>11</v>
      </c>
      <c r="B685" s="31">
        <v>45183</v>
      </c>
      <c r="C685" s="10" t="s">
        <v>12</v>
      </c>
      <c r="D685" s="5">
        <v>52.51</v>
      </c>
      <c r="E685" s="5">
        <v>2389.58</v>
      </c>
      <c r="F685" s="16" t="s">
        <v>605</v>
      </c>
    </row>
    <row r="686" spans="1:11" x14ac:dyDescent="0.2">
      <c r="A686" s="15" t="s">
        <v>11</v>
      </c>
      <c r="B686" s="31">
        <v>45183</v>
      </c>
      <c r="C686" s="10" t="s">
        <v>12</v>
      </c>
      <c r="D686" s="5">
        <v>50.54</v>
      </c>
      <c r="E686" s="5">
        <v>2389.9299999999998</v>
      </c>
      <c r="F686" s="16" t="s">
        <v>606</v>
      </c>
    </row>
    <row r="687" spans="1:11" x14ac:dyDescent="0.2">
      <c r="A687" s="15" t="s">
        <v>11</v>
      </c>
      <c r="B687" s="31">
        <v>45183</v>
      </c>
      <c r="C687" s="10" t="s">
        <v>12</v>
      </c>
      <c r="D687" s="5">
        <v>51.53</v>
      </c>
      <c r="E687" s="5">
        <v>2617.25</v>
      </c>
      <c r="F687" s="16" t="s">
        <v>607</v>
      </c>
      <c r="G687" s="13">
        <f>AVERAGE(E687,E688)</f>
        <v>2618.4499999999998</v>
      </c>
      <c r="H687" s="18">
        <f>STDEV(E687,E688)</f>
        <v>1.6970562748477784</v>
      </c>
      <c r="K687" s="5">
        <f>G687+$J$671</f>
        <v>2611.2399999999998</v>
      </c>
    </row>
    <row r="688" spans="1:11" x14ac:dyDescent="0.2">
      <c r="A688" s="15" t="s">
        <v>11</v>
      </c>
      <c r="B688" s="31">
        <v>45183</v>
      </c>
      <c r="C688" s="10" t="s">
        <v>12</v>
      </c>
      <c r="D688" s="5">
        <v>49.05</v>
      </c>
      <c r="E688" s="5">
        <v>2619.65</v>
      </c>
      <c r="F688" s="16" t="s">
        <v>608</v>
      </c>
    </row>
    <row r="689" spans="1:12" x14ac:dyDescent="0.2">
      <c r="A689" s="15" t="s">
        <v>11</v>
      </c>
      <c r="B689" s="31">
        <v>45183</v>
      </c>
      <c r="C689" s="10" t="s">
        <v>12</v>
      </c>
      <c r="D689" s="5">
        <v>51.86</v>
      </c>
      <c r="E689" s="22">
        <v>2514.23</v>
      </c>
      <c r="F689" s="16" t="s">
        <v>609</v>
      </c>
      <c r="G689" s="13">
        <f>AVERAGE(E689,E691)</f>
        <v>2512.3000000000002</v>
      </c>
      <c r="H689" s="18">
        <f>STDEV(E689,E691)</f>
        <v>2.7294321753801634</v>
      </c>
      <c r="K689" s="5">
        <f>G689+$J$671</f>
        <v>2505.09</v>
      </c>
    </row>
    <row r="690" spans="1:12" x14ac:dyDescent="0.2">
      <c r="A690" s="15" t="s">
        <v>11</v>
      </c>
      <c r="B690" s="31">
        <v>45183</v>
      </c>
      <c r="C690" s="10" t="s">
        <v>12</v>
      </c>
      <c r="D690" s="5">
        <v>49.33</v>
      </c>
      <c r="E690" s="14">
        <v>2529.6</v>
      </c>
      <c r="F690" s="16" t="s">
        <v>610</v>
      </c>
    </row>
    <row r="691" spans="1:12" x14ac:dyDescent="0.2">
      <c r="A691" s="15" t="s">
        <v>11</v>
      </c>
      <c r="B691" s="31">
        <v>45183</v>
      </c>
      <c r="C691" s="10" t="s">
        <v>12</v>
      </c>
      <c r="D691" s="5">
        <v>52.39</v>
      </c>
      <c r="E691" s="5">
        <v>2510.37</v>
      </c>
      <c r="F691" s="16" t="s">
        <v>611</v>
      </c>
    </row>
    <row r="692" spans="1:12" x14ac:dyDescent="0.2">
      <c r="A692" s="15" t="s">
        <v>11</v>
      </c>
      <c r="B692" s="31">
        <v>45183</v>
      </c>
      <c r="C692" s="10" t="s">
        <v>12</v>
      </c>
      <c r="D692" s="5">
        <v>51.31</v>
      </c>
      <c r="E692" s="5">
        <v>2459.66</v>
      </c>
      <c r="F692" s="16" t="s">
        <v>612</v>
      </c>
      <c r="G692" s="13">
        <f>AVERAGE(E692,E694)</f>
        <v>2457.8199999999997</v>
      </c>
      <c r="H692" s="18">
        <f>STDEV(E692,E694)</f>
        <v>2.6021529547663791</v>
      </c>
      <c r="K692" s="5">
        <f>G692+$J$671</f>
        <v>2450.6099999999997</v>
      </c>
    </row>
    <row r="693" spans="1:12" x14ac:dyDescent="0.2">
      <c r="A693" s="15" t="s">
        <v>11</v>
      </c>
      <c r="B693" s="31">
        <v>45183</v>
      </c>
      <c r="C693" s="10" t="s">
        <v>12</v>
      </c>
      <c r="D693" s="5">
        <v>51.67</v>
      </c>
      <c r="E693" s="14">
        <v>2402.61</v>
      </c>
      <c r="F693" s="16" t="s">
        <v>613</v>
      </c>
    </row>
    <row r="694" spans="1:12" x14ac:dyDescent="0.2">
      <c r="A694" s="15" t="s">
        <v>11</v>
      </c>
      <c r="B694" s="31">
        <v>45183</v>
      </c>
      <c r="C694" s="10" t="s">
        <v>12</v>
      </c>
      <c r="D694" s="5">
        <v>50.68</v>
      </c>
      <c r="E694" s="5">
        <v>2455.98</v>
      </c>
      <c r="F694" s="16" t="s">
        <v>614</v>
      </c>
    </row>
    <row r="695" spans="1:12" x14ac:dyDescent="0.2">
      <c r="A695" s="15" t="s">
        <v>11</v>
      </c>
      <c r="B695" s="31">
        <v>45183</v>
      </c>
      <c r="C695" s="10" t="s">
        <v>12</v>
      </c>
      <c r="D695" s="5">
        <v>51.58</v>
      </c>
      <c r="E695" s="14">
        <v>2493.88</v>
      </c>
      <c r="F695" s="16" t="s">
        <v>615</v>
      </c>
      <c r="G695" s="13">
        <f>AVERAGE(E697,E696)</f>
        <v>2510.415</v>
      </c>
      <c r="H695" s="18">
        <f>STDEV(E697,E696)</f>
        <v>4.6032651455245785</v>
      </c>
      <c r="K695" s="5">
        <f>G695+$J$671</f>
        <v>2503.2049999999999</v>
      </c>
    </row>
    <row r="696" spans="1:12" x14ac:dyDescent="0.2">
      <c r="A696" s="15" t="s">
        <v>11</v>
      </c>
      <c r="B696" s="31">
        <v>45183</v>
      </c>
      <c r="C696" s="10" t="s">
        <v>12</v>
      </c>
      <c r="D696" s="5">
        <v>49.58</v>
      </c>
      <c r="E696" s="5">
        <v>2507.16</v>
      </c>
      <c r="F696" s="16" t="s">
        <v>616</v>
      </c>
    </row>
    <row r="697" spans="1:12" x14ac:dyDescent="0.2">
      <c r="A697" s="15" t="s">
        <v>11</v>
      </c>
      <c r="B697" s="31">
        <v>45183</v>
      </c>
      <c r="C697" s="10" t="s">
        <v>12</v>
      </c>
      <c r="D697" s="5">
        <v>52.67</v>
      </c>
      <c r="E697" s="5">
        <v>2513.67</v>
      </c>
      <c r="F697" s="16" t="s">
        <v>633</v>
      </c>
    </row>
    <row r="698" spans="1:12" x14ac:dyDescent="0.2">
      <c r="A698" s="15" t="s">
        <v>11</v>
      </c>
      <c r="B698" s="31">
        <v>45183</v>
      </c>
      <c r="C698" s="10" t="s">
        <v>12</v>
      </c>
      <c r="D698" s="5">
        <v>51.29</v>
      </c>
      <c r="E698" s="5">
        <v>2593.69</v>
      </c>
      <c r="F698" s="16" t="s">
        <v>617</v>
      </c>
      <c r="G698" s="13">
        <f>AVERAGE(E698,E700)</f>
        <v>2596.2399999999998</v>
      </c>
      <c r="H698" s="18">
        <f>STDEV(E698,E700)</f>
        <v>3.6062445840513284</v>
      </c>
      <c r="K698" s="5">
        <f>G698+$J$671</f>
        <v>2589.0299999999997</v>
      </c>
    </row>
    <row r="699" spans="1:12" x14ac:dyDescent="0.2">
      <c r="A699" s="15" t="s">
        <v>11</v>
      </c>
      <c r="B699" s="31">
        <v>45183</v>
      </c>
      <c r="C699" s="10" t="s">
        <v>12</v>
      </c>
      <c r="D699" s="5">
        <v>49.72</v>
      </c>
      <c r="E699" s="14">
        <v>2604.7800000000002</v>
      </c>
      <c r="F699" s="16" t="s">
        <v>618</v>
      </c>
    </row>
    <row r="700" spans="1:12" x14ac:dyDescent="0.2">
      <c r="A700" s="15" t="s">
        <v>11</v>
      </c>
      <c r="B700" s="31">
        <v>45183</v>
      </c>
      <c r="C700" s="10" t="s">
        <v>12</v>
      </c>
      <c r="D700" s="5">
        <v>50.03</v>
      </c>
      <c r="E700" s="5">
        <v>2598.79</v>
      </c>
      <c r="F700" s="16" t="s">
        <v>634</v>
      </c>
    </row>
    <row r="701" spans="1:12" x14ac:dyDescent="0.2">
      <c r="A701" s="15" t="s">
        <v>152</v>
      </c>
      <c r="B701" s="31">
        <v>45184</v>
      </c>
      <c r="C701" s="10" t="s">
        <v>12</v>
      </c>
      <c r="D701" s="5">
        <v>51.15</v>
      </c>
      <c r="E701" s="22">
        <v>2235.36</v>
      </c>
      <c r="F701" s="16" t="s">
        <v>8</v>
      </c>
      <c r="G701" s="13">
        <f>AVERAGE(E701:E702)</f>
        <v>2235.1149999999998</v>
      </c>
      <c r="H701" s="18">
        <f>STDEV(E701:E702)</f>
        <v>0.34648232278157548</v>
      </c>
      <c r="I701" s="3">
        <v>2226.44</v>
      </c>
      <c r="J701" s="4">
        <f>I701-G701</f>
        <v>-8.6749999999997272</v>
      </c>
      <c r="K701" s="5">
        <f>G701+$J$671</f>
        <v>2227.9049999999997</v>
      </c>
      <c r="L701" s="2" t="s">
        <v>94</v>
      </c>
    </row>
    <row r="702" spans="1:12" x14ac:dyDescent="0.2">
      <c r="A702" s="15" t="s">
        <v>152</v>
      </c>
      <c r="B702" s="31">
        <v>45184</v>
      </c>
      <c r="C702" s="10" t="s">
        <v>12</v>
      </c>
      <c r="D702" s="5">
        <v>49.83</v>
      </c>
      <c r="E702" s="22">
        <v>2234.87</v>
      </c>
      <c r="F702" s="16" t="s">
        <v>9</v>
      </c>
    </row>
    <row r="703" spans="1:12" x14ac:dyDescent="0.2">
      <c r="A703" s="15" t="s">
        <v>11</v>
      </c>
      <c r="B703" s="31">
        <v>45184</v>
      </c>
      <c r="C703" s="10" t="s">
        <v>12</v>
      </c>
      <c r="D703" s="5">
        <v>51.39</v>
      </c>
      <c r="E703" s="14">
        <v>2715.38</v>
      </c>
      <c r="F703" s="16" t="s">
        <v>688</v>
      </c>
      <c r="G703" s="13">
        <f>AVERAGE(E704,E705)</f>
        <v>2612.2950000000001</v>
      </c>
      <c r="H703" s="18">
        <f>STDEV(E704,E705)</f>
        <v>4.4477016536633585</v>
      </c>
      <c r="K703" s="5">
        <f>G703+$J$701</f>
        <v>2603.6200000000003</v>
      </c>
    </row>
    <row r="704" spans="1:12" x14ac:dyDescent="0.2">
      <c r="A704" s="15" t="s">
        <v>11</v>
      </c>
      <c r="B704" s="31">
        <v>45184</v>
      </c>
      <c r="C704" s="10" t="s">
        <v>12</v>
      </c>
      <c r="D704" s="5">
        <v>51.35</v>
      </c>
      <c r="E704" s="15">
        <v>2609.15</v>
      </c>
      <c r="F704" s="16" t="s">
        <v>708</v>
      </c>
    </row>
    <row r="705" spans="1:11" x14ac:dyDescent="0.2">
      <c r="A705" s="15" t="s">
        <v>11</v>
      </c>
      <c r="B705" s="31">
        <v>45184</v>
      </c>
      <c r="C705" s="10" t="s">
        <v>12</v>
      </c>
      <c r="D705" s="5">
        <v>51.27</v>
      </c>
      <c r="E705" s="15">
        <v>2615.44</v>
      </c>
      <c r="F705" s="16" t="s">
        <v>719</v>
      </c>
    </row>
    <row r="706" spans="1:11" x14ac:dyDescent="0.2">
      <c r="A706" s="15" t="s">
        <v>11</v>
      </c>
      <c r="B706" s="31">
        <v>45184</v>
      </c>
      <c r="C706" s="10" t="s">
        <v>12</v>
      </c>
      <c r="D706" s="5">
        <v>51.29</v>
      </c>
      <c r="E706" s="5">
        <v>2589.64</v>
      </c>
      <c r="F706" s="16" t="s">
        <v>689</v>
      </c>
      <c r="G706" s="13">
        <f>AVERAGE(E706,E708)</f>
        <v>2588.8649999999998</v>
      </c>
      <c r="H706" s="18">
        <f>STDEV(E706,E708)</f>
        <v>1.0960155108389558</v>
      </c>
      <c r="K706" s="5">
        <f>G706+$J$701</f>
        <v>2580.19</v>
      </c>
    </row>
    <row r="707" spans="1:11" x14ac:dyDescent="0.2">
      <c r="A707" s="15" t="s">
        <v>11</v>
      </c>
      <c r="B707" s="31">
        <v>45184</v>
      </c>
      <c r="C707" s="10" t="s">
        <v>12</v>
      </c>
      <c r="D707" s="15">
        <v>49.67</v>
      </c>
      <c r="E707" s="14">
        <v>2501.0700000000002</v>
      </c>
      <c r="F707" s="16" t="s">
        <v>690</v>
      </c>
    </row>
    <row r="708" spans="1:11" x14ac:dyDescent="0.2">
      <c r="A708" s="15" t="s">
        <v>11</v>
      </c>
      <c r="B708" s="31">
        <v>45184</v>
      </c>
      <c r="C708" s="10" t="s">
        <v>12</v>
      </c>
      <c r="D708" s="15">
        <v>51.18</v>
      </c>
      <c r="E708" s="15">
        <v>2588.09</v>
      </c>
      <c r="F708" s="16" t="s">
        <v>717</v>
      </c>
    </row>
    <row r="709" spans="1:11" x14ac:dyDescent="0.2">
      <c r="A709" s="15" t="s">
        <v>11</v>
      </c>
      <c r="B709" s="31">
        <v>45184</v>
      </c>
      <c r="C709" s="10" t="s">
        <v>12</v>
      </c>
      <c r="D709" s="5">
        <v>52.15</v>
      </c>
      <c r="E709" s="5">
        <v>2364.96</v>
      </c>
      <c r="F709" s="16" t="s">
        <v>691</v>
      </c>
      <c r="G709" s="13">
        <f>AVERAGE(E709,E711)</f>
        <v>2368.1800000000003</v>
      </c>
      <c r="H709" s="18">
        <f>STDEV(E709,E711)</f>
        <v>4.5537676708414043</v>
      </c>
      <c r="K709" s="5">
        <f>G709+$J$701</f>
        <v>2359.5050000000006</v>
      </c>
    </row>
    <row r="710" spans="1:11" x14ac:dyDescent="0.2">
      <c r="A710" s="15" t="s">
        <v>11</v>
      </c>
      <c r="B710" s="31">
        <v>45184</v>
      </c>
      <c r="C710" s="10" t="s">
        <v>12</v>
      </c>
      <c r="D710" s="5">
        <v>52.69</v>
      </c>
      <c r="E710" s="14">
        <v>2349.0700000000002</v>
      </c>
      <c r="F710" s="16" t="s">
        <v>692</v>
      </c>
    </row>
    <row r="711" spans="1:11" x14ac:dyDescent="0.2">
      <c r="A711" s="15" t="s">
        <v>11</v>
      </c>
      <c r="B711" s="31">
        <v>45184</v>
      </c>
      <c r="C711" s="10" t="s">
        <v>12</v>
      </c>
      <c r="D711" s="5">
        <v>52.12</v>
      </c>
      <c r="E711" s="5">
        <v>2371.4</v>
      </c>
      <c r="F711" s="16" t="s">
        <v>718</v>
      </c>
    </row>
    <row r="712" spans="1:11" x14ac:dyDescent="0.2">
      <c r="A712" s="15" t="s">
        <v>11</v>
      </c>
      <c r="B712" s="31">
        <v>45184</v>
      </c>
      <c r="C712" s="10" t="s">
        <v>12</v>
      </c>
      <c r="D712" s="5">
        <v>51.79</v>
      </c>
      <c r="E712" s="5">
        <v>2489.98</v>
      </c>
      <c r="F712" s="16" t="s">
        <v>693</v>
      </c>
      <c r="G712" s="13">
        <f>AVERAGE(E712,E713)</f>
        <v>2491.92</v>
      </c>
      <c r="H712" s="18">
        <f>STDEV(E712,E713)</f>
        <v>2.7435743110038815</v>
      </c>
      <c r="K712" s="5">
        <f>G712+$J$701</f>
        <v>2483.2450000000003</v>
      </c>
    </row>
    <row r="713" spans="1:11" x14ac:dyDescent="0.2">
      <c r="A713" s="15" t="s">
        <v>11</v>
      </c>
      <c r="B713" s="31">
        <v>45184</v>
      </c>
      <c r="C713" s="10" t="s">
        <v>12</v>
      </c>
      <c r="D713" s="5">
        <v>51.94</v>
      </c>
      <c r="E713" s="22">
        <v>2493.86</v>
      </c>
      <c r="F713" s="16" t="s">
        <v>709</v>
      </c>
    </row>
    <row r="714" spans="1:11" x14ac:dyDescent="0.2">
      <c r="A714" s="15" t="s">
        <v>11</v>
      </c>
      <c r="B714" s="31">
        <v>45184</v>
      </c>
      <c r="C714" s="10" t="s">
        <v>12</v>
      </c>
      <c r="D714" s="5">
        <v>50.71</v>
      </c>
      <c r="E714" s="14">
        <v>2435.52</v>
      </c>
      <c r="F714" s="16" t="s">
        <v>694</v>
      </c>
      <c r="G714" s="13">
        <f>AVERAGE(E715,E716)</f>
        <v>2460.7049999999999</v>
      </c>
      <c r="H714" s="18">
        <f>STDEV(E715,E716)</f>
        <v>4.1082903986938026</v>
      </c>
      <c r="K714" s="5">
        <f>G714+$J$701</f>
        <v>2452.0300000000002</v>
      </c>
    </row>
    <row r="715" spans="1:11" x14ac:dyDescent="0.2">
      <c r="A715" s="15" t="s">
        <v>11</v>
      </c>
      <c r="B715" s="31">
        <v>45184</v>
      </c>
      <c r="C715" s="10" t="s">
        <v>12</v>
      </c>
      <c r="D715" s="5">
        <v>48.64</v>
      </c>
      <c r="E715" s="5">
        <v>2463.61</v>
      </c>
      <c r="F715" s="16" t="s">
        <v>695</v>
      </c>
    </row>
    <row r="716" spans="1:11" x14ac:dyDescent="0.2">
      <c r="A716" s="15" t="s">
        <v>11</v>
      </c>
      <c r="B716" s="31">
        <v>45184</v>
      </c>
      <c r="C716" s="10" t="s">
        <v>12</v>
      </c>
      <c r="D716" s="5">
        <v>52.78</v>
      </c>
      <c r="E716" s="5">
        <v>2457.8000000000002</v>
      </c>
      <c r="F716" s="16" t="s">
        <v>696</v>
      </c>
    </row>
    <row r="717" spans="1:11" x14ac:dyDescent="0.2">
      <c r="A717" s="15" t="s">
        <v>11</v>
      </c>
      <c r="B717" s="31">
        <v>45184</v>
      </c>
      <c r="C717" s="10" t="s">
        <v>12</v>
      </c>
      <c r="D717" s="5">
        <v>48.85</v>
      </c>
      <c r="E717" s="5">
        <v>2611.8200000000002</v>
      </c>
      <c r="F717" s="16" t="s">
        <v>697</v>
      </c>
      <c r="G717" s="13">
        <f>AVERAGE(E717,E718)</f>
        <v>2610.1350000000002</v>
      </c>
      <c r="H717" s="18">
        <f>STDEV(E717,E718)</f>
        <v>2.3829498525989097</v>
      </c>
      <c r="K717" s="5">
        <f>G717+$J$701</f>
        <v>2601.4600000000005</v>
      </c>
    </row>
    <row r="718" spans="1:11" x14ac:dyDescent="0.2">
      <c r="A718" s="15" t="s">
        <v>11</v>
      </c>
      <c r="B718" s="31">
        <v>45184</v>
      </c>
      <c r="C718" s="10" t="s">
        <v>12</v>
      </c>
      <c r="D718" s="5">
        <v>49.36</v>
      </c>
      <c r="E718" s="22">
        <v>2608.4499999999998</v>
      </c>
      <c r="F718" s="16" t="s">
        <v>698</v>
      </c>
    </row>
    <row r="719" spans="1:11" x14ac:dyDescent="0.2">
      <c r="A719" s="15" t="s">
        <v>11</v>
      </c>
      <c r="B719" s="31">
        <v>45184</v>
      </c>
      <c r="C719" s="10" t="s">
        <v>12</v>
      </c>
      <c r="D719" s="5">
        <v>51.24</v>
      </c>
      <c r="E719" s="14">
        <v>2371.92</v>
      </c>
      <c r="F719" s="16" t="s">
        <v>699</v>
      </c>
      <c r="G719" s="13">
        <f>AVERAGE(E721,E720)</f>
        <v>2394.6499999999996</v>
      </c>
      <c r="H719" s="18">
        <f>STDEV(E721,E720)</f>
        <v>0.96166522241379471</v>
      </c>
      <c r="K719" s="5">
        <f>G719+$J$701</f>
        <v>2385.9749999999999</v>
      </c>
    </row>
    <row r="720" spans="1:11" x14ac:dyDescent="0.2">
      <c r="A720" s="15" t="s">
        <v>11</v>
      </c>
      <c r="B720" s="31">
        <v>45184</v>
      </c>
      <c r="C720" s="10" t="s">
        <v>12</v>
      </c>
      <c r="D720" s="5">
        <v>49.82</v>
      </c>
      <c r="E720" s="22">
        <v>2393.9699999999998</v>
      </c>
      <c r="F720" s="16" t="s">
        <v>700</v>
      </c>
    </row>
    <row r="721" spans="1:11" x14ac:dyDescent="0.2">
      <c r="A721" s="15" t="s">
        <v>11</v>
      </c>
      <c r="B721" s="31">
        <v>45184</v>
      </c>
      <c r="C721" s="10" t="s">
        <v>12</v>
      </c>
      <c r="D721" s="5">
        <v>52.06</v>
      </c>
      <c r="E721" s="5">
        <v>2395.33</v>
      </c>
      <c r="F721" s="16" t="s">
        <v>701</v>
      </c>
    </row>
    <row r="722" spans="1:11" x14ac:dyDescent="0.2">
      <c r="A722" s="15" t="s">
        <v>11</v>
      </c>
      <c r="B722" s="31">
        <v>45184</v>
      </c>
      <c r="C722" s="10" t="s">
        <v>12</v>
      </c>
      <c r="D722" s="5">
        <v>48.67</v>
      </c>
      <c r="E722" s="5">
        <v>2488.85</v>
      </c>
      <c r="F722" s="16" t="s">
        <v>702</v>
      </c>
      <c r="G722" s="13">
        <f>AVERAGE(E722,E723)</f>
        <v>2486.7849999999999</v>
      </c>
      <c r="H722" s="18">
        <f>STDEV(E722,E723)</f>
        <v>2.9203510063005185</v>
      </c>
      <c r="K722" s="5">
        <f>G722+$J$701</f>
        <v>2478.11</v>
      </c>
    </row>
    <row r="723" spans="1:11" x14ac:dyDescent="0.2">
      <c r="A723" s="15" t="s">
        <v>11</v>
      </c>
      <c r="B723" s="31">
        <v>45184</v>
      </c>
      <c r="C723" s="10" t="s">
        <v>12</v>
      </c>
      <c r="D723" s="5">
        <v>52.42</v>
      </c>
      <c r="E723" s="22">
        <v>2484.7199999999998</v>
      </c>
      <c r="F723" s="16" t="s">
        <v>703</v>
      </c>
    </row>
    <row r="724" spans="1:11" x14ac:dyDescent="0.2">
      <c r="A724" s="15" t="s">
        <v>11</v>
      </c>
      <c r="B724" s="31">
        <v>45185</v>
      </c>
      <c r="C724" s="10" t="s">
        <v>12</v>
      </c>
      <c r="D724" s="5">
        <v>51.31</v>
      </c>
      <c r="E724" s="14">
        <v>2407.86</v>
      </c>
      <c r="F724" s="16" t="s">
        <v>704</v>
      </c>
      <c r="G724" s="13">
        <f>AVERAGE(E725:E726)</f>
        <v>2476.2849999999999</v>
      </c>
      <c r="H724" s="18">
        <f>STDEV(E725:E726)</f>
        <v>3.6274577874870659</v>
      </c>
      <c r="K724" s="5">
        <f>G724+$J$701</f>
        <v>2467.61</v>
      </c>
    </row>
    <row r="725" spans="1:11" x14ac:dyDescent="0.2">
      <c r="A725" s="15" t="s">
        <v>11</v>
      </c>
      <c r="B725" s="31">
        <v>45185</v>
      </c>
      <c r="C725" s="10" t="s">
        <v>12</v>
      </c>
      <c r="D725" s="5">
        <v>50.51</v>
      </c>
      <c r="E725" s="5">
        <v>2473.7199999999998</v>
      </c>
      <c r="F725" s="16" t="s">
        <v>720</v>
      </c>
    </row>
    <row r="726" spans="1:11" x14ac:dyDescent="0.2">
      <c r="A726" s="15" t="s">
        <v>11</v>
      </c>
      <c r="B726" s="31">
        <v>45185</v>
      </c>
      <c r="C726" s="10" t="s">
        <v>12</v>
      </c>
      <c r="D726" s="5">
        <v>47.98</v>
      </c>
      <c r="E726" s="5">
        <v>2478.85</v>
      </c>
      <c r="F726" s="16" t="s">
        <v>721</v>
      </c>
    </row>
    <row r="727" spans="1:11" x14ac:dyDescent="0.2">
      <c r="A727" s="15" t="s">
        <v>11</v>
      </c>
      <c r="B727" s="31">
        <v>45185</v>
      </c>
      <c r="C727" s="10" t="s">
        <v>12</v>
      </c>
      <c r="D727" s="5">
        <v>50.07</v>
      </c>
      <c r="E727" s="5">
        <v>2599.69</v>
      </c>
      <c r="F727" s="16" t="s">
        <v>705</v>
      </c>
      <c r="G727" s="13">
        <f>AVERAGE(E727,E729)</f>
        <v>2598.8000000000002</v>
      </c>
      <c r="H727" s="18">
        <f>STDEV(E727,E729)</f>
        <v>1.2586500705121961</v>
      </c>
      <c r="K727" s="5">
        <f>G727+$J$701</f>
        <v>2590.1250000000005</v>
      </c>
    </row>
    <row r="728" spans="1:11" x14ac:dyDescent="0.2">
      <c r="A728" s="15" t="s">
        <v>11</v>
      </c>
      <c r="B728" s="31">
        <v>45185</v>
      </c>
      <c r="C728" s="10" t="s">
        <v>12</v>
      </c>
      <c r="D728" s="5">
        <v>48.69</v>
      </c>
      <c r="E728" s="14">
        <v>2614.36</v>
      </c>
      <c r="F728" s="16" t="s">
        <v>706</v>
      </c>
    </row>
    <row r="729" spans="1:11" x14ac:dyDescent="0.2">
      <c r="A729" s="15" t="s">
        <v>11</v>
      </c>
      <c r="B729" s="31">
        <v>45185</v>
      </c>
      <c r="C729" s="10" t="s">
        <v>12</v>
      </c>
      <c r="D729" s="5">
        <v>49.71</v>
      </c>
      <c r="E729" s="5">
        <v>2597.91</v>
      </c>
      <c r="F729" s="16" t="s">
        <v>707</v>
      </c>
    </row>
    <row r="730" spans="1:11" x14ac:dyDescent="0.2">
      <c r="C730" s="10" t="s">
        <v>12</v>
      </c>
      <c r="F730" s="16" t="s">
        <v>8</v>
      </c>
      <c r="G730" s="13"/>
      <c r="H730" s="18"/>
      <c r="I730" s="3"/>
      <c r="J730" s="4"/>
      <c r="K730" s="5"/>
    </row>
    <row r="731" spans="1:11" x14ac:dyDescent="0.2">
      <c r="C731" s="10" t="s">
        <v>12</v>
      </c>
      <c r="F731" s="16" t="s">
        <v>9</v>
      </c>
    </row>
    <row r="732" spans="1:11" x14ac:dyDescent="0.2">
      <c r="C732" s="10" t="s">
        <v>12</v>
      </c>
      <c r="F732" s="16" t="s">
        <v>96</v>
      </c>
    </row>
    <row r="733" spans="1:11" x14ac:dyDescent="0.2">
      <c r="C733" s="10" t="s">
        <v>12</v>
      </c>
      <c r="E733" s="14"/>
      <c r="F733" s="16" t="s">
        <v>661</v>
      </c>
      <c r="G733" s="13"/>
      <c r="H733" s="18"/>
      <c r="K733" s="5"/>
    </row>
    <row r="734" spans="1:11" x14ac:dyDescent="0.2">
      <c r="C734" s="10" t="s">
        <v>12</v>
      </c>
      <c r="F734" s="16" t="s">
        <v>662</v>
      </c>
    </row>
    <row r="735" spans="1:11" x14ac:dyDescent="0.2">
      <c r="C735" s="10" t="s">
        <v>12</v>
      </c>
      <c r="F735" s="16" t="s">
        <v>663</v>
      </c>
    </row>
    <row r="736" spans="1:11" x14ac:dyDescent="0.2">
      <c r="C736" s="10" t="s">
        <v>12</v>
      </c>
      <c r="F736" s="16" t="s">
        <v>664</v>
      </c>
      <c r="G736" s="13"/>
      <c r="H736" s="18"/>
      <c r="K736" s="5"/>
    </row>
    <row r="737" spans="3:11" x14ac:dyDescent="0.2">
      <c r="C737" s="10" t="s">
        <v>12</v>
      </c>
      <c r="E737" s="14"/>
      <c r="F737" s="16" t="s">
        <v>665</v>
      </c>
    </row>
    <row r="738" spans="3:11" x14ac:dyDescent="0.2">
      <c r="C738" s="10" t="s">
        <v>12</v>
      </c>
      <c r="F738" s="16" t="s">
        <v>666</v>
      </c>
    </row>
    <row r="739" spans="3:11" x14ac:dyDescent="0.2">
      <c r="C739" s="10" t="s">
        <v>12</v>
      </c>
      <c r="F739" s="16" t="s">
        <v>667</v>
      </c>
      <c r="G739" s="13"/>
      <c r="H739" s="18"/>
      <c r="K739" s="5"/>
    </row>
    <row r="740" spans="3:11" x14ac:dyDescent="0.2">
      <c r="C740" s="10" t="s">
        <v>12</v>
      </c>
      <c r="F740" s="16" t="s">
        <v>668</v>
      </c>
    </row>
    <row r="741" spans="3:11" x14ac:dyDescent="0.2">
      <c r="C741" s="10" t="s">
        <v>12</v>
      </c>
      <c r="F741" s="16" t="s">
        <v>714</v>
      </c>
    </row>
    <row r="742" spans="3:11" x14ac:dyDescent="0.2">
      <c r="C742" s="10" t="s">
        <v>12</v>
      </c>
      <c r="F742" s="16" t="s">
        <v>669</v>
      </c>
      <c r="G742" s="13"/>
      <c r="H742" s="18"/>
      <c r="K742" s="5"/>
    </row>
    <row r="743" spans="3:11" x14ac:dyDescent="0.2">
      <c r="C743" s="10" t="s">
        <v>12</v>
      </c>
      <c r="F743" s="16" t="s">
        <v>670</v>
      </c>
    </row>
    <row r="744" spans="3:11" x14ac:dyDescent="0.2">
      <c r="C744" s="10" t="s">
        <v>12</v>
      </c>
      <c r="F744" s="16" t="s">
        <v>715</v>
      </c>
    </row>
    <row r="745" spans="3:11" x14ac:dyDescent="0.2">
      <c r="C745" s="10" t="s">
        <v>12</v>
      </c>
      <c r="D745" s="15"/>
      <c r="E745" s="14"/>
      <c r="F745" s="16" t="s">
        <v>671</v>
      </c>
      <c r="G745" s="13"/>
      <c r="H745" s="18"/>
      <c r="K745" s="5"/>
    </row>
    <row r="746" spans="3:11" x14ac:dyDescent="0.2">
      <c r="C746" s="10" t="s">
        <v>12</v>
      </c>
      <c r="F746" s="16" t="s">
        <v>672</v>
      </c>
    </row>
    <row r="747" spans="3:11" x14ac:dyDescent="0.2">
      <c r="C747" s="10" t="s">
        <v>12</v>
      </c>
      <c r="F747" s="16" t="s">
        <v>673</v>
      </c>
    </row>
    <row r="748" spans="3:11" x14ac:dyDescent="0.2">
      <c r="C748" s="10" t="s">
        <v>12</v>
      </c>
      <c r="F748" s="16" t="s">
        <v>674</v>
      </c>
      <c r="G748" s="13"/>
      <c r="H748" s="18"/>
      <c r="K748" s="5"/>
    </row>
    <row r="749" spans="3:11" x14ac:dyDescent="0.2">
      <c r="C749" s="10" t="s">
        <v>12</v>
      </c>
      <c r="E749" s="22"/>
      <c r="F749" s="16" t="s">
        <v>675</v>
      </c>
    </row>
    <row r="750" spans="3:11" x14ac:dyDescent="0.2">
      <c r="C750" s="10" t="s">
        <v>12</v>
      </c>
      <c r="E750" s="22"/>
      <c r="F750" s="16" t="s">
        <v>716</v>
      </c>
    </row>
    <row r="751" spans="3:11" x14ac:dyDescent="0.2">
      <c r="C751" s="10" t="s">
        <v>12</v>
      </c>
      <c r="E751" s="14"/>
      <c r="F751" s="16" t="s">
        <v>676</v>
      </c>
      <c r="G751" s="13"/>
      <c r="H751" s="18"/>
      <c r="K751" s="5"/>
    </row>
    <row r="752" spans="3:11" x14ac:dyDescent="0.2">
      <c r="C752" s="10" t="s">
        <v>12</v>
      </c>
      <c r="F752" s="16" t="s">
        <v>677</v>
      </c>
    </row>
    <row r="753" spans="3:11" x14ac:dyDescent="0.2">
      <c r="C753" s="10" t="s">
        <v>12</v>
      </c>
      <c r="F753" s="16" t="s">
        <v>678</v>
      </c>
    </row>
    <row r="754" spans="3:11" x14ac:dyDescent="0.2">
      <c r="C754" s="10" t="s">
        <v>12</v>
      </c>
      <c r="F754" s="16" t="s">
        <v>679</v>
      </c>
      <c r="G754" s="13"/>
      <c r="H754" s="18"/>
      <c r="K754" s="5"/>
    </row>
    <row r="755" spans="3:11" x14ac:dyDescent="0.2">
      <c r="C755" s="10" t="s">
        <v>12</v>
      </c>
      <c r="E755" s="14"/>
      <c r="F755" s="16" t="s">
        <v>680</v>
      </c>
    </row>
    <row r="756" spans="3:11" x14ac:dyDescent="0.2">
      <c r="C756" s="10" t="s">
        <v>12</v>
      </c>
      <c r="E756" s="14"/>
      <c r="F756" s="16" t="s">
        <v>681</v>
      </c>
    </row>
    <row r="757" spans="3:11" x14ac:dyDescent="0.2">
      <c r="C757" s="10" t="s">
        <v>12</v>
      </c>
      <c r="F757" s="16" t="s">
        <v>682</v>
      </c>
      <c r="G757" s="13"/>
      <c r="H757" s="18"/>
      <c r="K757" s="5"/>
    </row>
    <row r="758" spans="3:11" x14ac:dyDescent="0.2">
      <c r="C758" s="10" t="s">
        <v>12</v>
      </c>
      <c r="E758" s="14"/>
      <c r="F758" s="16" t="s">
        <v>683</v>
      </c>
    </row>
    <row r="759" spans="3:11" x14ac:dyDescent="0.2">
      <c r="C759" s="10" t="s">
        <v>12</v>
      </c>
      <c r="F759" s="16" t="s">
        <v>684</v>
      </c>
    </row>
    <row r="760" spans="3:11" x14ac:dyDescent="0.2">
      <c r="C760" s="10" t="s">
        <v>12</v>
      </c>
      <c r="F760" s="16" t="s">
        <v>685</v>
      </c>
      <c r="G760" s="13"/>
      <c r="H760" s="18"/>
      <c r="K760" s="5"/>
    </row>
    <row r="761" spans="3:11" x14ac:dyDescent="0.2">
      <c r="C761" s="10" t="s">
        <v>12</v>
      </c>
      <c r="E761" s="14"/>
      <c r="F761" s="16" t="s">
        <v>686</v>
      </c>
    </row>
    <row r="762" spans="3:11" x14ac:dyDescent="0.2">
      <c r="C762" s="10" t="s">
        <v>12</v>
      </c>
      <c r="F762" s="16" t="s">
        <v>687</v>
      </c>
    </row>
    <row r="763" spans="3:11" x14ac:dyDescent="0.2">
      <c r="C763" s="10"/>
      <c r="F763" s="16"/>
    </row>
    <row r="764" spans="3:11" x14ac:dyDescent="0.2">
      <c r="C764" s="10" t="s">
        <v>12</v>
      </c>
      <c r="E764" s="14"/>
      <c r="F764" s="16" t="s">
        <v>8</v>
      </c>
      <c r="G764" s="13"/>
      <c r="H764" s="18"/>
      <c r="I764" s="3"/>
      <c r="J764" s="4"/>
      <c r="K764" s="5"/>
    </row>
    <row r="765" spans="3:11" x14ac:dyDescent="0.2">
      <c r="C765" s="10" t="s">
        <v>12</v>
      </c>
      <c r="F765" s="16" t="s">
        <v>9</v>
      </c>
    </row>
    <row r="766" spans="3:11" x14ac:dyDescent="0.2">
      <c r="C766" s="10" t="s">
        <v>12</v>
      </c>
      <c r="F766" s="16" t="s">
        <v>96</v>
      </c>
    </row>
    <row r="767" spans="3:11" x14ac:dyDescent="0.2">
      <c r="C767" s="10" t="s">
        <v>12</v>
      </c>
      <c r="E767" s="14"/>
      <c r="F767" s="16" t="s">
        <v>635</v>
      </c>
      <c r="G767" s="13"/>
      <c r="H767" s="18"/>
      <c r="K767" s="5"/>
    </row>
    <row r="768" spans="3:11" x14ac:dyDescent="0.2">
      <c r="C768" s="10" t="s">
        <v>12</v>
      </c>
      <c r="F768" s="16" t="s">
        <v>636</v>
      </c>
    </row>
    <row r="769" spans="3:11" x14ac:dyDescent="0.2">
      <c r="C769" s="10" t="s">
        <v>12</v>
      </c>
      <c r="F769" s="16" t="s">
        <v>710</v>
      </c>
    </row>
    <row r="770" spans="3:11" x14ac:dyDescent="0.2">
      <c r="C770" s="10" t="s">
        <v>12</v>
      </c>
      <c r="F770" s="16" t="s">
        <v>637</v>
      </c>
      <c r="G770" s="13"/>
      <c r="H770" s="18"/>
      <c r="K770" s="5"/>
    </row>
    <row r="771" spans="3:11" x14ac:dyDescent="0.2">
      <c r="C771" s="10" t="s">
        <v>12</v>
      </c>
      <c r="F771" s="16" t="s">
        <v>638</v>
      </c>
    </row>
    <row r="772" spans="3:11" x14ac:dyDescent="0.2">
      <c r="C772" s="10" t="s">
        <v>12</v>
      </c>
      <c r="F772" s="16" t="s">
        <v>711</v>
      </c>
    </row>
    <row r="773" spans="3:11" x14ac:dyDescent="0.2">
      <c r="C773" s="10" t="s">
        <v>12</v>
      </c>
      <c r="F773" s="16" t="s">
        <v>639</v>
      </c>
      <c r="G773" s="13"/>
      <c r="H773" s="18"/>
      <c r="K773" s="5"/>
    </row>
    <row r="774" spans="3:11" x14ac:dyDescent="0.2">
      <c r="C774" s="10" t="s">
        <v>12</v>
      </c>
      <c r="E774" s="22"/>
      <c r="F774" s="16" t="s">
        <v>640</v>
      </c>
    </row>
    <row r="775" spans="3:11" x14ac:dyDescent="0.2">
      <c r="C775" s="10" t="s">
        <v>12</v>
      </c>
      <c r="E775" s="22"/>
      <c r="F775" s="16" t="s">
        <v>641</v>
      </c>
    </row>
    <row r="776" spans="3:11" x14ac:dyDescent="0.2">
      <c r="C776" s="10" t="s">
        <v>12</v>
      </c>
      <c r="E776" s="14"/>
      <c r="F776" s="16" t="s">
        <v>642</v>
      </c>
      <c r="G776" s="13"/>
      <c r="H776" s="18"/>
      <c r="K776" s="5"/>
    </row>
    <row r="777" spans="3:11" x14ac:dyDescent="0.2">
      <c r="C777" s="10" t="s">
        <v>12</v>
      </c>
      <c r="F777" s="16" t="s">
        <v>643</v>
      </c>
    </row>
    <row r="778" spans="3:11" x14ac:dyDescent="0.2">
      <c r="C778" s="10" t="s">
        <v>12</v>
      </c>
      <c r="F778" s="16" t="s">
        <v>712</v>
      </c>
    </row>
    <row r="779" spans="3:11" x14ac:dyDescent="0.2">
      <c r="C779" s="10" t="s">
        <v>12</v>
      </c>
      <c r="E779" s="14"/>
      <c r="F779" s="16" t="s">
        <v>644</v>
      </c>
      <c r="G779" s="13"/>
      <c r="H779" s="18"/>
      <c r="K779" s="5"/>
    </row>
    <row r="780" spans="3:11" x14ac:dyDescent="0.2">
      <c r="C780" s="10" t="s">
        <v>12</v>
      </c>
      <c r="F780" s="16" t="s">
        <v>645</v>
      </c>
    </row>
    <row r="781" spans="3:11" x14ac:dyDescent="0.2">
      <c r="C781" s="10" t="s">
        <v>12</v>
      </c>
      <c r="F781" s="16" t="s">
        <v>713</v>
      </c>
    </row>
    <row r="782" spans="3:11" x14ac:dyDescent="0.2">
      <c r="C782" s="10" t="s">
        <v>12</v>
      </c>
      <c r="F782" s="16" t="s">
        <v>646</v>
      </c>
      <c r="G782" s="13"/>
      <c r="H782" s="18"/>
      <c r="K782" s="5"/>
    </row>
    <row r="783" spans="3:11" x14ac:dyDescent="0.2">
      <c r="C783" s="10" t="s">
        <v>12</v>
      </c>
      <c r="F783" s="16" t="s">
        <v>647</v>
      </c>
    </row>
    <row r="784" spans="3:11" x14ac:dyDescent="0.2">
      <c r="C784" s="10" t="s">
        <v>12</v>
      </c>
      <c r="F784" s="16" t="s">
        <v>648</v>
      </c>
    </row>
    <row r="785" spans="3:11" x14ac:dyDescent="0.2">
      <c r="C785" s="10" t="s">
        <v>12</v>
      </c>
      <c r="E785" s="22"/>
      <c r="F785" s="16" t="s">
        <v>649</v>
      </c>
      <c r="G785" s="13"/>
      <c r="H785" s="18"/>
      <c r="K785" s="5"/>
    </row>
    <row r="786" spans="3:11" x14ac:dyDescent="0.2">
      <c r="C786" s="10" t="s">
        <v>12</v>
      </c>
      <c r="F786" s="16" t="s">
        <v>650</v>
      </c>
    </row>
    <row r="787" spans="3:11" x14ac:dyDescent="0.2">
      <c r="C787" s="10" t="s">
        <v>12</v>
      </c>
      <c r="F787" s="16" t="s">
        <v>651</v>
      </c>
    </row>
    <row r="788" spans="3:11" x14ac:dyDescent="0.2">
      <c r="C788" s="10" t="s">
        <v>12</v>
      </c>
      <c r="F788" s="16" t="s">
        <v>652</v>
      </c>
      <c r="G788" s="13"/>
      <c r="H788" s="18"/>
      <c r="K788" s="5"/>
    </row>
    <row r="789" spans="3:11" x14ac:dyDescent="0.2">
      <c r="C789" s="10" t="s">
        <v>12</v>
      </c>
      <c r="E789" s="22"/>
      <c r="F789" s="16" t="s">
        <v>653</v>
      </c>
    </row>
    <row r="790" spans="3:11" x14ac:dyDescent="0.2">
      <c r="C790" s="10" t="s">
        <v>12</v>
      </c>
      <c r="F790" s="16" t="s">
        <v>654</v>
      </c>
    </row>
    <row r="791" spans="3:11" x14ac:dyDescent="0.2">
      <c r="C791" s="10" t="s">
        <v>12</v>
      </c>
      <c r="E791" s="14"/>
      <c r="F791" s="16" t="s">
        <v>655</v>
      </c>
      <c r="G791" s="13"/>
      <c r="H791" s="18"/>
      <c r="K791" s="5"/>
    </row>
    <row r="792" spans="3:11" x14ac:dyDescent="0.2">
      <c r="C792" s="10" t="s">
        <v>12</v>
      </c>
      <c r="F792" s="16" t="s">
        <v>656</v>
      </c>
    </row>
    <row r="793" spans="3:11" x14ac:dyDescent="0.2">
      <c r="C793" s="10" t="s">
        <v>12</v>
      </c>
      <c r="F793" s="16" t="s">
        <v>657</v>
      </c>
    </row>
    <row r="794" spans="3:11" x14ac:dyDescent="0.2">
      <c r="C794" s="10" t="s">
        <v>12</v>
      </c>
      <c r="F794" s="16" t="s">
        <v>658</v>
      </c>
      <c r="G794" s="13"/>
      <c r="H794" s="18"/>
      <c r="K794" s="5"/>
    </row>
    <row r="795" spans="3:11" x14ac:dyDescent="0.2">
      <c r="C795" s="10" t="s">
        <v>12</v>
      </c>
      <c r="F795" s="16" t="s">
        <v>659</v>
      </c>
    </row>
    <row r="796" spans="3:11" x14ac:dyDescent="0.2">
      <c r="C796" s="10" t="s">
        <v>12</v>
      </c>
      <c r="F796" s="16" t="s">
        <v>660</v>
      </c>
    </row>
  </sheetData>
  <autoFilter ref="A1:L554" xr:uid="{00000000-0009-0000-0000-000000000000}"/>
  <phoneticPr fontId="1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14A51-CC14-F946-BA50-CDA43BED1F3D}">
  <dimension ref="A1:A33"/>
  <sheetViews>
    <sheetView workbookViewId="0">
      <selection activeCell="A33" sqref="A1:A33"/>
    </sheetView>
  </sheetViews>
  <sheetFormatPr baseColWidth="10" defaultRowHeight="15" x14ac:dyDescent="0.2"/>
  <sheetData>
    <row r="1" spans="1:1" x14ac:dyDescent="0.2">
      <c r="A1" s="16" t="s">
        <v>8</v>
      </c>
    </row>
    <row r="2" spans="1:1" x14ac:dyDescent="0.2">
      <c r="A2" s="16" t="s">
        <v>9</v>
      </c>
    </row>
    <row r="3" spans="1:1" x14ac:dyDescent="0.2">
      <c r="A3" s="16" t="s">
        <v>96</v>
      </c>
    </row>
    <row r="4" spans="1:1" x14ac:dyDescent="0.2">
      <c r="A4" s="16" t="s">
        <v>635</v>
      </c>
    </row>
    <row r="5" spans="1:1" x14ac:dyDescent="0.2">
      <c r="A5" s="16" t="s">
        <v>636</v>
      </c>
    </row>
    <row r="6" spans="1:1" x14ac:dyDescent="0.2">
      <c r="A6" s="16" t="s">
        <v>710</v>
      </c>
    </row>
    <row r="7" spans="1:1" x14ac:dyDescent="0.2">
      <c r="A7" s="16" t="s">
        <v>637</v>
      </c>
    </row>
    <row r="8" spans="1:1" x14ac:dyDescent="0.2">
      <c r="A8" s="16" t="s">
        <v>638</v>
      </c>
    </row>
    <row r="9" spans="1:1" x14ac:dyDescent="0.2">
      <c r="A9" s="16" t="s">
        <v>711</v>
      </c>
    </row>
    <row r="10" spans="1:1" x14ac:dyDescent="0.2">
      <c r="A10" s="16" t="s">
        <v>639</v>
      </c>
    </row>
    <row r="11" spans="1:1" x14ac:dyDescent="0.2">
      <c r="A11" s="16" t="s">
        <v>640</v>
      </c>
    </row>
    <row r="12" spans="1:1" x14ac:dyDescent="0.2">
      <c r="A12" s="16" t="s">
        <v>641</v>
      </c>
    </row>
    <row r="13" spans="1:1" x14ac:dyDescent="0.2">
      <c r="A13" s="16" t="s">
        <v>642</v>
      </c>
    </row>
    <row r="14" spans="1:1" x14ac:dyDescent="0.2">
      <c r="A14" s="16" t="s">
        <v>643</v>
      </c>
    </row>
    <row r="15" spans="1:1" x14ac:dyDescent="0.2">
      <c r="A15" s="16" t="s">
        <v>712</v>
      </c>
    </row>
    <row r="16" spans="1:1" x14ac:dyDescent="0.2">
      <c r="A16" s="16" t="s">
        <v>644</v>
      </c>
    </row>
    <row r="17" spans="1:1" x14ac:dyDescent="0.2">
      <c r="A17" s="16" t="s">
        <v>645</v>
      </c>
    </row>
    <row r="18" spans="1:1" x14ac:dyDescent="0.2">
      <c r="A18" s="16" t="s">
        <v>713</v>
      </c>
    </row>
    <row r="19" spans="1:1" x14ac:dyDescent="0.2">
      <c r="A19" s="16" t="s">
        <v>646</v>
      </c>
    </row>
    <row r="20" spans="1:1" x14ac:dyDescent="0.2">
      <c r="A20" s="16" t="s">
        <v>647</v>
      </c>
    </row>
    <row r="21" spans="1:1" x14ac:dyDescent="0.2">
      <c r="A21" s="16" t="s">
        <v>648</v>
      </c>
    </row>
    <row r="22" spans="1:1" x14ac:dyDescent="0.2">
      <c r="A22" s="16" t="s">
        <v>649</v>
      </c>
    </row>
    <row r="23" spans="1:1" x14ac:dyDescent="0.2">
      <c r="A23" s="16" t="s">
        <v>650</v>
      </c>
    </row>
    <row r="24" spans="1:1" x14ac:dyDescent="0.2">
      <c r="A24" s="16" t="s">
        <v>651</v>
      </c>
    </row>
    <row r="25" spans="1:1" x14ac:dyDescent="0.2">
      <c r="A25" s="16" t="s">
        <v>652</v>
      </c>
    </row>
    <row r="26" spans="1:1" x14ac:dyDescent="0.2">
      <c r="A26" s="16" t="s">
        <v>653</v>
      </c>
    </row>
    <row r="27" spans="1:1" x14ac:dyDescent="0.2">
      <c r="A27" s="16" t="s">
        <v>654</v>
      </c>
    </row>
    <row r="28" spans="1:1" x14ac:dyDescent="0.2">
      <c r="A28" s="16" t="s">
        <v>655</v>
      </c>
    </row>
    <row r="29" spans="1:1" x14ac:dyDescent="0.2">
      <c r="A29" s="16" t="s">
        <v>656</v>
      </c>
    </row>
    <row r="30" spans="1:1" x14ac:dyDescent="0.2">
      <c r="A30" s="16" t="s">
        <v>657</v>
      </c>
    </row>
    <row r="31" spans="1:1" x14ac:dyDescent="0.2">
      <c r="A31" s="16" t="s">
        <v>658</v>
      </c>
    </row>
    <row r="32" spans="1:1" x14ac:dyDescent="0.2">
      <c r="A32" s="16" t="s">
        <v>659</v>
      </c>
    </row>
    <row r="33" spans="1:1" x14ac:dyDescent="0.2">
      <c r="A33" s="16" t="s">
        <v>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2023-09-16T09:45:48Z</dcterms:modified>
</cp:coreProperties>
</file>