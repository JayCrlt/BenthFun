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F451E739-B9A0-6F4A-822F-AD02E297016D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5" i="1" l="1"/>
  <c r="H755" i="1"/>
  <c r="H744" i="1"/>
  <c r="G733" i="1"/>
  <c r="H733" i="1"/>
  <c r="H753" i="1"/>
  <c r="G753" i="1"/>
  <c r="G750" i="1"/>
  <c r="H750" i="1"/>
  <c r="H748" i="1"/>
  <c r="G748" i="1"/>
  <c r="H746" i="1"/>
  <c r="G746" i="1"/>
  <c r="G741" i="1"/>
  <c r="G744" i="1"/>
  <c r="H741" i="1"/>
  <c r="G738" i="1"/>
  <c r="H738" i="1"/>
  <c r="G735" i="1"/>
  <c r="H735" i="1"/>
  <c r="G730" i="1"/>
  <c r="H730" i="1"/>
  <c r="H724" i="1"/>
  <c r="G724" i="1"/>
  <c r="H727" i="1"/>
  <c r="G727" i="1"/>
  <c r="G719" i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K753" i="1" l="1"/>
  <c r="K750" i="1"/>
  <c r="K748" i="1"/>
  <c r="J730" i="1"/>
  <c r="K730" i="1" s="1"/>
  <c r="J701" i="1"/>
  <c r="K701" i="1" s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55" i="1" l="1"/>
  <c r="K738" i="1"/>
  <c r="K735" i="1"/>
  <c r="K746" i="1"/>
  <c r="K741" i="1"/>
  <c r="K744" i="1"/>
  <c r="K733" i="1"/>
  <c r="K703" i="1"/>
  <c r="K719" i="1"/>
  <c r="K724" i="1"/>
  <c r="K727" i="1"/>
  <c r="K722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<sst xmlns="http://schemas.openxmlformats.org/spreadsheetml/2006/main" count="2483" uniqueCount="717">
  <si>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</si>
  <si>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</si>
  <si>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</si>
  <si>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</si>
  <si>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</si>
  <si>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</si>
  <si>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</si>
  <si>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</si>
  <si>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</si>
  <si>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</si>
  <si>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</si>
  <si>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</si>
  <si>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</si>
  <si>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</si>
  <si>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</si>
  <si>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</si>
  <si>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</si>
  <si>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</si>
  <si>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</si>
  <si>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</si>
  <si>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</si>
  <si>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</si>
  <si>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</si>
  <si>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</si>
  <si>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</si>
  <si>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</si>
  <si>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</si>
  <si>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</si>
  <si>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</si>
  <si>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</si>
  <si>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</si>
  <si>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</si>
  <si>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</si>
  <si>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</si>
  <si>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</si>
  <si>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</si>
  <si>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</si>
  <si>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</si>
  <si>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</si>
  <si>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</si>
  <si>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</si>
  <si>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</si>
  <si>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</si>
  <si>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</si>
  <si>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</si>
  <si>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</si>
  <si>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</si>
  <si>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</si>
  <si>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</si>
  <si>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</si>
  <si>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</si>
  <si>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</si>
  <si>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</si>
  <si>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</si>
  <si>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</si>
  <si>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</si>
  <si>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</si>
  <si>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</si>
  <si>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</si>
  <si>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</si>
  <si>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</si>
  <si>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</si>
  <si>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</si>
  <si>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</si>
  <si>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</si>
  <si>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</si>
  <si>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</si>
  <si>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</si>
  <si>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</si>
  <si>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</si>
  <si>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</si>
  <si>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</si>
  <si>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</si>
  <si>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</si>
  <si>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</si>
  <si>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</si>
  <si>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</si>
  <si>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</si>
  <si>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</si>
  <si>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</si>
  <si>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</si>
  <si>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</si>
  <si>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</si>
  <si>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</si>
  <si>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</si>
  <si>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</si>
  <si>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</si>
  <si>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</si>
  <si>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</si>
  <si>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</si>
  <si>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</si>
  <si>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</si>
  <si>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</si>
  <si>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</si>
  <si>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</si>
  <si>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</si>
  <si>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</si>
  <si>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</si>
  <si>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</si>
  <si>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</si>
  <si>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</si>
  <si>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</si>
  <si>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</si>
  <si>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</si>
  <si>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</si>
  <si>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</si>
  <si>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</si>
  <si>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</si>
  <si>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</si>
  <si>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</si>
  <si>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</si>
  <si>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</si>
  <si>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</si>
  <si>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</si>
  <si>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</si>
  <si>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</si>
  <si>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</si>
  <si>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</si>
  <si>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</si>
  <si>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</si>
  <si>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</si>
  <si>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</si>
  <si>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</si>
  <si>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</si>
  <si>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</si>
  <si>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</si>
  <si>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</si>
  <si>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</si>
  <si>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</si>
  <si>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</si>
  <si>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</si>
  <si>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</si>
  <si>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</si>
  <si>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</si>
  <si>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</si>
  <si>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</si>
  <si>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</si>
  <si>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</si>
  <si>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</si>
  <si>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</si>
  <si>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</si>
  <si>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</si>
  <si>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</si>
  <si>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</si>
  <si>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</si>
  <si>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</si>
  <si>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</si>
  <si>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</si>
  <si>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</si>
  <si>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</si>
  <si>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</si>
  <si>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</si>
  <si>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</si>
  <si>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</si>
  <si>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</si>
  <si>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</si>
  <si>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</si>
  <si>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</si>
  <si>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</si>
  <si>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</si>
  <si>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</si>
  <si>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</si>
  <si>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</si>
  <si>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</si>
  <si>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</si>
  <si>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</si>
  <si>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</si>
  <si>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</si>
  <si>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</si>
  <si>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</si>
  <si>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</si>
  <si>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</si>
  <si>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</si>
  <si>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</si>
  <si>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</si>
  <si>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</si>
  <si>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</si>
  <si>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</si>
  <si>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</si>
  <si>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</si>
  <si>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</si>
  <si>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</si>
  <si>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</si>
  <si>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</si>
  <si>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</si>
  <si>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</si>
  <si>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</si>
  <si>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</si>
  <si>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</si>
  <si>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</si>
  <si>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</si>
  <si>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</si>
  <si>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</si>
  <si>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</si>
  <si>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</si>
  <si>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</si>
  <si>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</si>
  <si>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</si>
  <si>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</si>
  <si>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</si>
  <si>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</si>
  <si>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</si>
  <si>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</si>
  <si>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</si>
  <si>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</si>
  <si>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</si>
  <si>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</si>
  <si>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</si>
  <si>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</si>
  <si>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</si>
  <si>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</si>
  <si>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</si>
  <si>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</si>
  <si>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</si>
  <si>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</si>
  <si>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</si>
  <si>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</si>
  <si>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</si>
  <si>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</si>
  <si>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</si>
  <si>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</si>
  <si>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</si>
  <si>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</si>
  <si>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</si>
  <si>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</si>
  <si>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</si>
  <si>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</si>
  <si>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</si>
  <si>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</si>
  <si>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</si>
  <si>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</si>
  <si>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</si>
  <si>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</si>
  <si>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</si>
  <si>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</si>
  <si>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</si>
  <si>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</si>
  <si>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</si>
  <si>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</si>
  <si>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</si>
  <si>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</si>
  <si>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</si>
  <si>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</si>
  <si>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</si>
  <si>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</si>
  <si>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</si>
  <si>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</si>
  <si>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</si>
  <si>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</si>
  <si>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</si>
  <si>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</si>
  <si>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</si>
  <si>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</si>
  <si>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</si>
  <si>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</si>
  <si>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</si>
  <si>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</si>
  <si>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</si>
  <si>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</si>
  <si>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</si>
  <si>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</si>
  <si>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</si>
  <si>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</si>
  <si>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</si>
  <si>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</si>
  <si>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</si>
  <si>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</si>
  <si>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</si>
  <si>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</si>
  <si>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</si>
  <si>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</si>
  <si>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</si>
  <si>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</si>
  <si>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</si>
  <si>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</si>
  <si>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</si>
  <si>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</si>
  <si>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</si>
  <si>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</si>
  <si>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</si>
  <si>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</si>
  <si>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</si>
  <si>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</si>
  <si>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</si>
  <si>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</si>
  <si>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</si>
  <si>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</si>
  <si>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</si>
  <si>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</si>
  <si>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</si>
  <si>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</si>
  <si>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</si>
  <si>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</si>
  <si>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</si>
  <si>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</si>
  <si>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</si>
  <si>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</si>
  <si>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</si>
  <si>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</si>
  <si>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</si>
  <si>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</si>
  <si>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</si>
  <si>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</si>
  <si>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</si>
  <si>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</si>
  <si>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</si>
  <si>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</si>
  <si>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</si>
  <si>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</si>
  <si>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</si>
  <si>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</si>
  <si>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</si>
  <si>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</si>
  <si>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</si>
  <si>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</si>
  <si>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</si>
  <si>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</si>
  <si>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</si>
  <si>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</si>
  <si>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</si>
  <si>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</si>
  <si>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</si>
  <si>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</si>
  <si>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</si>
  <si>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</si>
  <si>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</si>
  <si>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</si>
  <si>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</si>
  <si>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</si>
  <si>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</si>
  <si>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</si>
  <si>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</si>
  <si>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</si>
  <si>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</si>
  <si>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</si>
  <si>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</si>
  <si>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</si>
  <si>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</si>
  <si>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</si>
  <si>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</si>
  <si>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</si>
  <si>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</si>
  <si>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</si>
  <si>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</si>
  <si>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</si>
  <si>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</si>
  <si>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</si>
  <si>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</si>
  <si>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</si>
  <si>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</si>
  <si>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</si>
  <si>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</si>
  <si>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</si>
  <si>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</si>
  <si>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</si>
  <si>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</si>
  <si>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</si>
  <si>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</si>
  <si>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</si>
  <si>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</si>
  <si>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</si>
  <si>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</si>
  <si>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</si>
  <si>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</si>
  <si>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</si>
  <si>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</si>
  <si>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</si>
  <si>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</si>
  <si>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</si>
  <si>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</si>
  <si>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</si>
  <si>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</si>
  <si>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</si>
  <si>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</si>
  <si>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</si>
  <si>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</si>
  <si>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</si>
  <si>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</si>
  <si>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</si>
  <si>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</si>
  <si>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</si>
  <si>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</si>
  <si>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</si>
  <si>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</si>
  <si>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</si>
  <si>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</si>
  <si>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</si>
  <si>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</si>
  <si>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</si>
  <si>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</si>
  <si>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</si>
  <si>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</si>
  <si>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</si>
  <si>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</si>
  <si>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</si>
  <si>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</si>
  <si>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</si>
  <si>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</si>
  <si>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</si>
  <si>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</si>
  <si>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</si>
  <si>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</si>
  <si>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</si>
  <si>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</si>
  <si>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</si>
  <si>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</si>
  <si>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</si>
  <si>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</si>
  <si>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</si>
  <si>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</si>
  <si>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</si>
  <si>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</si>
  <si>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</si>
  <si>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</si>
  <si>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</si>
  <si>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</si>
  <si>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</si>
  <si>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</si>
  <si>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</si>
  <si>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</si>
  <si>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</si>
  <si>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</si>
  <si>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</si>
  <si>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</si>
  <si>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</si>
  <si>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</si>
  <si>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</si>
  <si>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</si>
  <si>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</si>
  <si>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</si>
  <si>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</si>
  <si>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</si>
  <si>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</si>
  <si>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</si>
  <si>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</si>
  <si>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</si>
  <si>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</si>
  <si>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</si>
  <si>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</si>
  <si>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</si>
  <si>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</si>
  <si>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</si>
  <si>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</si>
  <si>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</si>
  <si>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</si>
  <si>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</si>
  <si>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</si>
  <si>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</si>
  <si>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</si>
  <si>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</si>
  <si>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</si>
  <si>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</si>
  <si>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</si>
  <si>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</si>
  <si>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</si>
  <si>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</si>
  <si>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</si>
  <si>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</si>
  <si>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</si>
  <si>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</si>
  <si>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</si>
  <si>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</si>
  <si>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</si>
  <si>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</si>
  <si>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</si>
  <si>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</si>
  <si>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</si>
  <si>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</si>
  <si>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</si>
  <si>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</si>
  <si>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</si>
  <si>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</si>
  <si>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</si>
  <si>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</si>
  <si>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</si>
  <si>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</si>
  <si>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</si>
  <si>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</si>
  <si>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</si>
  <si>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</si>
  <si>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</si>
  <si>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</si>
  <si>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</si>
  <si>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</si>
  <si>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</si>
  <si>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</si>
  <si>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</si>
  <si>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</si>
  <si>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</si>
  <si>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</si>
  <si>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</si>
  <si>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</si>
  <si>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</si>
  <si>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</si>
  <si>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</si>
  <si>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</si>
  <si>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</si>
  <si>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</si>
  <si>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</si>
  <si>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</si>
  <si>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</si>
  <si>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</si>
  <si>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</si>
  <si>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</si>
  <si>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</si>
  <si>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</si>
  <si>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</si>
  <si>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</si>
  <si>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</si>
  <si>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</si>
  <si>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</si>
  <si>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</si>
  <si>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</si>
  <si>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</si>
  <si>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</si>
  <si>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</si>
  <si>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</si>
  <si>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</si>
  <si>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</si>
  <si>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</si>
  <si>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</si>
  <si>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</si>
  <si>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</si>
  <si>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</si>
  <si>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</si>
  <si>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</si>
  <si>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</si>
  <si>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</si>
  <si>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</si>
  <si>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</si>
  <si>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</si>
  <si>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</si>
  <si>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</si>
  <si>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</si>
  <si>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</si>
  <si>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</si>
  <si>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</si>
  <si>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</si>
  <si>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</si>
  <si>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</si>
  <si>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</si>
  <si>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</si>
  <si>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</si>
  <si>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</si>
  <si>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</si>
  <si>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</si>
  <si>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</si>
  <si>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</si>
  <si>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</si>
  <si>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</si>
  <si>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</si>
  <si>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</si>
  <si>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</si>
  <si>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</si>
  <si>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</si>
  <si>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</si>
  <si>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</si>
  <si>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</si>
  <si>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</si>
  <si>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</si>
  <si>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</si>
  <si>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</si>
  <si>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</si>
  <si>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</si>
  <si>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</si>
  <si>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</si>
  <si>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</si>
  <si>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</si>
  <si>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</si>
  <si>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</si>
  <si>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</si>
  <si>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</si>
  <si>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</si>
  <si>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</si>
  <si>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</si>
  <si>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</si>
  <si>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</si>
  <si>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</si>
  <si>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</si>
  <si>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</si>
  <si>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</si>
  <si>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</si>
  <si>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</si>
  <si>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</si>
  <si>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</si>
  <si>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</si>
  <si>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</si>
  <si>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</si>
  <si>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</si>
  <si>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</si>
  <si>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</si>
  <si>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</si>
  <si>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</si>
  <si>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</si>
  <si>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</si>
  <si>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</si>
  <si>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</si>
  <si>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</si>
  <si>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</si>
  <si>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</si>
  <si>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</si>
  <si>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</si>
  <si>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</si>
  <si>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</si>
  <si>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</si>
  <si>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</si>
  <si>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</si>
  <si>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</si>
  <si>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</si>
  <si>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</si>
  <si>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</si>
  <si>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</si>
  <si>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</si>
  <si>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</si>
  <si>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</si>
  <si>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</si>
  <si>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</si>
  <si>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</si>
  <si>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</si>
  <si>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</si>
  <si>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</si>
  <si>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</si>
  <si>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</si>
  <si>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</si>
  <si>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</si>
  <si>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</si>
  <si>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</si>
  <si>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</si>
  <si>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</si>
  <si>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</si>
  <si>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</si>
  <si>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</si>
  <si>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</si>
  <si>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</si>
  <si>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</si>
  <si>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</si>
  <si>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</si>
  <si>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</si>
  <si>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</si>
  <si>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</si>
  <si>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</si>
  <si>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</si>
  <si>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</si>
  <si>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</si>
  <si>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</si>
  <si>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</si>
  <si>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</si>
  <si>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</si>
  <si>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</si>
  <si>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</si>
  <si>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</si>
  <si>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</si>
  <si>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</si>
  <si>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</si>
  <si>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</si>
  <si>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</si>
  <si>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</si>
  <si>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</si>
  <si>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</si>
  <si>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</si>
  <si>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</si>
  <si>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</si>
  <si>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</si>
  <si>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</si>
  <si>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</si>
  <si>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</si>
  <si>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</si>
  <si>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</si>
  <si>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</si>
  <si>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</si>
  <si>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</si>
  <si>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</si>
  <si>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Tn2_t1_LOW_blank_01a</t>
  </si>
  <si>
    <t>Tn2_t1_LOW_blank_01b</t>
  </si>
  <si>
    <t>Tn2_t1_LOW_tile_04a</t>
  </si>
  <si>
    <t>Tn2_t1_LOW_tile_04b</t>
  </si>
  <si>
    <t>Tn2_t1_LOW_tile_05a</t>
  </si>
  <si>
    <t>Tn2_t1_LOW_tile_05b</t>
  </si>
  <si>
    <t>Tn2_t1_LOW_tile_05c</t>
  </si>
  <si>
    <t>Tn2_t1_LOW_tile_06a</t>
  </si>
  <si>
    <t>Tn2_t1_LOW_tile_06b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</si>
  <si>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</si>
  <si>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</si>
  <si>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</si>
  <si>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</si>
  <si>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</si>
  <si>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</si>
  <si>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</si>
  <si>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</si>
  <si>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</si>
  <si>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</si>
  <si>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</si>
  <si>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</si>
  <si>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</si>
  <si>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</si>
  <si>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</si>
  <si>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</si>
  <si>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</si>
  <si>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</si>
  <si>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</si>
  <si>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</si>
  <si>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</si>
  <si>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</si>
  <si>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</si>
  <si>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</si>
  <si>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</si>
  <si>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</si>
  <si>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</si>
  <si>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</si>
  <si>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</si>
  <si>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</si>
  <si>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</si>
  <si>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Tn2_t0_AMB_blank_02c</t>
  </si>
  <si>
    <t>Tn2_t1_AMB_tile_01c</t>
  </si>
  <si>
    <t>Tn2_t0_AMB_blank_01d</t>
  </si>
  <si>
    <t>Tn2_t1_AMB_tile_06d</t>
  </si>
  <si>
    <t>Tn2_t1_AMB_tile_06e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</si>
</sst>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1"/>
  <sheetViews>
    <sheetView tabSelected="1" zoomScale="90" zoomScaleNormal="73" workbookViewId="0">
      <pane ySplit="1" topLeftCell="A723" activePane="bottomLeft" state="frozen"/>
      <selection pane="bottomLeft" activeCell="F747" sqref="F74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G701+$J$701</f>
        <v>2226.44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E703" s="14">
        <v>2715.38</v>
      </c>
      <c r="F703" s="16" t="s">
        <v>684</v>
      </c>
      <c r="G703" s="13">
        <f>AVERAGE(E704,E705)</f>
        <v>2612.2950000000001</v>
      </c>
      <c r="H703" s="18">
        <f>STDEV(E704,E705)</f>
        <v>4.4477016536633585</v>
      </c>
      <c r="K703" s="5">
        <f>G703+$J$701</f>
        <v>2603.6200000000003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51.35</v>
      </c>
      <c r="E704" s="15">
        <v>2609.15</v>
      </c>
      <c r="F704" s="16" t="s">
        <v>704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51.27</v>
      </c>
      <c r="E705" s="15">
        <v>2615.44</v>
      </c>
      <c r="F705" s="16" t="s">
        <v>714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E706" s="5">
        <v>2589.64</v>
      </c>
      <c r="F706" s="16" t="s">
        <v>685</v>
      </c>
      <c r="G706" s="13">
        <f>AVERAGE(E706,E708)</f>
        <v>2588.8649999999998</v>
      </c>
      <c r="H706" s="18">
        <f>STDEV(E706,E708)</f>
        <v>1.0960155108389558</v>
      </c>
      <c r="K706" s="5">
        <f>G706+$J$701</f>
        <v>2580.19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4">
        <v>2501.0700000000002</v>
      </c>
      <c r="F707" s="16" t="s">
        <v>686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>
        <v>2588.09</v>
      </c>
      <c r="F708" s="16" t="s">
        <v>712</v>
      </c>
    </row>
    <row r="709" spans="1:11" x14ac:dyDescent="0.2">
      <c r="A709" s="15" t="s">
        <v>11</v>
      </c>
      <c r="B709" s="31">
        <v>45184</v>
      </c>
      <c r="C709" s="10" t="s">
        <v>12</v>
      </c>
      <c r="D709" s="5">
        <v>52.15</v>
      </c>
      <c r="E709" s="5">
        <v>2364.96</v>
      </c>
      <c r="F709" s="16" t="s">
        <v>687</v>
      </c>
      <c r="G709" s="13">
        <f>AVERAGE(E709,E711)</f>
        <v>2368.1800000000003</v>
      </c>
      <c r="H709" s="18">
        <f>STDEV(E709,E711)</f>
        <v>4.5537676708414043</v>
      </c>
      <c r="K709" s="5">
        <f>G709+$J$701</f>
        <v>2359.5050000000006</v>
      </c>
    </row>
    <row r="710" spans="1:11" x14ac:dyDescent="0.2">
      <c r="A710" s="15" t="s">
        <v>11</v>
      </c>
      <c r="B710" s="31">
        <v>45184</v>
      </c>
      <c r="C710" s="10" t="s">
        <v>12</v>
      </c>
      <c r="D710" s="5">
        <v>52.69</v>
      </c>
      <c r="E710" s="14">
        <v>2349.0700000000002</v>
      </c>
      <c r="F710" s="16" t="s">
        <v>688</v>
      </c>
    </row>
    <row r="711" spans="1:11" x14ac:dyDescent="0.2">
      <c r="A711" s="15" t="s">
        <v>11</v>
      </c>
      <c r="B711" s="31">
        <v>45184</v>
      </c>
      <c r="C711" s="10" t="s">
        <v>12</v>
      </c>
      <c r="D711" s="5">
        <v>52.12</v>
      </c>
      <c r="E711" s="5">
        <v>2371.4</v>
      </c>
      <c r="F711" s="16" t="s">
        <v>713</v>
      </c>
    </row>
    <row r="712" spans="1:11" x14ac:dyDescent="0.2">
      <c r="A712" s="15" t="s">
        <v>11</v>
      </c>
      <c r="B712" s="31">
        <v>45184</v>
      </c>
      <c r="C712" s="10" t="s">
        <v>12</v>
      </c>
      <c r="D712" s="5">
        <v>51.79</v>
      </c>
      <c r="E712" s="5">
        <v>2489.98</v>
      </c>
      <c r="F712" s="16" t="s">
        <v>689</v>
      </c>
      <c r="G712" s="13">
        <f>AVERAGE(E712,E713)</f>
        <v>2491.92</v>
      </c>
      <c r="H712" s="18">
        <f>STDEV(E712,E713)</f>
        <v>2.7435743110038815</v>
      </c>
      <c r="K712" s="5">
        <f>G712+$J$701</f>
        <v>2483.2450000000003</v>
      </c>
    </row>
    <row r="713" spans="1:11" x14ac:dyDescent="0.2">
      <c r="A713" s="15" t="s">
        <v>11</v>
      </c>
      <c r="B713" s="31">
        <v>45184</v>
      </c>
      <c r="C713" s="10" t="s">
        <v>12</v>
      </c>
      <c r="D713" s="5">
        <v>51.94</v>
      </c>
      <c r="E713" s="22">
        <v>2493.86</v>
      </c>
      <c r="F713" s="16" t="s">
        <v>705</v>
      </c>
    </row>
    <row r="714" spans="1:11" x14ac:dyDescent="0.2">
      <c r="A714" s="15" t="s">
        <v>11</v>
      </c>
      <c r="B714" s="31">
        <v>45184</v>
      </c>
      <c r="C714" s="10" t="s">
        <v>12</v>
      </c>
      <c r="D714" s="5">
        <v>50.71</v>
      </c>
      <c r="E714" s="14">
        <v>2435.52</v>
      </c>
      <c r="F714" s="16" t="s">
        <v>690</v>
      </c>
      <c r="G714" s="13">
        <f>AVERAGE(E715,E716)</f>
        <v>2460.7049999999999</v>
      </c>
      <c r="H714" s="18">
        <f>STDEV(E715,E716)</f>
        <v>4.1082903986938026</v>
      </c>
      <c r="K714" s="5">
        <f>G714+$J$701</f>
        <v>2452.0300000000002</v>
      </c>
    </row>
    <row r="715" spans="1:11" x14ac:dyDescent="0.2">
      <c r="A715" s="15" t="s">
        <v>11</v>
      </c>
      <c r="B715" s="31">
        <v>45184</v>
      </c>
      <c r="C715" s="10" t="s">
        <v>12</v>
      </c>
      <c r="D715" s="5">
        <v>48.64</v>
      </c>
      <c r="E715" s="5">
        <v>2463.61</v>
      </c>
      <c r="F715" s="16" t="s">
        <v>691</v>
      </c>
    </row>
    <row r="716" spans="1:11" x14ac:dyDescent="0.2">
      <c r="A716" s="15" t="s">
        <v>11</v>
      </c>
      <c r="B716" s="31">
        <v>45184</v>
      </c>
      <c r="C716" s="10" t="s">
        <v>12</v>
      </c>
      <c r="D716" s="5">
        <v>52.78</v>
      </c>
      <c r="E716" s="5">
        <v>2457.8000000000002</v>
      </c>
      <c r="F716" s="16" t="s">
        <v>692</v>
      </c>
    </row>
    <row r="717" spans="1:11" x14ac:dyDescent="0.2">
      <c r="A717" s="15" t="s">
        <v>11</v>
      </c>
      <c r="B717" s="31">
        <v>45184</v>
      </c>
      <c r="C717" s="10" t="s">
        <v>12</v>
      </c>
      <c r="D717" s="5">
        <v>48.85</v>
      </c>
      <c r="E717" s="5">
        <v>2611.8200000000002</v>
      </c>
      <c r="F717" s="16" t="s">
        <v>693</v>
      </c>
      <c r="G717" s="13">
        <f>AVERAGE(E717,E718)</f>
        <v>2610.1350000000002</v>
      </c>
      <c r="H717" s="18">
        <f>STDEV(E717,E718)</f>
        <v>2.3829498525989097</v>
      </c>
      <c r="K717" s="5">
        <f>G717+$J$701</f>
        <v>2601.4600000000005</v>
      </c>
    </row>
    <row r="718" spans="1:11" x14ac:dyDescent="0.2">
      <c r="A718" s="15" t="s">
        <v>11</v>
      </c>
      <c r="B718" s="31">
        <v>45184</v>
      </c>
      <c r="C718" s="10" t="s">
        <v>12</v>
      </c>
      <c r="D718" s="5">
        <v>49.36</v>
      </c>
      <c r="E718" s="22">
        <v>2608.4499999999998</v>
      </c>
      <c r="F718" s="16" t="s">
        <v>694</v>
      </c>
    </row>
    <row r="719" spans="1:11" x14ac:dyDescent="0.2">
      <c r="A719" s="15" t="s">
        <v>11</v>
      </c>
      <c r="B719" s="31">
        <v>45184</v>
      </c>
      <c r="C719" s="10" t="s">
        <v>12</v>
      </c>
      <c r="D719" s="5">
        <v>51.24</v>
      </c>
      <c r="E719" s="14">
        <v>2371.92</v>
      </c>
      <c r="F719" s="16" t="s">
        <v>695</v>
      </c>
      <c r="G719" s="13">
        <f>AVERAGE(E721,E720)</f>
        <v>2394.6499999999996</v>
      </c>
      <c r="H719" s="18">
        <f>STDEV(E721,E720)</f>
        <v>0.96166522241379471</v>
      </c>
      <c r="K719" s="5">
        <f>G719+$J$701</f>
        <v>2385.9749999999999</v>
      </c>
    </row>
    <row r="720" spans="1:11" x14ac:dyDescent="0.2">
      <c r="A720" s="15" t="s">
        <v>11</v>
      </c>
      <c r="B720" s="31">
        <v>45184</v>
      </c>
      <c r="C720" s="10" t="s">
        <v>12</v>
      </c>
      <c r="D720" s="5">
        <v>49.82</v>
      </c>
      <c r="E720" s="22">
        <v>2393.9699999999998</v>
      </c>
      <c r="F720" s="16" t="s">
        <v>696</v>
      </c>
    </row>
    <row r="721" spans="1:12" x14ac:dyDescent="0.2">
      <c r="A721" s="15" t="s">
        <v>11</v>
      </c>
      <c r="B721" s="31">
        <v>45184</v>
      </c>
      <c r="C721" s="10" t="s">
        <v>12</v>
      </c>
      <c r="D721" s="5">
        <v>52.06</v>
      </c>
      <c r="E721" s="5">
        <v>2395.33</v>
      </c>
      <c r="F721" s="16" t="s">
        <v>697</v>
      </c>
    </row>
    <row r="722" spans="1:12" x14ac:dyDescent="0.2">
      <c r="A722" s="15" t="s">
        <v>11</v>
      </c>
      <c r="B722" s="31">
        <v>45184</v>
      </c>
      <c r="C722" s="10" t="s">
        <v>12</v>
      </c>
      <c r="D722" s="5">
        <v>48.67</v>
      </c>
      <c r="E722" s="5">
        <v>2488.85</v>
      </c>
      <c r="F722" s="16" t="s">
        <v>698</v>
      </c>
      <c r="G722" s="13">
        <f>AVERAGE(E722,E723)</f>
        <v>2486.7849999999999</v>
      </c>
      <c r="H722" s="18">
        <f>STDEV(E722,E723)</f>
        <v>2.9203510063005185</v>
      </c>
      <c r="K722" s="5">
        <f>G722+$J$701</f>
        <v>2478.11</v>
      </c>
    </row>
    <row r="723" spans="1:12" x14ac:dyDescent="0.2">
      <c r="A723" s="15" t="s">
        <v>11</v>
      </c>
      <c r="B723" s="31">
        <v>45184</v>
      </c>
      <c r="C723" s="10" t="s">
        <v>12</v>
      </c>
      <c r="D723" s="5">
        <v>52.42</v>
      </c>
      <c r="E723" s="22">
        <v>2484.7199999999998</v>
      </c>
      <c r="F723" s="16" t="s">
        <v>699</v>
      </c>
    </row>
    <row r="724" spans="1:12" x14ac:dyDescent="0.2">
      <c r="A724" s="15" t="s">
        <v>11</v>
      </c>
      <c r="B724" s="31">
        <v>45185</v>
      </c>
      <c r="C724" s="10" t="s">
        <v>12</v>
      </c>
      <c r="D724" s="5">
        <v>51.31</v>
      </c>
      <c r="E724" s="14">
        <v>2407.86</v>
      </c>
      <c r="F724" s="16" t="s">
        <v>700</v>
      </c>
      <c r="G724" s="13">
        <f>AVERAGE(E725:E726)</f>
        <v>2476.2849999999999</v>
      </c>
      <c r="H724" s="18">
        <f>STDEV(E725:E726)</f>
        <v>3.6274577874870659</v>
      </c>
      <c r="K724" s="5">
        <f>G724+$J$701</f>
        <v>2467.61</v>
      </c>
    </row>
    <row r="725" spans="1:12" x14ac:dyDescent="0.2">
      <c r="A725" s="15" t="s">
        <v>11</v>
      </c>
      <c r="B725" s="31">
        <v>45185</v>
      </c>
      <c r="C725" s="10" t="s">
        <v>12</v>
      </c>
      <c r="D725" s="5">
        <v>50.51</v>
      </c>
      <c r="E725" s="5">
        <v>2473.7199999999998</v>
      </c>
      <c r="F725" s="16" t="s">
        <v>715</v>
      </c>
    </row>
    <row r="726" spans="1:12" x14ac:dyDescent="0.2">
      <c r="A726" s="15" t="s">
        <v>11</v>
      </c>
      <c r="B726" s="31">
        <v>45185</v>
      </c>
      <c r="C726" s="10" t="s">
        <v>12</v>
      </c>
      <c r="D726" s="5">
        <v>47.98</v>
      </c>
      <c r="E726" s="5">
        <v>2478.85</v>
      </c>
      <c r="F726" s="16" t="s">
        <v>716</v>
      </c>
    </row>
    <row r="727" spans="1:12" x14ac:dyDescent="0.2">
      <c r="A727" s="15" t="s">
        <v>11</v>
      </c>
      <c r="B727" s="31">
        <v>45185</v>
      </c>
      <c r="C727" s="10" t="s">
        <v>12</v>
      </c>
      <c r="D727" s="5">
        <v>50.07</v>
      </c>
      <c r="E727" s="5">
        <v>2599.69</v>
      </c>
      <c r="F727" s="16" t="s">
        <v>701</v>
      </c>
      <c r="G727" s="13">
        <f>AVERAGE(E727,E729)</f>
        <v>2598.8000000000002</v>
      </c>
      <c r="H727" s="18">
        <f>STDEV(E727,E729)</f>
        <v>1.2586500705121961</v>
      </c>
      <c r="K727" s="5">
        <f>G727+$J$701</f>
        <v>2590.1250000000005</v>
      </c>
    </row>
    <row r="728" spans="1:12" x14ac:dyDescent="0.2">
      <c r="A728" s="15" t="s">
        <v>11</v>
      </c>
      <c r="B728" s="31">
        <v>45185</v>
      </c>
      <c r="C728" s="10" t="s">
        <v>12</v>
      </c>
      <c r="D728" s="5">
        <v>48.69</v>
      </c>
      <c r="E728" s="14">
        <v>2614.36</v>
      </c>
      <c r="F728" s="16" t="s">
        <v>702</v>
      </c>
    </row>
    <row r="729" spans="1:12" x14ac:dyDescent="0.2">
      <c r="A729" s="15" t="s">
        <v>11</v>
      </c>
      <c r="B729" s="31">
        <v>45185</v>
      </c>
      <c r="C729" s="10" t="s">
        <v>12</v>
      </c>
      <c r="D729" s="5">
        <v>49.71</v>
      </c>
      <c r="E729" s="5">
        <v>2597.91</v>
      </c>
      <c r="F729" s="16" t="s">
        <v>703</v>
      </c>
    </row>
    <row r="730" spans="1:12" x14ac:dyDescent="0.2">
      <c r="A730" s="15" t="s">
        <v>11</v>
      </c>
      <c r="B730" s="31">
        <v>45187</v>
      </c>
      <c r="C730" s="10" t="s">
        <v>12</v>
      </c>
      <c r="D730" s="5">
        <v>51.06</v>
      </c>
      <c r="E730" s="5">
        <v>2269.87</v>
      </c>
      <c r="F730" s="16" t="s">
        <v>8</v>
      </c>
      <c r="G730" s="13">
        <f>AVERAGE(E731:E732)</f>
        <v>2293.1800000000003</v>
      </c>
      <c r="H730" s="18">
        <f>STDEV(E731:E732)</f>
        <v>0.21213203435577133</v>
      </c>
      <c r="I730" s="3">
        <v>2226.44</v>
      </c>
      <c r="J730" s="4">
        <f>I730-G730</f>
        <v>-66.740000000000236</v>
      </c>
      <c r="K730" s="5">
        <f>G730+$J$730</f>
        <v>2226.44</v>
      </c>
      <c r="L730" s="2" t="s">
        <v>94</v>
      </c>
    </row>
    <row r="731" spans="1:12" x14ac:dyDescent="0.2">
      <c r="A731" s="15" t="s">
        <v>11</v>
      </c>
      <c r="B731" s="31">
        <v>45187</v>
      </c>
      <c r="C731" s="10" t="s">
        <v>12</v>
      </c>
      <c r="D731" s="5">
        <v>50.82</v>
      </c>
      <c r="E731" s="5">
        <v>2293.33</v>
      </c>
      <c r="F731" s="16" t="s">
        <v>9</v>
      </c>
    </row>
    <row r="732" spans="1:12" x14ac:dyDescent="0.2">
      <c r="A732" s="15" t="s">
        <v>11</v>
      </c>
      <c r="B732" s="31">
        <v>45187</v>
      </c>
      <c r="C732" s="10" t="s">
        <v>12</v>
      </c>
      <c r="D732" s="5">
        <v>51.18</v>
      </c>
      <c r="E732" s="5">
        <v>2293.0300000000002</v>
      </c>
      <c r="F732" s="16" t="s">
        <v>96</v>
      </c>
    </row>
    <row r="733" spans="1:12" x14ac:dyDescent="0.2">
      <c r="A733" s="15" t="s">
        <v>11</v>
      </c>
      <c r="B733" s="31">
        <v>45187</v>
      </c>
      <c r="C733" s="10" t="s">
        <v>12</v>
      </c>
      <c r="D733" s="5">
        <v>50.93</v>
      </c>
      <c r="E733" s="22">
        <v>2609.02</v>
      </c>
      <c r="F733" s="16" t="s">
        <v>661</v>
      </c>
      <c r="G733" s="13">
        <f>AVERAGE(E733,E734)</f>
        <v>2608.71</v>
      </c>
      <c r="H733" s="18">
        <f>STDEV(E734,E733)</f>
        <v>0.43840620433558231</v>
      </c>
      <c r="K733" s="5">
        <f>G733+$J$730</f>
        <v>2541.9699999999998</v>
      </c>
    </row>
    <row r="734" spans="1:12" x14ac:dyDescent="0.2">
      <c r="A734" s="15" t="s">
        <v>11</v>
      </c>
      <c r="B734" s="31">
        <v>45187</v>
      </c>
      <c r="C734" s="10" t="s">
        <v>12</v>
      </c>
      <c r="D734" s="5">
        <v>51.44</v>
      </c>
      <c r="E734" s="5">
        <v>2608.4</v>
      </c>
      <c r="F734" s="16" t="s">
        <v>662</v>
      </c>
    </row>
    <row r="735" spans="1:12" x14ac:dyDescent="0.2">
      <c r="A735" s="15" t="s">
        <v>11</v>
      </c>
      <c r="B735" s="31">
        <v>45187</v>
      </c>
      <c r="C735" s="10" t="s">
        <v>12</v>
      </c>
      <c r="D735" s="5">
        <v>50.48</v>
      </c>
      <c r="E735" s="5">
        <v>2590.27</v>
      </c>
      <c r="F735" s="16" t="s">
        <v>663</v>
      </c>
      <c r="G735" s="13">
        <f>AVERAGE(E735,E737)</f>
        <v>2588.73</v>
      </c>
      <c r="H735" s="18">
        <f>STDEV(E735,E737)</f>
        <v>2.1778888860545149</v>
      </c>
      <c r="K735" s="5">
        <f>G735+$J$730</f>
        <v>2521.9899999999998</v>
      </c>
    </row>
    <row r="736" spans="1:12" x14ac:dyDescent="0.2">
      <c r="A736" s="15" t="s">
        <v>11</v>
      </c>
      <c r="B736" s="31">
        <v>45187</v>
      </c>
      <c r="C736" s="10" t="s">
        <v>12</v>
      </c>
      <c r="D736" s="5">
        <v>49.27</v>
      </c>
      <c r="E736" s="14">
        <v>2610.87</v>
      </c>
      <c r="F736" s="16" t="s">
        <v>664</v>
      </c>
    </row>
    <row r="737" spans="1:11" x14ac:dyDescent="0.2">
      <c r="A737" s="15" t="s">
        <v>11</v>
      </c>
      <c r="B737" s="31">
        <v>45187</v>
      </c>
      <c r="C737" s="10" t="s">
        <v>12</v>
      </c>
      <c r="D737" s="5">
        <v>50.94</v>
      </c>
      <c r="E737" s="5">
        <v>2587.19</v>
      </c>
      <c r="F737" s="16" t="s">
        <v>665</v>
      </c>
    </row>
    <row r="738" spans="1:11" x14ac:dyDescent="0.2">
      <c r="A738" s="15" t="s">
        <v>11</v>
      </c>
      <c r="B738" s="31">
        <v>45187</v>
      </c>
      <c r="C738" s="10" t="s">
        <v>12</v>
      </c>
      <c r="D738" s="5">
        <v>50.02</v>
      </c>
      <c r="E738" s="14">
        <v>2519.91</v>
      </c>
      <c r="F738" s="16" t="s">
        <v>666</v>
      </c>
      <c r="G738" s="13">
        <f>AVERAGE(E739,E740)</f>
        <v>2490.125</v>
      </c>
      <c r="H738" s="18">
        <f>STDEV(E739,E740)</f>
        <v>1.067731239591841</v>
      </c>
      <c r="K738" s="5">
        <f>G738+$J$730</f>
        <v>2423.3849999999998</v>
      </c>
    </row>
    <row r="739" spans="1:11" x14ac:dyDescent="0.2">
      <c r="A739" s="15" t="s">
        <v>11</v>
      </c>
      <c r="B739" s="31">
        <v>45187</v>
      </c>
      <c r="C739" s="10" t="s">
        <v>12</v>
      </c>
      <c r="D739" s="5">
        <v>49.27</v>
      </c>
      <c r="E739" s="5">
        <v>2490.88</v>
      </c>
      <c r="F739" s="16" t="s">
        <v>667</v>
      </c>
    </row>
    <row r="740" spans="1:11" x14ac:dyDescent="0.2">
      <c r="A740" s="15" t="s">
        <v>11</v>
      </c>
      <c r="B740" s="31">
        <v>45187</v>
      </c>
      <c r="C740" s="10" t="s">
        <v>12</v>
      </c>
      <c r="D740" s="5">
        <v>52.01</v>
      </c>
      <c r="E740" s="5">
        <v>2489.37</v>
      </c>
      <c r="F740" s="16" t="s">
        <v>710</v>
      </c>
    </row>
    <row r="741" spans="1:11" x14ac:dyDescent="0.2">
      <c r="A741" s="15" t="s">
        <v>11</v>
      </c>
      <c r="B741" s="31">
        <v>45187</v>
      </c>
      <c r="C741" s="10" t="s">
        <v>12</v>
      </c>
      <c r="D741" s="5">
        <v>48.71</v>
      </c>
      <c r="E741" s="14">
        <v>2480.14</v>
      </c>
      <c r="F741" s="16" t="s">
        <v>668</v>
      </c>
      <c r="G741" s="13">
        <f>AVERAGE(E742,E743)</f>
        <v>2440.41</v>
      </c>
      <c r="H741" s="18">
        <f>STDEV(E742,E743)</f>
        <v>1.6122034611054699</v>
      </c>
      <c r="K741" s="5">
        <f>G741+$J$730</f>
        <v>2373.6699999999996</v>
      </c>
    </row>
    <row r="742" spans="1:11" x14ac:dyDescent="0.2">
      <c r="A742" s="15" t="s">
        <v>11</v>
      </c>
      <c r="B742" s="31">
        <v>45187</v>
      </c>
      <c r="C742" s="10" t="s">
        <v>12</v>
      </c>
      <c r="D742" s="5">
        <v>51.46</v>
      </c>
      <c r="E742" s="5">
        <v>2439.27</v>
      </c>
      <c r="F742" s="16" t="s">
        <v>669</v>
      </c>
    </row>
    <row r="743" spans="1:11" x14ac:dyDescent="0.2">
      <c r="A743" s="15" t="s">
        <v>11</v>
      </c>
      <c r="B743" s="31">
        <v>45187</v>
      </c>
      <c r="C743" s="10" t="s">
        <v>12</v>
      </c>
      <c r="D743" s="5">
        <v>50.55</v>
      </c>
      <c r="E743" s="5">
        <v>2441.5500000000002</v>
      </c>
      <c r="F743" s="16" t="s">
        <v>711</v>
      </c>
    </row>
    <row r="744" spans="1:11" x14ac:dyDescent="0.2">
      <c r="A744" s="15" t="s">
        <v>11</v>
      </c>
      <c r="B744" s="31">
        <v>45187</v>
      </c>
      <c r="C744" s="10" t="s">
        <v>12</v>
      </c>
      <c r="D744" s="15">
        <v>50.07</v>
      </c>
      <c r="E744" s="5">
        <v>2458.62</v>
      </c>
      <c r="F744" s="16" t="s">
        <v>670</v>
      </c>
      <c r="G744" s="13">
        <f>AVERAGE(E745,E744)</f>
        <v>2456.12</v>
      </c>
      <c r="H744" s="18">
        <f>STDEV(E745,E744)</f>
        <v>3.5355339059327378</v>
      </c>
      <c r="K744" s="5">
        <f>G744+$J$730</f>
        <v>2389.3799999999997</v>
      </c>
    </row>
    <row r="745" spans="1:11" x14ac:dyDescent="0.2">
      <c r="A745" s="15" t="s">
        <v>11</v>
      </c>
      <c r="B745" s="31">
        <v>45187</v>
      </c>
      <c r="C745" s="10" t="s">
        <v>12</v>
      </c>
      <c r="D745" s="5">
        <v>49.38</v>
      </c>
      <c r="E745" s="5">
        <v>2453.62</v>
      </c>
      <c r="F745" s="16" t="s">
        <v>671</v>
      </c>
    </row>
    <row r="746" spans="1:11" x14ac:dyDescent="0.2">
      <c r="A746" s="15" t="s">
        <v>11</v>
      </c>
      <c r="B746" s="31">
        <v>45187</v>
      </c>
      <c r="C746" s="10" t="s">
        <v>12</v>
      </c>
      <c r="D746" s="5">
        <v>51.64</v>
      </c>
      <c r="E746" s="5">
        <v>2614.89</v>
      </c>
      <c r="F746" s="16" t="s">
        <v>672</v>
      </c>
      <c r="G746" s="13">
        <f>AVERAGE(E747,E746)</f>
        <v>2613.9299999999998</v>
      </c>
      <c r="H746" s="18">
        <f>STDEV(E747,E746)</f>
        <v>1.3576450198782226</v>
      </c>
      <c r="K746" s="5">
        <f>G746+$J$730</f>
        <v>2547.1899999999996</v>
      </c>
    </row>
    <row r="747" spans="1:11" x14ac:dyDescent="0.2">
      <c r="A747" s="15" t="s">
        <v>11</v>
      </c>
      <c r="B747" s="31">
        <v>45187</v>
      </c>
      <c r="C747" s="10" t="s">
        <v>12</v>
      </c>
      <c r="D747" s="5">
        <v>52.3</v>
      </c>
      <c r="E747" s="22">
        <v>2612.9699999999998</v>
      </c>
      <c r="F747" s="16" t="s">
        <v>673</v>
      </c>
    </row>
    <row r="748" spans="1:11" x14ac:dyDescent="0.2">
      <c r="A748" s="15" t="s">
        <v>11</v>
      </c>
      <c r="B748" s="31">
        <v>45187</v>
      </c>
      <c r="C748" s="10" t="s">
        <v>12</v>
      </c>
      <c r="D748" s="5">
        <v>50.69</v>
      </c>
      <c r="E748" s="22">
        <v>2492.29</v>
      </c>
      <c r="F748" s="16" t="s">
        <v>674</v>
      </c>
      <c r="G748" s="13">
        <f>AVERAGE(E749,E748)</f>
        <v>2492.9899999999998</v>
      </c>
      <c r="H748" s="18">
        <f>STDEV(E749,E748)</f>
        <v>0.98994949366123086</v>
      </c>
      <c r="K748" s="5">
        <f>G748+$J$730</f>
        <v>2426.2499999999995</v>
      </c>
    </row>
    <row r="749" spans="1:11" x14ac:dyDescent="0.2">
      <c r="A749" s="15" t="s">
        <v>11</v>
      </c>
      <c r="B749" s="31">
        <v>45187</v>
      </c>
      <c r="C749" s="10" t="s">
        <v>12</v>
      </c>
      <c r="D749" s="5">
        <v>49.9</v>
      </c>
      <c r="E749" s="5">
        <v>2493.69</v>
      </c>
      <c r="F749" s="16" t="s">
        <v>675</v>
      </c>
    </row>
    <row r="750" spans="1:11" x14ac:dyDescent="0.2">
      <c r="A750" s="15" t="s">
        <v>11</v>
      </c>
      <c r="B750" s="31">
        <v>45187</v>
      </c>
      <c r="C750" s="10" t="s">
        <v>12</v>
      </c>
      <c r="D750" s="5">
        <v>52.89</v>
      </c>
      <c r="E750" s="14">
        <v>2493.7199999999998</v>
      </c>
      <c r="F750" s="16" t="s">
        <v>676</v>
      </c>
      <c r="G750" s="13">
        <f>AVERAGE(E751,E752)</f>
        <v>2507.56</v>
      </c>
      <c r="H750" s="18">
        <f>STDEV(E751,E752)</f>
        <v>1.9940411229458583</v>
      </c>
      <c r="K750" s="5">
        <f>G750+$J$730</f>
        <v>2440.8199999999997</v>
      </c>
    </row>
    <row r="751" spans="1:11" x14ac:dyDescent="0.2">
      <c r="A751" s="15" t="s">
        <v>11</v>
      </c>
      <c r="B751" s="31">
        <v>45187</v>
      </c>
      <c r="C751" s="10" t="s">
        <v>12</v>
      </c>
      <c r="D751" s="5">
        <v>50.05</v>
      </c>
      <c r="E751" s="22">
        <v>2508.9699999999998</v>
      </c>
      <c r="F751" s="16" t="s">
        <v>677</v>
      </c>
    </row>
    <row r="752" spans="1:11" x14ac:dyDescent="0.2">
      <c r="A752" s="15" t="s">
        <v>11</v>
      </c>
      <c r="B752" s="31">
        <v>45187</v>
      </c>
      <c r="C752" s="10" t="s">
        <v>12</v>
      </c>
      <c r="D752" s="5">
        <v>50.41</v>
      </c>
      <c r="E752" s="22">
        <v>2506.15</v>
      </c>
      <c r="F752" s="16" t="s">
        <v>678</v>
      </c>
    </row>
    <row r="753" spans="1:11" x14ac:dyDescent="0.2">
      <c r="A753" s="15" t="s">
        <v>11</v>
      </c>
      <c r="B753" s="31">
        <v>45187</v>
      </c>
      <c r="C753" s="10" t="s">
        <v>12</v>
      </c>
      <c r="D753" s="5">
        <v>48.81</v>
      </c>
      <c r="E753" s="5">
        <v>2473.63</v>
      </c>
      <c r="F753" s="16" t="s">
        <v>679</v>
      </c>
      <c r="G753" s="13">
        <f>AVERAGE(E754,E753)</f>
        <v>2474.7150000000001</v>
      </c>
      <c r="H753" s="18">
        <f>STDEV(E754,E753)</f>
        <v>1.5344217151748596</v>
      </c>
      <c r="K753" s="5">
        <f>G753+$J$730</f>
        <v>2407.9749999999999</v>
      </c>
    </row>
    <row r="754" spans="1:11" x14ac:dyDescent="0.2">
      <c r="A754" s="15" t="s">
        <v>11</v>
      </c>
      <c r="B754" s="31">
        <v>45187</v>
      </c>
      <c r="C754" s="10" t="s">
        <v>12</v>
      </c>
      <c r="D754" s="5">
        <v>51.69</v>
      </c>
      <c r="E754" s="22">
        <v>2475.8000000000002</v>
      </c>
      <c r="F754" s="16" t="s">
        <v>680</v>
      </c>
    </row>
    <row r="755" spans="1:11" x14ac:dyDescent="0.2">
      <c r="A755" s="15" t="s">
        <v>11</v>
      </c>
      <c r="B755" s="31">
        <v>45187</v>
      </c>
      <c r="C755" s="10" t="s">
        <v>12</v>
      </c>
      <c r="D755" s="5">
        <v>51.7</v>
      </c>
      <c r="E755" s="5">
        <v>2585.2199999999998</v>
      </c>
      <c r="F755" s="16" t="s">
        <v>681</v>
      </c>
      <c r="G755" s="13">
        <f>AVERAGE(E757,E755)</f>
        <v>2587.84</v>
      </c>
      <c r="H755" s="18">
        <f>STDEV(E757,E755)</f>
        <v>3.7052395334176764</v>
      </c>
      <c r="K755" s="5">
        <f>G755+$J$730</f>
        <v>2521.1</v>
      </c>
    </row>
    <row r="756" spans="1:11" x14ac:dyDescent="0.2">
      <c r="A756" s="15" t="s">
        <v>11</v>
      </c>
      <c r="B756" s="31">
        <v>45187</v>
      </c>
      <c r="C756" s="10" t="s">
        <v>12</v>
      </c>
      <c r="D756" s="5">
        <v>49.19</v>
      </c>
      <c r="E756" s="14">
        <v>2636.55</v>
      </c>
      <c r="F756" s="16" t="s">
        <v>682</v>
      </c>
    </row>
    <row r="757" spans="1:11" x14ac:dyDescent="0.2">
      <c r="A757" s="15" t="s">
        <v>11</v>
      </c>
      <c r="B757" s="31">
        <v>45187</v>
      </c>
      <c r="C757" s="10" t="s">
        <v>12</v>
      </c>
      <c r="D757" s="5">
        <v>50.55</v>
      </c>
      <c r="E757" s="5">
        <v>2590.46</v>
      </c>
      <c r="F757" s="16" t="s">
        <v>683</v>
      </c>
    </row>
    <row r="758" spans="1:11" x14ac:dyDescent="0.2">
      <c r="C758" s="10"/>
      <c r="F758" s="16"/>
    </row>
    <row r="759" spans="1:11" x14ac:dyDescent="0.2">
      <c r="C759" s="10" t="s">
        <v>12</v>
      </c>
      <c r="E759" s="14"/>
      <c r="F759" s="16" t="s">
        <v>8</v>
      </c>
      <c r="G759" s="13"/>
      <c r="H759" s="18"/>
      <c r="I759" s="3"/>
      <c r="J759" s="4"/>
      <c r="K759" s="5"/>
    </row>
    <row r="760" spans="1:11" x14ac:dyDescent="0.2">
      <c r="C760" s="10" t="s">
        <v>12</v>
      </c>
      <c r="F760" s="16" t="s">
        <v>9</v>
      </c>
    </row>
    <row r="761" spans="1:11" x14ac:dyDescent="0.2">
      <c r="C761" s="10" t="s">
        <v>12</v>
      </c>
      <c r="F761" s="16" t="s">
        <v>96</v>
      </c>
    </row>
    <row r="762" spans="1:11" x14ac:dyDescent="0.2">
      <c r="C762" s="10" t="s">
        <v>12</v>
      </c>
      <c r="E762" s="14"/>
      <c r="F762" s="16" t="s">
        <v>635</v>
      </c>
      <c r="G762" s="13"/>
      <c r="H762" s="18"/>
      <c r="K762" s="5"/>
    </row>
    <row r="763" spans="1:11" x14ac:dyDescent="0.2">
      <c r="C763" s="10" t="s">
        <v>12</v>
      </c>
      <c r="F763" s="16" t="s">
        <v>636</v>
      </c>
    </row>
    <row r="764" spans="1:11" x14ac:dyDescent="0.2">
      <c r="C764" s="10" t="s">
        <v>12</v>
      </c>
      <c r="F764" s="16" t="s">
        <v>706</v>
      </c>
    </row>
    <row r="765" spans="1:11" x14ac:dyDescent="0.2">
      <c r="C765" s="10" t="s">
        <v>12</v>
      </c>
      <c r="F765" s="16" t="s">
        <v>637</v>
      </c>
      <c r="G765" s="13"/>
      <c r="H765" s="18"/>
      <c r="K765" s="5"/>
    </row>
    <row r="766" spans="1:11" x14ac:dyDescent="0.2">
      <c r="C766" s="10" t="s">
        <v>12</v>
      </c>
      <c r="F766" s="16" t="s">
        <v>638</v>
      </c>
    </row>
    <row r="767" spans="1:11" x14ac:dyDescent="0.2">
      <c r="C767" s="10" t="s">
        <v>12</v>
      </c>
      <c r="F767" s="16" t="s">
        <v>707</v>
      </c>
    </row>
    <row r="768" spans="1:11" x14ac:dyDescent="0.2">
      <c r="C768" s="10" t="s">
        <v>12</v>
      </c>
      <c r="F768" s="16" t="s">
        <v>639</v>
      </c>
      <c r="G768" s="13"/>
      <c r="H768" s="18"/>
      <c r="K768" s="5"/>
    </row>
    <row r="769" spans="3:11" x14ac:dyDescent="0.2">
      <c r="C769" s="10" t="s">
        <v>12</v>
      </c>
      <c r="E769" s="22"/>
      <c r="F769" s="16" t="s">
        <v>640</v>
      </c>
    </row>
    <row r="770" spans="3:11" x14ac:dyDescent="0.2">
      <c r="C770" s="10" t="s">
        <v>12</v>
      </c>
      <c r="E770" s="22"/>
      <c r="F770" s="16" t="s">
        <v>641</v>
      </c>
    </row>
    <row r="771" spans="3:11" x14ac:dyDescent="0.2">
      <c r="C771" s="10" t="s">
        <v>12</v>
      </c>
      <c r="E771" s="14"/>
      <c r="F771" s="16" t="s">
        <v>642</v>
      </c>
      <c r="G771" s="13"/>
      <c r="H771" s="18"/>
      <c r="K771" s="5"/>
    </row>
    <row r="772" spans="3:11" x14ac:dyDescent="0.2">
      <c r="C772" s="10" t="s">
        <v>12</v>
      </c>
      <c r="F772" s="16" t="s">
        <v>643</v>
      </c>
    </row>
    <row r="773" spans="3:11" x14ac:dyDescent="0.2">
      <c r="C773" s="10" t="s">
        <v>12</v>
      </c>
      <c r="F773" s="16" t="s">
        <v>708</v>
      </c>
    </row>
    <row r="774" spans="3:11" x14ac:dyDescent="0.2">
      <c r="C774" s="10" t="s">
        <v>12</v>
      </c>
      <c r="E774" s="14"/>
      <c r="F774" s="16" t="s">
        <v>644</v>
      </c>
      <c r="G774" s="13"/>
      <c r="H774" s="18"/>
      <c r="K774" s="5"/>
    </row>
    <row r="775" spans="3:11" x14ac:dyDescent="0.2">
      <c r="C775" s="10" t="s">
        <v>12</v>
      </c>
      <c r="F775" s="16" t="s">
        <v>645</v>
      </c>
    </row>
    <row r="776" spans="3:11" x14ac:dyDescent="0.2">
      <c r="C776" s="10" t="s">
        <v>12</v>
      </c>
      <c r="F776" s="16" t="s">
        <v>709</v>
      </c>
    </row>
    <row r="777" spans="3:11" x14ac:dyDescent="0.2">
      <c r="C777" s="10" t="s">
        <v>12</v>
      </c>
      <c r="F777" s="16" t="s">
        <v>646</v>
      </c>
      <c r="G777" s="13"/>
      <c r="H777" s="18"/>
      <c r="K777" s="5"/>
    </row>
    <row r="778" spans="3:11" x14ac:dyDescent="0.2">
      <c r="C778" s="10" t="s">
        <v>12</v>
      </c>
      <c r="F778" s="16" t="s">
        <v>647</v>
      </c>
    </row>
    <row r="779" spans="3:11" x14ac:dyDescent="0.2">
      <c r="C779" s="10" t="s">
        <v>12</v>
      </c>
      <c r="F779" s="16" t="s">
        <v>648</v>
      </c>
    </row>
    <row r="780" spans="3:11" x14ac:dyDescent="0.2">
      <c r="C780" s="10" t="s">
        <v>12</v>
      </c>
      <c r="E780" s="22"/>
      <c r="F780" s="16" t="s">
        <v>649</v>
      </c>
      <c r="G780" s="13"/>
      <c r="H780" s="18"/>
      <c r="K780" s="5"/>
    </row>
    <row r="781" spans="3:11" x14ac:dyDescent="0.2">
      <c r="C781" s="10" t="s">
        <v>12</v>
      </c>
      <c r="F781" s="16" t="s">
        <v>650</v>
      </c>
    </row>
    <row r="782" spans="3:11" x14ac:dyDescent="0.2">
      <c r="C782" s="10" t="s">
        <v>12</v>
      </c>
      <c r="F782" s="16" t="s">
        <v>651</v>
      </c>
    </row>
    <row r="783" spans="3:11" x14ac:dyDescent="0.2">
      <c r="C783" s="10" t="s">
        <v>12</v>
      </c>
      <c r="F783" s="16" t="s">
        <v>652</v>
      </c>
      <c r="G783" s="13"/>
      <c r="H783" s="18"/>
      <c r="K783" s="5"/>
    </row>
    <row r="784" spans="3:11" x14ac:dyDescent="0.2">
      <c r="C784" s="10" t="s">
        <v>12</v>
      </c>
      <c r="E784" s="22"/>
      <c r="F784" s="16" t="s">
        <v>653</v>
      </c>
    </row>
    <row r="785" spans="3:11" x14ac:dyDescent="0.2">
      <c r="C785" s="10" t="s">
        <v>12</v>
      </c>
      <c r="F785" s="16" t="s">
        <v>654</v>
      </c>
    </row>
    <row r="786" spans="3:11" x14ac:dyDescent="0.2">
      <c r="C786" s="10" t="s">
        <v>12</v>
      </c>
      <c r="E786" s="14"/>
      <c r="F786" s="16" t="s">
        <v>655</v>
      </c>
      <c r="G786" s="13"/>
      <c r="H786" s="18"/>
      <c r="K786" s="5"/>
    </row>
    <row r="787" spans="3:11" x14ac:dyDescent="0.2">
      <c r="C787" s="10" t="s">
        <v>12</v>
      </c>
      <c r="F787" s="16" t="s">
        <v>656</v>
      </c>
    </row>
    <row r="788" spans="3:11" x14ac:dyDescent="0.2">
      <c r="C788" s="10" t="s">
        <v>12</v>
      </c>
      <c r="F788" s="16" t="s">
        <v>657</v>
      </c>
    </row>
    <row r="789" spans="3:11" x14ac:dyDescent="0.2">
      <c r="C789" s="10" t="s">
        <v>12</v>
      </c>
      <c r="F789" s="16" t="s">
        <v>658</v>
      </c>
      <c r="G789" s="13"/>
      <c r="H789" s="18"/>
      <c r="K789" s="5"/>
    </row>
    <row r="790" spans="3:11" x14ac:dyDescent="0.2">
      <c r="C790" s="10" t="s">
        <v>12</v>
      </c>
      <c r="F790" s="16" t="s">
        <v>659</v>
      </c>
    </row>
    <row r="791" spans="3:11" x14ac:dyDescent="0.2">
      <c r="C791" s="10" t="s">
        <v>12</v>
      </c>
      <c r="F791" s="16" t="s">
        <v>660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4A51-CC14-F946-BA50-CDA43BED1F3D}">
  <dimension ref="A1:A33"/>
  <sheetViews>
    <sheetView workbookViewId="0">
      <selection activeCell="A33" sqref="A1:A33"/>
    </sheetView>
  </sheetViews>
  <sheetFormatPr baseColWidth="10" defaultRowHeight="15" x14ac:dyDescent="0.2"/>
  <sheetData>
    <row r="1" spans="1:1" x14ac:dyDescent="0.2">
      <c r="A1" s="16" t="s">
        <v>8</v>
      </c>
    </row>
    <row r="2" spans="1:1" x14ac:dyDescent="0.2">
      <c r="A2" s="16" t="s">
        <v>9</v>
      </c>
    </row>
    <row r="3" spans="1:1" x14ac:dyDescent="0.2">
      <c r="A3" s="16" t="s">
        <v>96</v>
      </c>
    </row>
    <row r="4" spans="1:1" x14ac:dyDescent="0.2">
      <c r="A4" s="16" t="s">
        <v>635</v>
      </c>
    </row>
    <row r="5" spans="1:1" x14ac:dyDescent="0.2">
      <c r="A5" s="16" t="s">
        <v>636</v>
      </c>
    </row>
    <row r="6" spans="1:1" x14ac:dyDescent="0.2">
      <c r="A6" s="16" t="s">
        <v>706</v>
      </c>
    </row>
    <row r="7" spans="1:1" x14ac:dyDescent="0.2">
      <c r="A7" s="16" t="s">
        <v>637</v>
      </c>
    </row>
    <row r="8" spans="1:1" x14ac:dyDescent="0.2">
      <c r="A8" s="16" t="s">
        <v>638</v>
      </c>
    </row>
    <row r="9" spans="1:1" x14ac:dyDescent="0.2">
      <c r="A9" s="16" t="s">
        <v>707</v>
      </c>
    </row>
    <row r="10" spans="1:1" x14ac:dyDescent="0.2">
      <c r="A10" s="16" t="s">
        <v>639</v>
      </c>
    </row>
    <row r="11" spans="1:1" x14ac:dyDescent="0.2">
      <c r="A11" s="16" t="s">
        <v>640</v>
      </c>
    </row>
    <row r="12" spans="1:1" x14ac:dyDescent="0.2">
      <c r="A12" s="16" t="s">
        <v>641</v>
      </c>
    </row>
    <row r="13" spans="1:1" x14ac:dyDescent="0.2">
      <c r="A13" s="16" t="s">
        <v>642</v>
      </c>
    </row>
    <row r="14" spans="1:1" x14ac:dyDescent="0.2">
      <c r="A14" s="16" t="s">
        <v>643</v>
      </c>
    </row>
    <row r="15" spans="1:1" x14ac:dyDescent="0.2">
      <c r="A15" s="16" t="s">
        <v>708</v>
      </c>
    </row>
    <row r="16" spans="1:1" x14ac:dyDescent="0.2">
      <c r="A16" s="16" t="s">
        <v>644</v>
      </c>
    </row>
    <row r="17" spans="1:1" x14ac:dyDescent="0.2">
      <c r="A17" s="16" t="s">
        <v>645</v>
      </c>
    </row>
    <row r="18" spans="1:1" x14ac:dyDescent="0.2">
      <c r="A18" s="16" t="s">
        <v>709</v>
      </c>
    </row>
    <row r="19" spans="1:1" x14ac:dyDescent="0.2">
      <c r="A19" s="16" t="s">
        <v>646</v>
      </c>
    </row>
    <row r="20" spans="1:1" x14ac:dyDescent="0.2">
      <c r="A20" s="16" t="s">
        <v>647</v>
      </c>
    </row>
    <row r="21" spans="1:1" x14ac:dyDescent="0.2">
      <c r="A21" s="16" t="s">
        <v>648</v>
      </c>
    </row>
    <row r="22" spans="1:1" x14ac:dyDescent="0.2">
      <c r="A22" s="16" t="s">
        <v>649</v>
      </c>
    </row>
    <row r="23" spans="1:1" x14ac:dyDescent="0.2">
      <c r="A23" s="16" t="s">
        <v>650</v>
      </c>
    </row>
    <row r="24" spans="1:1" x14ac:dyDescent="0.2">
      <c r="A24" s="16" t="s">
        <v>651</v>
      </c>
    </row>
    <row r="25" spans="1:1" x14ac:dyDescent="0.2">
      <c r="A25" s="16" t="s">
        <v>652</v>
      </c>
    </row>
    <row r="26" spans="1:1" x14ac:dyDescent="0.2">
      <c r="A26" s="16" t="s">
        <v>653</v>
      </c>
    </row>
    <row r="27" spans="1:1" x14ac:dyDescent="0.2">
      <c r="A27" s="16" t="s">
        <v>654</v>
      </c>
    </row>
    <row r="28" spans="1:1" x14ac:dyDescent="0.2">
      <c r="A28" s="16" t="s">
        <v>655</v>
      </c>
    </row>
    <row r="29" spans="1:1" x14ac:dyDescent="0.2">
      <c r="A29" s="16" t="s">
        <v>656</v>
      </c>
    </row>
    <row r="30" spans="1:1" x14ac:dyDescent="0.2">
      <c r="A30" s="16" t="s">
        <v>657</v>
      </c>
    </row>
    <row r="31" spans="1:1" x14ac:dyDescent="0.2">
      <c r="A31" s="16" t="s">
        <v>658</v>
      </c>
    </row>
    <row r="32" spans="1:1" x14ac:dyDescent="0.2">
      <c r="A32" s="16" t="s">
        <v>659</v>
      </c>
    </row>
    <row r="33" spans="1:1" x14ac:dyDescent="0.2">
      <c r="A33" s="1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2023-09-18T18:29:34Z</dcterms:modified>
</cp:coreProperties>
</file>