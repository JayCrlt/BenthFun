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jeremy/Library/Mobile Documents/com~apple~CloudDocs/Documents/Documents/Post-Doc/Projets/Villefranche/Projets/BenthFun – Jeremy/BenthFun/Data/3. Alkalinity/"/>
    </mc:Choice>
  </mc:AlternateContent>
  <xr:revisionPtr revIDLastSave="0" documentId="13_ncr:1_{0D9A06E1-C821-CA40-894D-29EE918FBFC8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Sheet1!$A$1:$L$554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17" i="1" l="1"/>
  <c r="H617" i="1"/>
  <c r="H619" i="1"/>
  <c r="G619" i="1"/>
  <c r="H628" i="1"/>
  <c r="G628" i="1"/>
  <c r="G621" i="1"/>
  <c r="H621" i="1"/>
  <c r="H624" i="1"/>
  <c r="G624" i="1"/>
  <c r="H613" i="1"/>
  <c r="H626" i="1"/>
  <c r="G626" i="1"/>
  <c r="G613" i="1"/>
  <c r="J613" i="1" s="1"/>
  <c r="K617" i="1" s="1"/>
  <c r="G608" i="1"/>
  <c r="H608" i="1"/>
  <c r="G605" i="1"/>
  <c r="H605" i="1"/>
  <c r="G602" i="1"/>
  <c r="H602" i="1"/>
  <c r="H594" i="1"/>
  <c r="G594" i="1"/>
  <c r="G597" i="1"/>
  <c r="H597" i="1"/>
  <c r="H591" i="1"/>
  <c r="G591" i="1"/>
  <c r="H586" i="1"/>
  <c r="G586" i="1"/>
  <c r="H611" i="1"/>
  <c r="G611" i="1"/>
  <c r="H600" i="1"/>
  <c r="G600" i="1"/>
  <c r="H589" i="1"/>
  <c r="G589" i="1"/>
  <c r="G575" i="1"/>
  <c r="J575" i="1" s="1"/>
  <c r="K575" i="1" s="1"/>
  <c r="H575" i="1"/>
  <c r="G571" i="1"/>
  <c r="H571" i="1"/>
  <c r="H584" i="1"/>
  <c r="G584" i="1"/>
  <c r="H582" i="1"/>
  <c r="G582" i="1"/>
  <c r="H580" i="1"/>
  <c r="G580" i="1"/>
  <c r="H578" i="1"/>
  <c r="G578" i="1"/>
  <c r="G562" i="1"/>
  <c r="G565" i="1"/>
  <c r="G568" i="1"/>
  <c r="H568" i="1"/>
  <c r="H565" i="1"/>
  <c r="H562" i="1"/>
  <c r="G548" i="1"/>
  <c r="H548" i="1"/>
  <c r="H560" i="1"/>
  <c r="G560" i="1"/>
  <c r="H558" i="1"/>
  <c r="G558" i="1"/>
  <c r="G555" i="1"/>
  <c r="J555" i="1" s="1"/>
  <c r="H555" i="1"/>
  <c r="H553" i="1"/>
  <c r="G553" i="1"/>
  <c r="H551" i="1"/>
  <c r="G551" i="1"/>
  <c r="G546" i="1"/>
  <c r="H546" i="1"/>
  <c r="G544" i="1"/>
  <c r="G539" i="1"/>
  <c r="H539" i="1"/>
  <c r="G542" i="1"/>
  <c r="H542" i="1"/>
  <c r="H532" i="1"/>
  <c r="G532" i="1"/>
  <c r="H544" i="1"/>
  <c r="H537" i="1"/>
  <c r="G537" i="1"/>
  <c r="H535" i="1"/>
  <c r="G535" i="1"/>
  <c r="G529" i="1"/>
  <c r="H529" i="1"/>
  <c r="G527" i="1"/>
  <c r="H527" i="1"/>
  <c r="H522" i="1"/>
  <c r="G522" i="1"/>
  <c r="G525" i="1"/>
  <c r="H525" i="1"/>
  <c r="G519" i="1"/>
  <c r="H519" i="1"/>
  <c r="G514" i="1"/>
  <c r="H514" i="1"/>
  <c r="H503" i="1"/>
  <c r="G503" i="1"/>
  <c r="H512" i="1"/>
  <c r="G512" i="1"/>
  <c r="G505" i="1"/>
  <c r="H505" i="1"/>
  <c r="H510" i="1"/>
  <c r="G510" i="1"/>
  <c r="H508" i="1"/>
  <c r="G508" i="1"/>
  <c r="G496" i="1"/>
  <c r="H496" i="1"/>
  <c r="H499" i="1"/>
  <c r="H501" i="1"/>
  <c r="G501" i="1"/>
  <c r="G499" i="1"/>
  <c r="H493" i="1"/>
  <c r="G493" i="1"/>
  <c r="H486" i="1"/>
  <c r="G486" i="1"/>
  <c r="H490" i="1"/>
  <c r="G490" i="1"/>
  <c r="J490" i="1" s="1"/>
  <c r="K508" i="1" s="1"/>
  <c r="K628" i="1" l="1"/>
  <c r="K619" i="1"/>
  <c r="K624" i="1"/>
  <c r="K621" i="1"/>
  <c r="K613" i="1"/>
  <c r="K626" i="1"/>
  <c r="K589" i="1"/>
  <c r="K602" i="1"/>
  <c r="K608" i="1"/>
  <c r="K586" i="1"/>
  <c r="K597" i="1"/>
  <c r="K594" i="1"/>
  <c r="K600" i="1"/>
  <c r="K605" i="1"/>
  <c r="K591" i="1"/>
  <c r="K611" i="1"/>
  <c r="K584" i="1"/>
  <c r="K582" i="1"/>
  <c r="K580" i="1"/>
  <c r="K578" i="1"/>
  <c r="K571" i="1"/>
  <c r="K560" i="1"/>
  <c r="K565" i="1"/>
  <c r="K558" i="1"/>
  <c r="K562" i="1"/>
  <c r="K568" i="1"/>
  <c r="K548" i="1"/>
  <c r="K553" i="1"/>
  <c r="K555" i="1"/>
  <c r="K551" i="1"/>
  <c r="J529" i="1"/>
  <c r="K529" i="1" s="1"/>
  <c r="K501" i="1"/>
  <c r="K496" i="1"/>
  <c r="K505" i="1"/>
  <c r="K499" i="1"/>
  <c r="K512" i="1"/>
  <c r="K510" i="1"/>
  <c r="K493" i="1"/>
  <c r="J503" i="1"/>
  <c r="K519" i="1" s="1"/>
  <c r="K490" i="1"/>
  <c r="H484" i="1"/>
  <c r="G484" i="1"/>
  <c r="H472" i="1"/>
  <c r="G472" i="1"/>
  <c r="J472" i="1" s="1"/>
  <c r="K486" i="1" s="1"/>
  <c r="H479" i="1"/>
  <c r="G479" i="1"/>
  <c r="H482" i="1"/>
  <c r="G482" i="1"/>
  <c r="H477" i="1"/>
  <c r="H475" i="1"/>
  <c r="G475" i="1"/>
  <c r="G477" i="1"/>
  <c r="G452" i="1"/>
  <c r="H452" i="1"/>
  <c r="H460" i="1"/>
  <c r="G469" i="1"/>
  <c r="H469" i="1"/>
  <c r="G466" i="1"/>
  <c r="H466" i="1"/>
  <c r="H463" i="1"/>
  <c r="G463" i="1"/>
  <c r="G460" i="1"/>
  <c r="H457" i="1"/>
  <c r="G457" i="1"/>
  <c r="H454" i="1"/>
  <c r="G454" i="1"/>
  <c r="K544" i="1" l="1"/>
  <c r="K546" i="1"/>
  <c r="K539" i="1"/>
  <c r="K542" i="1"/>
  <c r="K535" i="1"/>
  <c r="K537" i="1"/>
  <c r="K532" i="1"/>
  <c r="K484" i="1"/>
  <c r="K522" i="1"/>
  <c r="K527" i="1"/>
  <c r="K514" i="1"/>
  <c r="K525" i="1"/>
  <c r="K503" i="1"/>
  <c r="K475" i="1"/>
  <c r="K457" i="1"/>
  <c r="K479" i="1"/>
  <c r="K469" i="1"/>
  <c r="K477" i="1"/>
  <c r="K482" i="1"/>
  <c r="K460" i="1"/>
  <c r="K466" i="1"/>
  <c r="K454" i="1"/>
  <c r="K463" i="1"/>
  <c r="K472" i="1"/>
  <c r="G447" i="1"/>
  <c r="H447" i="1"/>
  <c r="H450" i="1"/>
  <c r="G450" i="1"/>
  <c r="H444" i="1"/>
  <c r="G444" i="1"/>
  <c r="H441" i="1"/>
  <c r="G441" i="1"/>
  <c r="G425" i="1"/>
  <c r="H425" i="1"/>
  <c r="G430" i="1"/>
  <c r="H430" i="1"/>
  <c r="H422" i="1"/>
  <c r="G422" i="1"/>
  <c r="H438" i="1"/>
  <c r="G438" i="1"/>
  <c r="G436" i="1"/>
  <c r="H436" i="1"/>
  <c r="G427" i="1"/>
  <c r="H420" i="1"/>
  <c r="H433" i="1"/>
  <c r="G433" i="1"/>
  <c r="H427" i="1"/>
  <c r="G418" i="1"/>
  <c r="H418" i="1"/>
  <c r="G411" i="1"/>
  <c r="H411" i="1"/>
  <c r="G414" i="1"/>
  <c r="H414" i="1"/>
  <c r="G409" i="1"/>
  <c r="H409" i="1"/>
  <c r="G406" i="1"/>
  <c r="H406" i="1"/>
  <c r="G404" i="1"/>
  <c r="H404" i="1"/>
  <c r="G402" i="1"/>
  <c r="H402" i="1"/>
  <c r="G400" i="1"/>
  <c r="H400" i="1"/>
  <c r="G398" i="1"/>
  <c r="H398" i="1"/>
  <c r="G416" i="1"/>
  <c r="H416" i="1"/>
  <c r="G420" i="1"/>
  <c r="G390" i="1"/>
  <c r="H390" i="1"/>
  <c r="G392" i="1"/>
  <c r="H392" i="1"/>
  <c r="H395" i="1"/>
  <c r="G395" i="1"/>
  <c r="H388" i="1"/>
  <c r="G388" i="1"/>
  <c r="H386" i="1"/>
  <c r="G386" i="1"/>
  <c r="G380" i="1"/>
  <c r="H380" i="1"/>
  <c r="G364" i="1"/>
  <c r="G367" i="1"/>
  <c r="H367" i="1"/>
  <c r="H370" i="1"/>
  <c r="G372" i="1"/>
  <c r="H372" i="1"/>
  <c r="H375" i="1"/>
  <c r="G370" i="1"/>
  <c r="H383" i="1"/>
  <c r="G383" i="1"/>
  <c r="H364" i="1"/>
  <c r="G361" i="1"/>
  <c r="H361" i="1"/>
  <c r="H356" i="1"/>
  <c r="G356" i="1"/>
  <c r="G359" i="1"/>
  <c r="H359" i="1"/>
  <c r="G353" i="1"/>
  <c r="H353" i="1"/>
  <c r="G347" i="1"/>
  <c r="H347" i="1"/>
  <c r="G350" i="1"/>
  <c r="H350" i="1"/>
  <c r="G339" i="1"/>
  <c r="H339" i="1"/>
  <c r="G344" i="1"/>
  <c r="H344" i="1"/>
  <c r="G342" i="1"/>
  <c r="H342" i="1"/>
  <c r="H329" i="1"/>
  <c r="H326" i="1"/>
  <c r="H337" i="1"/>
  <c r="G337" i="1"/>
  <c r="G335" i="1"/>
  <c r="H335" i="1"/>
  <c r="G321" i="1"/>
  <c r="J321" i="1" s="1"/>
  <c r="H321" i="1"/>
  <c r="G326" i="1"/>
  <c r="G332" i="1"/>
  <c r="H332" i="1"/>
  <c r="G329" i="1"/>
  <c r="H377" i="1"/>
  <c r="G377" i="1"/>
  <c r="G375" i="1"/>
  <c r="G324" i="1"/>
  <c r="H324" i="1"/>
  <c r="G318" i="1"/>
  <c r="H318" i="1"/>
  <c r="G303" i="1"/>
  <c r="H303" i="1"/>
  <c r="H306" i="1"/>
  <c r="G306" i="1"/>
  <c r="G309" i="1"/>
  <c r="H309" i="1"/>
  <c r="G300" i="1"/>
  <c r="H300" i="1"/>
  <c r="G297" i="1"/>
  <c r="H297" i="1"/>
  <c r="G294" i="1"/>
  <c r="H294" i="1"/>
  <c r="G291" i="1"/>
  <c r="H291" i="1"/>
  <c r="G288" i="1"/>
  <c r="H288" i="1"/>
  <c r="H285" i="1"/>
  <c r="H316" i="1"/>
  <c r="G316" i="1"/>
  <c r="H314" i="1"/>
  <c r="G314" i="1"/>
  <c r="H312" i="1"/>
  <c r="G312" i="1"/>
  <c r="G285" i="1"/>
  <c r="H282" i="1"/>
  <c r="G282" i="1"/>
  <c r="H271" i="1"/>
  <c r="G271" i="1"/>
  <c r="G273" i="1"/>
  <c r="H273" i="1"/>
  <c r="G266" i="1"/>
  <c r="H266" i="1"/>
  <c r="G269" i="1"/>
  <c r="H269" i="1"/>
  <c r="H261" i="1"/>
  <c r="G261" i="1"/>
  <c r="G264" i="1"/>
  <c r="H264" i="1"/>
  <c r="H258" i="1"/>
  <c r="G258" i="1"/>
  <c r="H252" i="1"/>
  <c r="G255" i="1"/>
  <c r="H255" i="1"/>
  <c r="H276" i="1"/>
  <c r="G276" i="1"/>
  <c r="G247" i="1"/>
  <c r="H247" i="1"/>
  <c r="G252" i="1"/>
  <c r="H250" i="1"/>
  <c r="G250" i="1"/>
  <c r="G242" i="1"/>
  <c r="H228" i="1"/>
  <c r="H233" i="1"/>
  <c r="G233" i="1"/>
  <c r="G228" i="1"/>
  <c r="H223" i="1"/>
  <c r="G223" i="1"/>
  <c r="G226" i="1"/>
  <c r="H226" i="1"/>
  <c r="H220" i="1"/>
  <c r="G220" i="1"/>
  <c r="H242" i="1"/>
  <c r="H237" i="1"/>
  <c r="G237" i="1"/>
  <c r="H231" i="1"/>
  <c r="G231" i="1"/>
  <c r="H215" i="1"/>
  <c r="G218" i="1"/>
  <c r="H218" i="1"/>
  <c r="G213" i="1"/>
  <c r="H213" i="1"/>
  <c r="H207" i="1"/>
  <c r="G207" i="1"/>
  <c r="J207" i="1" s="1"/>
  <c r="G215" i="1"/>
  <c r="H203" i="1"/>
  <c r="G203" i="1"/>
  <c r="G192" i="1"/>
  <c r="G195" i="1"/>
  <c r="H195" i="1"/>
  <c r="H192" i="1"/>
  <c r="H189" i="1"/>
  <c r="G189" i="1"/>
  <c r="H185" i="1"/>
  <c r="G185" i="1"/>
  <c r="H179" i="1"/>
  <c r="G179" i="1"/>
  <c r="J179" i="1" s="1"/>
  <c r="H201" i="1"/>
  <c r="G201" i="1"/>
  <c r="G170" i="1"/>
  <c r="H170" i="1"/>
  <c r="G167" i="1"/>
  <c r="H173" i="1"/>
  <c r="G173" i="1"/>
  <c r="H176" i="1"/>
  <c r="G176" i="1"/>
  <c r="H164" i="1"/>
  <c r="G164" i="1"/>
  <c r="G159" i="1"/>
  <c r="G162" i="1"/>
  <c r="H162" i="1"/>
  <c r="G156" i="1"/>
  <c r="G153" i="1"/>
  <c r="G150" i="1"/>
  <c r="G148" i="1"/>
  <c r="J148" i="1" s="1"/>
  <c r="H148" i="1"/>
  <c r="H167" i="1"/>
  <c r="H159" i="1"/>
  <c r="H156" i="1"/>
  <c r="H153" i="1"/>
  <c r="H150" i="1"/>
  <c r="H118" i="1"/>
  <c r="G118" i="1"/>
  <c r="J118" i="1" s="1"/>
  <c r="H145" i="1"/>
  <c r="G145" i="1"/>
  <c r="H142" i="1"/>
  <c r="G142" i="1"/>
  <c r="J441" i="1" l="1"/>
  <c r="K441" i="1" s="1"/>
  <c r="J416" i="1"/>
  <c r="K452" i="1" s="1"/>
  <c r="J383" i="1"/>
  <c r="K377" i="1" s="1"/>
  <c r="K337" i="1"/>
  <c r="K335" i="1"/>
  <c r="J285" i="1"/>
  <c r="K285" i="1" s="1"/>
  <c r="J247" i="1"/>
  <c r="K247" i="1" s="1"/>
  <c r="K252" i="1"/>
  <c r="K250" i="1"/>
  <c r="K233" i="1"/>
  <c r="K228" i="1"/>
  <c r="K231" i="1"/>
  <c r="K237" i="1"/>
  <c r="K242" i="1"/>
  <c r="K203" i="1"/>
  <c r="K195" i="1"/>
  <c r="K185" i="1"/>
  <c r="K192" i="1"/>
  <c r="K179" i="1"/>
  <c r="K201" i="1"/>
  <c r="K189" i="1"/>
  <c r="K145" i="1"/>
  <c r="K153" i="1"/>
  <c r="K150" i="1"/>
  <c r="K156" i="1"/>
  <c r="K142" i="1"/>
  <c r="K159" i="1"/>
  <c r="H134" i="1"/>
  <c r="G134" i="1"/>
  <c r="H137" i="1"/>
  <c r="G137" i="1"/>
  <c r="H129" i="1"/>
  <c r="G129" i="1"/>
  <c r="H132" i="1"/>
  <c r="G132" i="1"/>
  <c r="H127" i="1"/>
  <c r="G127" i="1"/>
  <c r="H124" i="1"/>
  <c r="G124" i="1"/>
  <c r="H121" i="1"/>
  <c r="G121" i="1"/>
  <c r="K436" i="1" l="1"/>
  <c r="K450" i="1"/>
  <c r="K444" i="1"/>
  <c r="K447" i="1"/>
  <c r="K430" i="1"/>
  <c r="K411" i="1"/>
  <c r="K433" i="1"/>
  <c r="K425" i="1"/>
  <c r="K427" i="1"/>
  <c r="K438" i="1"/>
  <c r="K395" i="1"/>
  <c r="K418" i="1"/>
  <c r="K422" i="1"/>
  <c r="K420" i="1"/>
  <c r="K400" i="1"/>
  <c r="K402" i="1"/>
  <c r="K404" i="1"/>
  <c r="K414" i="1"/>
  <c r="K409" i="1"/>
  <c r="K406" i="1"/>
  <c r="K398" i="1"/>
  <c r="K416" i="1"/>
  <c r="K390" i="1"/>
  <c r="K388" i="1"/>
  <c r="K392" i="1"/>
  <c r="K375" i="1"/>
  <c r="K383" i="1"/>
  <c r="K380" i="1"/>
  <c r="K370" i="1"/>
  <c r="K372" i="1"/>
  <c r="K386" i="1"/>
  <c r="K367" i="1"/>
  <c r="K342" i="1"/>
  <c r="K356" i="1"/>
  <c r="K350" i="1"/>
  <c r="K359" i="1"/>
  <c r="K321" i="1"/>
  <c r="K344" i="1"/>
  <c r="K353" i="1"/>
  <c r="K361" i="1"/>
  <c r="K339" i="1"/>
  <c r="K347" i="1"/>
  <c r="K364" i="1"/>
  <c r="K326" i="1"/>
  <c r="K324" i="1"/>
  <c r="K332" i="1"/>
  <c r="K329" i="1"/>
  <c r="K294" i="1"/>
  <c r="K288" i="1"/>
  <c r="K297" i="1"/>
  <c r="K306" i="1"/>
  <c r="K314" i="1"/>
  <c r="K309" i="1"/>
  <c r="K300" i="1"/>
  <c r="K303" i="1"/>
  <c r="K291" i="1"/>
  <c r="K318" i="1"/>
  <c r="K312" i="1"/>
  <c r="K316" i="1"/>
  <c r="K282" i="1"/>
  <c r="K273" i="1"/>
  <c r="K264" i="1"/>
  <c r="K276" i="1"/>
  <c r="K255" i="1"/>
  <c r="K271" i="1"/>
  <c r="K258" i="1"/>
  <c r="K266" i="1"/>
  <c r="K269" i="1"/>
  <c r="K261" i="1"/>
  <c r="K207" i="1"/>
  <c r="K226" i="1"/>
  <c r="K215" i="1"/>
  <c r="K220" i="1"/>
  <c r="K218" i="1"/>
  <c r="K223" i="1"/>
  <c r="K213" i="1"/>
  <c r="K148" i="1"/>
  <c r="K162" i="1"/>
  <c r="G110" i="1"/>
  <c r="H115" i="1"/>
  <c r="G115" i="1"/>
  <c r="G112" i="1"/>
  <c r="H112" i="1"/>
  <c r="G107" i="1"/>
  <c r="H107" i="1"/>
  <c r="H104" i="1"/>
  <c r="G104" i="1"/>
  <c r="G101" i="1"/>
  <c r="H101" i="1"/>
  <c r="H98" i="1"/>
  <c r="G98" i="1"/>
  <c r="H95" i="1"/>
  <c r="G95" i="1"/>
  <c r="G90" i="1"/>
  <c r="H90" i="1"/>
  <c r="H110" i="1"/>
  <c r="H93" i="1"/>
  <c r="G93" i="1"/>
  <c r="G87" i="1"/>
  <c r="H87" i="1"/>
  <c r="J87" i="1" l="1"/>
  <c r="H67" i="1"/>
  <c r="G67" i="1"/>
  <c r="H85" i="1"/>
  <c r="G85" i="1"/>
  <c r="G79" i="1"/>
  <c r="H82" i="1"/>
  <c r="G82" i="1"/>
  <c r="H79" i="1"/>
  <c r="H59" i="1"/>
  <c r="G59" i="1"/>
  <c r="J59" i="1" s="1"/>
  <c r="K59" i="1" s="1"/>
  <c r="K176" i="1" l="1"/>
  <c r="K173" i="1"/>
  <c r="K170" i="1"/>
  <c r="K167" i="1"/>
  <c r="K164" i="1"/>
  <c r="K101" i="1"/>
  <c r="K118" i="1"/>
  <c r="K121" i="1"/>
  <c r="K129" i="1"/>
  <c r="K127" i="1"/>
  <c r="K134" i="1"/>
  <c r="K124" i="1"/>
  <c r="K137" i="1"/>
  <c r="K132" i="1"/>
  <c r="K93" i="1"/>
  <c r="K90" i="1"/>
  <c r="K112" i="1"/>
  <c r="K98" i="1"/>
  <c r="K87" i="1"/>
  <c r="K104" i="1"/>
  <c r="K107" i="1"/>
  <c r="K115" i="1"/>
  <c r="K110" i="1"/>
  <c r="K95" i="1"/>
  <c r="K82" i="1"/>
  <c r="K79" i="1"/>
  <c r="K85" i="1"/>
  <c r="H76" i="1"/>
  <c r="G76" i="1"/>
  <c r="H73" i="1"/>
  <c r="G73" i="1"/>
  <c r="H71" i="1"/>
  <c r="G71" i="1"/>
  <c r="H69" i="1"/>
  <c r="G69" i="1"/>
  <c r="H64" i="1"/>
  <c r="G64" i="1"/>
  <c r="H61" i="1"/>
  <c r="G61" i="1"/>
  <c r="G57" i="1"/>
  <c r="H57" i="1"/>
  <c r="G55" i="1"/>
  <c r="H55" i="1"/>
  <c r="H53" i="1"/>
  <c r="G53" i="1"/>
  <c r="H50" i="1"/>
  <c r="G50" i="1"/>
  <c r="G45" i="1"/>
  <c r="G42" i="1"/>
  <c r="G38" i="1"/>
  <c r="H48" i="1"/>
  <c r="G48" i="1"/>
  <c r="H38" i="1"/>
  <c r="H45" i="1"/>
  <c r="H42" i="1"/>
  <c r="H31" i="1"/>
  <c r="G31" i="1"/>
  <c r="J31" i="1" s="1"/>
  <c r="K61" i="1" l="1"/>
  <c r="K57" i="1"/>
  <c r="K67" i="1"/>
  <c r="K69" i="1"/>
  <c r="K71" i="1"/>
  <c r="K64" i="1"/>
  <c r="K73" i="1"/>
  <c r="K76" i="1"/>
  <c r="K38" i="1"/>
  <c r="K42" i="1"/>
  <c r="K45" i="1"/>
  <c r="K48" i="1"/>
  <c r="K50" i="1"/>
  <c r="K53" i="1"/>
  <c r="K55" i="1"/>
  <c r="K31" i="1"/>
  <c r="H35" i="1"/>
  <c r="G35" i="1"/>
  <c r="H33" i="1"/>
  <c r="G33" i="1"/>
  <c r="H28" i="1" l="1"/>
  <c r="G28" i="1"/>
  <c r="H25" i="1"/>
  <c r="G25" i="1"/>
  <c r="G4" i="1"/>
  <c r="H23" i="1"/>
  <c r="G23" i="1"/>
  <c r="H20" i="1"/>
  <c r="G20" i="1"/>
  <c r="H17" i="1"/>
  <c r="G17" i="1"/>
  <c r="H15" i="1"/>
  <c r="G15" i="1"/>
  <c r="G7" i="1"/>
  <c r="H10" i="1"/>
  <c r="G10" i="1"/>
  <c r="H13" i="1"/>
  <c r="G13" i="1"/>
  <c r="H4" i="1"/>
  <c r="H7" i="1"/>
  <c r="G2" i="1"/>
  <c r="J2" i="1" s="1"/>
  <c r="K33" i="1" s="1"/>
  <c r="H2" i="1"/>
  <c r="K7" i="1" l="1"/>
  <c r="K28" i="1"/>
  <c r="K35" i="1"/>
  <c r="K15" i="1"/>
  <c r="K25" i="1"/>
  <c r="K20" i="1"/>
  <c r="K23" i="1"/>
  <c r="K13" i="1"/>
  <c r="K10" i="1"/>
  <c r="K17" i="1"/>
  <c r="K2" i="1"/>
  <c r="K4" i="1"/>
</calcChain>
</file>

<file path=xl/sharedStrings.xml><?xml version="1.0" encoding="utf-8"?>
<sst xmlns="http://schemas.openxmlformats.org/spreadsheetml/2006/main" count="2391" uniqueCount="636">
  <si>
    <t>Operator</t>
  </si>
  <si>
    <t>analysis date</t>
  </si>
  <si>
    <t>site</t>
  </si>
  <si>
    <t>weight_g</t>
  </si>
  <si>
    <t>TA</t>
  </si>
  <si>
    <t>Sample id</t>
  </si>
  <si>
    <t>correction</t>
  </si>
  <si>
    <t>note</t>
  </si>
  <si>
    <t>CRM1</t>
  </si>
  <si>
    <t>CRM2</t>
  </si>
  <si>
    <t>delta batch</t>
  </si>
  <si>
    <t>Jeremy</t>
  </si>
  <si>
    <t>Castello_south</t>
  </si>
  <si>
    <t>T0_t1_ELOW_tile_01a</t>
  </si>
  <si>
    <t>T0_t1_ELOW_tile_01b</t>
  </si>
  <si>
    <t>T0_t1_ELOW_tile_01c</t>
  </si>
  <si>
    <t>T0_t1_ELOW_tile_02b</t>
  </si>
  <si>
    <t>T0_t1_ELOW_tile_02a</t>
  </si>
  <si>
    <t>T0_t1_ELOW_tile_03a</t>
  </si>
  <si>
    <t>T0_t1_ELOW_tile_03b</t>
  </si>
  <si>
    <t>T0_t0_ELOW_blank_01a</t>
  </si>
  <si>
    <t>T0_t0_ELOW_blank_01b</t>
  </si>
  <si>
    <t>T0_t0_ELOW_blank_01c</t>
  </si>
  <si>
    <t>T0_t0_ELOW_blank_02a</t>
  </si>
  <si>
    <t>T0_t0_ELOW_blank_02b</t>
  </si>
  <si>
    <t>T0_t0_ELOW_blank_02c</t>
  </si>
  <si>
    <t>T0_t1_ELOW_blank_01a</t>
  </si>
  <si>
    <t>T0_t1_ELOW_blank_01c</t>
  </si>
  <si>
    <t>T0_t1_ELOW_blank_01b</t>
  </si>
  <si>
    <t>T0_t1_ELOW_tile_04a</t>
  </si>
  <si>
    <t>T0_t1_ELOW_tile_04b</t>
  </si>
  <si>
    <t>T0_t1_ELOW_tile_04c</t>
  </si>
  <si>
    <t>T0_t1_ELOW_tile_05a</t>
  </si>
  <si>
    <t>T0_t1_ELOW_tile_05b</t>
  </si>
  <si>
    <t>T0_t1_ELOW_tile_06a</t>
  </si>
  <si>
    <t>T0_t1_ELOW_tile_06c</t>
  </si>
  <si>
    <t>T0_t1_ELOW_blank_02a</t>
  </si>
  <si>
    <t>T0_t1_ELOW_blank_02b</t>
  </si>
  <si>
    <t>T0_t1_ELOW_blank_02c</t>
  </si>
  <si>
    <t>T0_t1_ELOW_tile_06d</t>
  </si>
  <si>
    <t>Batch mean</t>
  </si>
  <si>
    <t>Batch sd</t>
  </si>
  <si>
    <t>T0_t0_LOW_blank_01a</t>
  </si>
  <si>
    <t>T0_t0_LOW_blank_01b</t>
  </si>
  <si>
    <t>T0_t0_LOW_blank_02a</t>
  </si>
  <si>
    <t>T0_t0_LOW_blank_02b</t>
  </si>
  <si>
    <t>T0_t0_LOW_blank_02c</t>
  </si>
  <si>
    <t>T0_t1_LOW_tile_01a</t>
  </si>
  <si>
    <t>T0_t1_LOW_tile_01b</t>
  </si>
  <si>
    <t>T0_t1_LOW_tile_01c</t>
  </si>
  <si>
    <t>T0_t1_LOW_tile_02a</t>
  </si>
  <si>
    <t>T0_t1_LOW_tile_02b</t>
  </si>
  <si>
    <t>T0_t1_LOW_tile_03a</t>
  </si>
  <si>
    <t>T0_t1_LOW_tile_03b</t>
  </si>
  <si>
    <t>T0_t1_LOW_blank_01a</t>
  </si>
  <si>
    <t>T0_t1_LOW_blank_01b</t>
  </si>
  <si>
    <t>T0_t1_LOW_tile_04a</t>
  </si>
  <si>
    <t>T0_t1_LOW_tile_04b</t>
  </si>
  <si>
    <t>T0_t1_LOW_tile_04c</t>
  </si>
  <si>
    <t>T0_t1_LOW_tile_05a</t>
  </si>
  <si>
    <t>T0_t1_LOW_tile_05b</t>
  </si>
  <si>
    <t>T0_t1_LOW_tile_06a</t>
  </si>
  <si>
    <t>T0_t1_LOW_tile_06b</t>
  </si>
  <si>
    <t>T0_t1_LOW_blank_02a</t>
  </si>
  <si>
    <t>T0_t1_LOW_blank_02b</t>
  </si>
  <si>
    <t>T0_t1_LOW_tile_03c</t>
  </si>
  <si>
    <t>T0_t1_LOW_tile_01d</t>
  </si>
  <si>
    <t>T0_t1_LOW_tile_02d</t>
  </si>
  <si>
    <t>T0_t0_AMB_blank_01a</t>
  </si>
  <si>
    <t>T0_t0_AMB_blank_01b</t>
  </si>
  <si>
    <t>T0_t0_AMB_blank_02a</t>
  </si>
  <si>
    <t>T0_t0_AMB_blank_02b</t>
  </si>
  <si>
    <t>T0_t0_AMB_blank_02c</t>
  </si>
  <si>
    <t>T0_t1_AMB_tile_01b</t>
  </si>
  <si>
    <t>T0_t1_AMB_tile_02a</t>
  </si>
  <si>
    <t>T0_t1_AMB_tile_02b</t>
  </si>
  <si>
    <t>T0_t1_AMB_tile_03a</t>
  </si>
  <si>
    <t>T0_t1_AMB_tile_03b</t>
  </si>
  <si>
    <t>T0_t1_AMB_blank_01a</t>
  </si>
  <si>
    <t>T0_t1_AMB_blank_01b</t>
  </si>
  <si>
    <t>T0_t1_AMB_tile_04a</t>
  </si>
  <si>
    <t>T0_t1_AMB_tile_04b</t>
  </si>
  <si>
    <t>T0_t1_AMB_tile_04c</t>
  </si>
  <si>
    <t>T0_t0_AMB_blank_01c</t>
  </si>
  <si>
    <t>T0_t1_AMB_blank_01c</t>
  </si>
  <si>
    <t>T0_t1_AMB_tile_05a</t>
  </si>
  <si>
    <t>T0_t1_AMB_blank_02a</t>
  </si>
  <si>
    <t>T0_t1_AMB_blank_02b</t>
  </si>
  <si>
    <t>T0_t1_AMB_tile_05b</t>
  </si>
  <si>
    <t>T0_t1_AMB_tile_05c</t>
  </si>
  <si>
    <t>T0_t1_AMB_tile_06a</t>
  </si>
  <si>
    <t>T0_t1_AMB_tile_06b</t>
  </si>
  <si>
    <t>T0_t1_AMB_tile_06c</t>
  </si>
  <si>
    <t>T0_t1_AMB_tile_01d</t>
  </si>
  <si>
    <t>Batch 184</t>
  </si>
  <si>
    <t>ALK batch</t>
  </si>
  <si>
    <t>CRM3</t>
  </si>
  <si>
    <t>T1_t0_ELOW_blank_01a</t>
  </si>
  <si>
    <t>T1_t0_ELOW_blank_01b</t>
  </si>
  <si>
    <t>T1_t0_ELOW_blank_01c</t>
  </si>
  <si>
    <t>T1_t0_ELOW_blank_02a</t>
  </si>
  <si>
    <t>T1_t0_ELOW_blank_02b</t>
  </si>
  <si>
    <t>T1_t1_ELOW_tile_01a</t>
  </si>
  <si>
    <t>T1_t1_ELOW_tile_01b</t>
  </si>
  <si>
    <t>T1_t1_ELOW_tile_01c</t>
  </si>
  <si>
    <t>T1_t1_ELOW_tile_02a</t>
  </si>
  <si>
    <t>T1_t1_ELOW_tile_02b</t>
  </si>
  <si>
    <t>T1_t1_ELOW_tile_02c</t>
  </si>
  <si>
    <t>T1_t1_ELOW_tile_03a</t>
  </si>
  <si>
    <t>T1_t1_ELOW_tile_03b</t>
  </si>
  <si>
    <t>T1_t1_ELOW_tile_03c</t>
  </si>
  <si>
    <t>T1_t1_ELOW_blank_01a</t>
  </si>
  <si>
    <t>T1_t1_ELOW_blank_01b</t>
  </si>
  <si>
    <t>T1_t1_ELOW_blank_01c</t>
  </si>
  <si>
    <t>T1_t1_ELOW_tile_04a</t>
  </si>
  <si>
    <t>T1_t1_ELOW_tile_04b</t>
  </si>
  <si>
    <t>T1_t1_ELOW_tile_04c</t>
  </si>
  <si>
    <t>T1_t1_ELOW_tile_05a</t>
  </si>
  <si>
    <t>T1_t1_ELOW_tile_05b</t>
  </si>
  <si>
    <t>T1_t1_ELOW_tile_06a</t>
  </si>
  <si>
    <t>T1_t1_ELOW_tile_06b</t>
  </si>
  <si>
    <t>T1_t1_ELOW_tile_06c</t>
  </si>
  <si>
    <t>T1_t1_ELOW_blank_02a</t>
  </si>
  <si>
    <t>T1_t1_ELOW_blank_02b</t>
  </si>
  <si>
    <t>T1_t1_ELOW_blank_02c</t>
  </si>
  <si>
    <t>T1_t0_LOW_blank_01a</t>
  </si>
  <si>
    <t>T1_t0_LOW_blank_01b</t>
  </si>
  <si>
    <t>T1_t0_LOW_blank_01c</t>
  </si>
  <si>
    <t>T1_t0_LOW_blank_02a</t>
  </si>
  <si>
    <t>T1_t0_LOW_blank_02b</t>
  </si>
  <si>
    <t>T1_t1_LOW_tile_01a</t>
  </si>
  <si>
    <t>T1_t1_LOW_tile_01b</t>
  </si>
  <si>
    <t>T1_t1_LOW_tile_02a</t>
  </si>
  <si>
    <t>T1_t1_LOW_tile_02b</t>
  </si>
  <si>
    <t>T1_t1_LOW_tile_02c</t>
  </si>
  <si>
    <t>T1_t1_LOW_tile_03a</t>
  </si>
  <si>
    <t>T1_t1_LOW_tile_03b</t>
  </si>
  <si>
    <t>T1_t1_LOW_blank_01a</t>
  </si>
  <si>
    <t>T1_t1_LOW_blank_01b</t>
  </si>
  <si>
    <t>T1_t1_LOW_blank_01c</t>
  </si>
  <si>
    <t>T1_t1_LOW_tile_04a</t>
  </si>
  <si>
    <t>T1_t1_LOW_tile_04b</t>
  </si>
  <si>
    <t>T1_t1_LOW_tile_05a</t>
  </si>
  <si>
    <t>T1_t1_LOW_tile_05b</t>
  </si>
  <si>
    <t>T1_t1_LOW_tile_06a</t>
  </si>
  <si>
    <t>T1_t1_LOW_tile_06b</t>
  </si>
  <si>
    <t>T1_t1_LOW_tile_06c</t>
  </si>
  <si>
    <t>T1_t1_LOW_blank_02a</t>
  </si>
  <si>
    <t>T1_t1_LOW_blank_02b</t>
  </si>
  <si>
    <t>T1_t1_LOW_blank_02c</t>
  </si>
  <si>
    <t>T1_t0_LOW_blank_02c</t>
  </si>
  <si>
    <t>T1_t1_LOW_tile_05c</t>
  </si>
  <si>
    <t>Alice</t>
  </si>
  <si>
    <t>NA</t>
  </si>
  <si>
    <t>T1_t1_LOW_tile_01c</t>
  </si>
  <si>
    <t>T1_t1_LOW_tile_04c</t>
  </si>
  <si>
    <t>T1_t1_LOW_blank_02d</t>
  </si>
  <si>
    <t>T1_t1_LOW_tile_06d</t>
  </si>
  <si>
    <t>PI_t1_ELOW_T0a</t>
  </si>
  <si>
    <t>PI_t1_ELOW_T0b</t>
  </si>
  <si>
    <t>PI_t1_ELOW_T0c</t>
  </si>
  <si>
    <t>PI_t2_ELOW_T0a</t>
  </si>
  <si>
    <t>PI_t2_ELOW_T0b</t>
  </si>
  <si>
    <t>PI_t2_ELOW_T0c</t>
  </si>
  <si>
    <t>PI_t3_ELOW_T0a</t>
  </si>
  <si>
    <t>PI_t3_ELOW_T0b</t>
  </si>
  <si>
    <t>PI_t3_ELOW_T0c</t>
  </si>
  <si>
    <t>PI_t4_ELOW_T0a</t>
  </si>
  <si>
    <t>PI_t4_ELOW_T0b</t>
  </si>
  <si>
    <t>PI_t4_ELOW_T0c</t>
  </si>
  <si>
    <t>PI_t5_ELOW_T0a</t>
  </si>
  <si>
    <t>PI_t5_ELOW_T0b</t>
  </si>
  <si>
    <t>PI_t5_ELOW_T0c</t>
  </si>
  <si>
    <t>PI_t6_ELOW_T0a</t>
  </si>
  <si>
    <t>PI_t6_ELOW_T0b</t>
  </si>
  <si>
    <t>PI_t6_ELOW_T0c</t>
  </si>
  <si>
    <t>PI_t7_ELOW_T0a</t>
  </si>
  <si>
    <t>PI_t7_ELOW_T0b</t>
  </si>
  <si>
    <t>PI_t8_ELOW_T0a</t>
  </si>
  <si>
    <t>PI_t8_ELOW_T0b</t>
  </si>
  <si>
    <t>PI_t8_ELOW_T0c</t>
  </si>
  <si>
    <t>PI_t2_ELOW_T0d</t>
  </si>
  <si>
    <t>too many variability</t>
  </si>
  <si>
    <t>PI_t8_ELOW_T0d</t>
  </si>
  <si>
    <t>PI_t2_LOW_T0a</t>
  </si>
  <si>
    <t>PI_t2_LOW_T0b</t>
  </si>
  <si>
    <t>PI_t3_LOW_T0a</t>
  </si>
  <si>
    <t>PI_t3_LOW_T0b</t>
  </si>
  <si>
    <t>PI_t3_LOW_T0c</t>
  </si>
  <si>
    <t>PI_t4_LOW_T0a</t>
  </si>
  <si>
    <t>PI_t4_LOW_T0b</t>
  </si>
  <si>
    <t>PI_t5_LOW_T0a</t>
  </si>
  <si>
    <t>PI_t5_LOW_T0b</t>
  </si>
  <si>
    <t>PI_t5_LOW_T0c</t>
  </si>
  <si>
    <t>PI_t6_LOW_T0a</t>
  </si>
  <si>
    <t>PI_t6_LOW_T0b</t>
  </si>
  <si>
    <t>PI_t6_LOW_T0c</t>
  </si>
  <si>
    <t>PI_t7_LOW_T0a</t>
  </si>
  <si>
    <t>PI_t7_LOW_T0b</t>
  </si>
  <si>
    <t>PI_t1_AMB_T0a</t>
  </si>
  <si>
    <t>PI_t1_AMB_T0b</t>
  </si>
  <si>
    <t>PI_t1_AMB_T0c</t>
  </si>
  <si>
    <t>PI_t2_AMB_T0a</t>
  </si>
  <si>
    <t>PI_t2_AMB_T0b</t>
  </si>
  <si>
    <t>PI_t3_AMB_T0a</t>
  </si>
  <si>
    <t>PI_t3_AMB_T0b</t>
  </si>
  <si>
    <t>PI_t3_AMB_T0c</t>
  </si>
  <si>
    <t>PI_t4_AMB_T0a</t>
  </si>
  <si>
    <t>PI_t4_AMB_T0b</t>
  </si>
  <si>
    <t>PI_t6_AMB_T0a</t>
  </si>
  <si>
    <t>PI_t6_AMB_T0b</t>
  </si>
  <si>
    <t>PI_t7_AMB_T0a</t>
  </si>
  <si>
    <t>PI_t7_AMB_T0b</t>
  </si>
  <si>
    <t>PI_t7_AMB_T0c</t>
  </si>
  <si>
    <t>PI_t3_AMB_T0d</t>
  </si>
  <si>
    <t>PI_t1_ELOW_Tile_1a</t>
  </si>
  <si>
    <t>PI_t1_ELOW_Tile_1b</t>
  </si>
  <si>
    <t>PI_t1_ELOW_Tile_2a</t>
  </si>
  <si>
    <t>PI_t1_ELOW_Tile_2b</t>
  </si>
  <si>
    <t>PI_t1_ELOW_Tile_2c</t>
  </si>
  <si>
    <t>PI_t1_ELOW_Tile_3a</t>
  </si>
  <si>
    <t>PI_t1_ELOW_Tile_3b</t>
  </si>
  <si>
    <t>PI_t1_ELOW_Tile_3c</t>
  </si>
  <si>
    <t>PI_t1_ELOW_blank_a</t>
  </si>
  <si>
    <t>PI_t1_ELOW_blank_b</t>
  </si>
  <si>
    <t>PI_t1_ELOW_blank_c</t>
  </si>
  <si>
    <t>PI_t5_AMB_T0a</t>
  </si>
  <si>
    <t>PI_t5_AMB_T0b</t>
  </si>
  <si>
    <t>PI_t5_AMB_T0c</t>
  </si>
  <si>
    <t>Broken bottle</t>
  </si>
  <si>
    <t>PI_t1_LOW_T0c</t>
  </si>
  <si>
    <t>PI_t1_LOW_T0b</t>
  </si>
  <si>
    <t>PI_t1_LOW_T0a</t>
  </si>
  <si>
    <t>PI_t2_ELOW_Tile_1a</t>
  </si>
  <si>
    <t>PI_t2_ELOW_Tile_1b</t>
  </si>
  <si>
    <t>PI_t2_ELOW_Tile_2a</t>
  </si>
  <si>
    <t>PI_t2_ELOW_Tile_2b</t>
  </si>
  <si>
    <t>PI_t2_ELOW_Tile_3a</t>
  </si>
  <si>
    <t>PI_t2_ELOW_Tile_3c</t>
  </si>
  <si>
    <t>PI_t3_ELOW_Tile_1a</t>
  </si>
  <si>
    <t>PI_t3_ELOW_Tile_1b</t>
  </si>
  <si>
    <t>PI_t3_ELOW_Tile_2a</t>
  </si>
  <si>
    <t>PI_t3_ELOW_Tile_2b</t>
  </si>
  <si>
    <t>PI_t3_ELOW_Tile_3a</t>
  </si>
  <si>
    <t>PI_t3_ELOW_Tile_3b</t>
  </si>
  <si>
    <t>PI_t3_ELOW_Tile_3c</t>
  </si>
  <si>
    <t>PI_t4_ELOW_Tile_1a</t>
  </si>
  <si>
    <t>PI_t4_ELOW_Tile_1b</t>
  </si>
  <si>
    <t>PI_t4_ELOW_Tile_2a</t>
  </si>
  <si>
    <t>PI_t4_ELOW_Tile_2b</t>
  </si>
  <si>
    <t>PI_t4_ELOW_Tile_2c</t>
  </si>
  <si>
    <t>PI_t4_ELOW_Tile_3b</t>
  </si>
  <si>
    <t>PI_t4_ELOW_Tile_3c</t>
  </si>
  <si>
    <t>PI_t5_ELOW_Tile_1a</t>
  </si>
  <si>
    <t>PI_t5_ELOW_Tile_1b</t>
  </si>
  <si>
    <t>PI_t5_ELOW_Tile_2a</t>
  </si>
  <si>
    <t>PI_t5_ELOW_Tile_2b</t>
  </si>
  <si>
    <t>PI_t5_ELOW_Tile_2c</t>
  </si>
  <si>
    <t>PI_t5_ELOW_Tile_3a</t>
  </si>
  <si>
    <t>PI_t5_ELOW_Tile_3b</t>
  </si>
  <si>
    <t>PI_t5_ELOW_Tile_3c</t>
  </si>
  <si>
    <t>PI_t2_ELOW_Tile_1c</t>
  </si>
  <si>
    <t>PI_t4_ELOW_Tile_1c</t>
  </si>
  <si>
    <t>PI_t5_ELOW_Tile_1c</t>
  </si>
  <si>
    <t>PI_t6_ELOW_Tile_1a</t>
  </si>
  <si>
    <t>PI_t6_ELOW_Tile_1b</t>
  </si>
  <si>
    <t>PI_t6_ELOW_Tile_1c</t>
  </si>
  <si>
    <t>PI_t6_ELOW_Tile_2a</t>
  </si>
  <si>
    <t>PI_t6_ELOW_Tile_2b</t>
  </si>
  <si>
    <t>PI_t6_ELOW_Tile_2c</t>
  </si>
  <si>
    <t>PI_t6_ELOW_Tile_3a</t>
  </si>
  <si>
    <t>PI_t6_ELOW_Tile_3b</t>
  </si>
  <si>
    <t>PI_t7_ELOW_Tile_1a</t>
  </si>
  <si>
    <t>PI_t7_ELOW_Tile_1b</t>
  </si>
  <si>
    <t>PI_t7_ELOW_Tile_1c</t>
  </si>
  <si>
    <t>PI_t7_ELOW_Tile_2a</t>
  </si>
  <si>
    <t>PI_t7_ELOW_Tile_2b</t>
  </si>
  <si>
    <t>PI_t7_ELOW_Tile_2c</t>
  </si>
  <si>
    <t>PI_t7_ELOW_Tile_3a</t>
  </si>
  <si>
    <t>PI_t7_ELOW_Tile_3b</t>
  </si>
  <si>
    <t>PI_t8_ELOW_Tile_1a</t>
  </si>
  <si>
    <t>PI_t8_ELOW_Tile_1b</t>
  </si>
  <si>
    <t>PI_t8_ELOW_Tile_2a</t>
  </si>
  <si>
    <t>PI_t8_ELOW_Tile_2b</t>
  </si>
  <si>
    <t>PI_t8_ELOW_Tile_3a</t>
  </si>
  <si>
    <t>PI_t8_ELOW_Tile_3b</t>
  </si>
  <si>
    <t>PI_t8_ELOW_Tile_3c</t>
  </si>
  <si>
    <t>PI_t1_LOW_Tile_1a</t>
  </si>
  <si>
    <t>PI_t1_LOW_Tile_1b</t>
  </si>
  <si>
    <t>PI_t1_LOW_Tile_2a</t>
  </si>
  <si>
    <t>PI_t1_LOW_Tile_2c</t>
  </si>
  <si>
    <t>PI_t1_LOW_Tile_3a</t>
  </si>
  <si>
    <t>PI_t1_LOW_Tile_3b</t>
  </si>
  <si>
    <t>PI_t1_LOW_Tile_3c</t>
  </si>
  <si>
    <t>PI_t1_LOW_blank_a</t>
  </si>
  <si>
    <t>PI_t1_LOW_blank_b</t>
  </si>
  <si>
    <t>PI_t1_LOW_blank_c</t>
  </si>
  <si>
    <t>PI_t2_LOW_Tile_1a</t>
  </si>
  <si>
    <t>PI_t2_LOW_Tile_1b</t>
  </si>
  <si>
    <t>PI_t2_LOW_Tile_2a</t>
  </si>
  <si>
    <t>PI_t2_LOW_Tile_2b</t>
  </si>
  <si>
    <t>PI_t2_LOW_Tile_3a</t>
  </si>
  <si>
    <t>PI_t2_LOW_Tile_3b</t>
  </si>
  <si>
    <t>PI_t3_LOW_Tile_1a</t>
  </si>
  <si>
    <t>PI_t3_LOW_Tile_1b</t>
  </si>
  <si>
    <t>PI_t3_LOW_Tile_2a</t>
  </si>
  <si>
    <t>PI_t3_LOW_Tile_2b</t>
  </si>
  <si>
    <t>PI_t3_LOW_Tile_2c</t>
  </si>
  <si>
    <t>PI_t3_LOW_Tile_3a</t>
  </si>
  <si>
    <t>PI_t3_LOW_Tile_3b</t>
  </si>
  <si>
    <t>PI_t4_LOW_Tile_1a</t>
  </si>
  <si>
    <t>PI_t4_LOW_Tile_1b</t>
  </si>
  <si>
    <t>PI_t4_LOW_Tile_1c</t>
  </si>
  <si>
    <t>PI_t4_LOW_Tile_2a</t>
  </si>
  <si>
    <t>PI_t4_LOW_Tile_2b</t>
  </si>
  <si>
    <t>PI_t4_LOW_Tile_3a</t>
  </si>
  <si>
    <t>PI_t4_LOW_Tile_3b</t>
  </si>
  <si>
    <t>PI_t4_LOW_Tile_3c</t>
  </si>
  <si>
    <t>PI_t5_LOW_Tile_1a</t>
  </si>
  <si>
    <t>PI_t5_LOW_Tile_1b</t>
  </si>
  <si>
    <t>PI_t5_LOW_Tile_2a</t>
  </si>
  <si>
    <t>PI_t5_LOW_Tile_2b</t>
  </si>
  <si>
    <t>PI_t5_LOW_Tile_2c</t>
  </si>
  <si>
    <t>PI_t5_LOW_Tile_3a</t>
  </si>
  <si>
    <t>PI_t5_LOW_Tile_3b</t>
  </si>
  <si>
    <t>PI_t5_LOW_Tile_3c</t>
  </si>
  <si>
    <t>PI_t6_LOW_Tile_1a</t>
  </si>
  <si>
    <t>PI_t6_LOW_Tile_1b</t>
  </si>
  <si>
    <t>PI_t6_LOW_Tile_1c</t>
  </si>
  <si>
    <t>PI_t6_LOW_Tile_2a</t>
  </si>
  <si>
    <t>PI_t6_LOW_Tile_2b</t>
  </si>
  <si>
    <t>PI_t6_LOW_Tile_3a</t>
  </si>
  <si>
    <t>PI_t6_LOW_Tile_3b</t>
  </si>
  <si>
    <t>PI_t6_LOW_Tile_3c</t>
  </si>
  <si>
    <t>PI_t7_LOW_Tile_1a</t>
  </si>
  <si>
    <t>PI_t7_LOW_Tile_1b</t>
  </si>
  <si>
    <t>PI_t7_LOW_Tile_2a</t>
  </si>
  <si>
    <t>PI_t7_LOW_Tile_2b</t>
  </si>
  <si>
    <t>PI_t7_LOW_Tile_2c</t>
  </si>
  <si>
    <t>PI_t7_LOW_Tile_3a</t>
  </si>
  <si>
    <t>PI_t7_LOW_Tile_3b</t>
  </si>
  <si>
    <t>PI_t7_LOW_Tile_3c</t>
  </si>
  <si>
    <t>PI_t1_AMB_Tile_1a</t>
  </si>
  <si>
    <t>PI_t1_AMB_Tile_1b</t>
  </si>
  <si>
    <t>PI_t1_AMB_Tile_2a</t>
  </si>
  <si>
    <t>PI_t1_AMB_Tile_2b</t>
  </si>
  <si>
    <t>PI_t1_AMB_Tile_3a</t>
  </si>
  <si>
    <t>PI_t1_AMB_Tile_3b</t>
  </si>
  <si>
    <t>PI_t1_AMB_blank_a</t>
  </si>
  <si>
    <t>PI_t1_AMB_blank_b</t>
  </si>
  <si>
    <t>PI_t1_AMB_blank_c</t>
  </si>
  <si>
    <t>PI_t2_AMB_Tile_1a</t>
  </si>
  <si>
    <t>PI_t2_AMB_Tile_1b</t>
  </si>
  <si>
    <t>PI_t2_AMB_Tile_1c</t>
  </si>
  <si>
    <t>PI_t2_AMB_Tile_2a</t>
  </si>
  <si>
    <t>PI_t2_AMB_Tile_2b</t>
  </si>
  <si>
    <t>PI_t2_AMB_Tile_3a</t>
  </si>
  <si>
    <t>PI_t2_AMB_Tile_3b</t>
  </si>
  <si>
    <t>PI_t3_AMB_Tile_1a</t>
  </si>
  <si>
    <t>PI_t3_AMB_Tile_1b</t>
  </si>
  <si>
    <t>PI_t3_AMB_Tile_2a</t>
  </si>
  <si>
    <t>PI_t3_AMB_Tile_2b</t>
  </si>
  <si>
    <t>PI_t3_AMB_Tile_3a</t>
  </si>
  <si>
    <t>PI_t3_AMB_Tile_3b</t>
  </si>
  <si>
    <t>PI_t3_AMB_Tile_3c</t>
  </si>
  <si>
    <t>PI_t4_AMB_Tile_1a</t>
  </si>
  <si>
    <t>PI_t4_AMB_Tile_1b</t>
  </si>
  <si>
    <t>PI_t4_AMB_Tile_2a</t>
  </si>
  <si>
    <t>PI_t4_AMB_Tile_2b</t>
  </si>
  <si>
    <t>PI_t4_AMB_Tile_2c</t>
  </si>
  <si>
    <t>PI_t4_AMB_Tile_3a</t>
  </si>
  <si>
    <t>PI_t4_AMB_Tile_3b</t>
  </si>
  <si>
    <t>PI_t5_AMB_Tile_1a</t>
  </si>
  <si>
    <t>PI_t5_AMB_Tile_1b</t>
  </si>
  <si>
    <t>PI_t5_AMB_Tile_2a</t>
  </si>
  <si>
    <t>PI_t5_AMB_Tile_2b</t>
  </si>
  <si>
    <t>PI_t5_AMB_Tile_3a</t>
  </si>
  <si>
    <t>PI_t5_AMB_Tile_3b</t>
  </si>
  <si>
    <t>PI_t6_AMB_Tile_1a</t>
  </si>
  <si>
    <t>PI_t6_AMB_Tile_1b</t>
  </si>
  <si>
    <t>PI_t6_AMB_Tile_2a</t>
  </si>
  <si>
    <t>PI_t6_AMB_Tile_2b</t>
  </si>
  <si>
    <t>PI_t6_AMB_Tile_2c</t>
  </si>
  <si>
    <t>PI_t6_AMB_Tile_3a</t>
  </si>
  <si>
    <t>PI_t6_AMB_Tile_3c</t>
  </si>
  <si>
    <t>PI_t7_AMB_Tile_1a</t>
  </si>
  <si>
    <t>PI_t7_AMB_Tile_1b</t>
  </si>
  <si>
    <t>PI_t7_AMB_Tile_1c</t>
  </si>
  <si>
    <t>PI_t7_AMB_Tile_2a</t>
  </si>
  <si>
    <t>PI_t7_AMB_Tile_2b</t>
  </si>
  <si>
    <t>PI_t7_AMB_Tile_3a</t>
  </si>
  <si>
    <t>PI_t7_AMB_Tile_3b</t>
  </si>
  <si>
    <t>PI_t7_AMB_Tile_3c</t>
  </si>
  <si>
    <t>PI_t2_ELOW_Tile_3e</t>
  </si>
  <si>
    <t>PI_t4_ELOW_Tile_3d</t>
  </si>
  <si>
    <t>PI_t6_ELOW_Tile_3d</t>
  </si>
  <si>
    <t>PI_t1_LOW_Tile_2d</t>
  </si>
  <si>
    <t>PI_t2_LOW_Tile_3d</t>
  </si>
  <si>
    <t>PI_t3_LOW_Tile_3e</t>
  </si>
  <si>
    <t>PI_t4_LOW_Tile_2d</t>
  </si>
  <si>
    <t>Tn_t1_ELOW_tile_01a</t>
  </si>
  <si>
    <t>Tn_t1_ELOW_tile_01b</t>
  </si>
  <si>
    <t>Tn_t1_ELOW_tile_02a</t>
  </si>
  <si>
    <t>Tn_t1_ELOW_tile_02b</t>
  </si>
  <si>
    <t>Tn_t1_ELOW_tile_03a</t>
  </si>
  <si>
    <t>Tn_t1_ELOW_tile_03b</t>
  </si>
  <si>
    <t>Tn_t1_ELOW_tile_03c</t>
  </si>
  <si>
    <t>Tn_t1_ELOW_blank_01a</t>
  </si>
  <si>
    <t>Tn_t1_ELOW_blank_01b</t>
  </si>
  <si>
    <t>Tn_t1_ELOW_blank_01c</t>
  </si>
  <si>
    <t>Tn_t1_ELOW_tile_04a</t>
  </si>
  <si>
    <t>Tn_t1_ELOW_tile_04b</t>
  </si>
  <si>
    <t>Tn_t1_ELOW_tile_04c</t>
  </si>
  <si>
    <t>Tn_t1_ELOW_tile_05a</t>
  </si>
  <si>
    <t>Tn_t1_ELOW_tile_05b</t>
  </si>
  <si>
    <t>Tn_t1_ELOW_tile_05c</t>
  </si>
  <si>
    <t>Tn_t1_ELOW_tile_06a</t>
  </si>
  <si>
    <t>Tn_t1_ELOW_tile_06b</t>
  </si>
  <si>
    <t>Tn_t1_ELOW_tile_06c</t>
  </si>
  <si>
    <t>Tn_t1_ELOW_blank_02a</t>
  </si>
  <si>
    <t>Tn_t1_ELOW_blank_02b</t>
  </si>
  <si>
    <t>Tn_t1_ELOW_blank_02c</t>
  </si>
  <si>
    <t>Tn_t1_LOW_tile_01a</t>
  </si>
  <si>
    <t>Tn_t1_LOW_tile_01b</t>
  </si>
  <si>
    <t>Tn_t1_LOW_tile_01c</t>
  </si>
  <si>
    <t>Tn_t1_LOW_tile_02a</t>
  </si>
  <si>
    <t>Tn_t1_LOW_tile_02b</t>
  </si>
  <si>
    <t>Tn_t1_LOW_tile_03a</t>
  </si>
  <si>
    <t>Tn_t1_LOW_tile_03b</t>
  </si>
  <si>
    <t>Tn_t1_LOW_blank_01a</t>
  </si>
  <si>
    <t>Tn_t1_LOW_blank_01b</t>
  </si>
  <si>
    <t>Tn_t1_LOW_blank_01c</t>
  </si>
  <si>
    <t>Tn_t1_LOW_tile_04a</t>
  </si>
  <si>
    <t>Tn_t1_LOW_tile_04b</t>
  </si>
  <si>
    <t>Tn_t1_LOW_tile_04c</t>
  </si>
  <si>
    <t>Tn_t1_LOW_tile_05a</t>
  </si>
  <si>
    <t>Tn_t1_LOW_tile_05b</t>
  </si>
  <si>
    <t>Tn_t1_LOW_tile_05c</t>
  </si>
  <si>
    <t>Tn_t1_LOW_tile_06a</t>
  </si>
  <si>
    <t>Tn_t1_LOW_tile_06b</t>
  </si>
  <si>
    <t>Tn_t1_LOW_blank_02a</t>
  </si>
  <si>
    <t>Tn_t1_LOW_blank_02b</t>
  </si>
  <si>
    <t>Tn_t1_AMB_tile_01a</t>
  </si>
  <si>
    <t>Tn_t1_AMB_tile_01b</t>
  </si>
  <si>
    <t>Tn_t1_AMB_tile_02a</t>
  </si>
  <si>
    <t>Tn_t1_AMB_tile_02b</t>
  </si>
  <si>
    <t>Tn_t1_AMB_tile_03a</t>
  </si>
  <si>
    <t>Tn_t1_AMB_tile_03b</t>
  </si>
  <si>
    <t>Tn_t1_AMB_blank_01a</t>
  </si>
  <si>
    <t>Tn_t1_AMB_blank_01b</t>
  </si>
  <si>
    <t>Tn_t1_AMB_blank_01c</t>
  </si>
  <si>
    <t>Tn_t1_AMB_tile_04a</t>
  </si>
  <si>
    <t>Tn_t1_AMB_tile_04b</t>
  </si>
  <si>
    <t>Tn_t1_AMB_tile_04c</t>
  </si>
  <si>
    <t>Tn_t1_AMB_tile_05a</t>
  </si>
  <si>
    <t>Tn_t1_AMB_tile_05b</t>
  </si>
  <si>
    <t>Tn_t1_AMB_tile_05c</t>
  </si>
  <si>
    <t>Tn_t1_AMB_tile_06a</t>
  </si>
  <si>
    <t>Tn_t1_AMB_tile_06b</t>
  </si>
  <si>
    <t>Tn_t1_AMB_blank_02a</t>
  </si>
  <si>
    <t>Tn_t1_AMB_blank_02b</t>
  </si>
  <si>
    <t>Tn_t0_ELOW_blank_01a</t>
  </si>
  <si>
    <t>Tn_t0_ELOW_blank_01b</t>
  </si>
  <si>
    <t>Tn_t0_ELOW_blank_01c</t>
  </si>
  <si>
    <t>Tn_t0_ELOW_blank_02a</t>
  </si>
  <si>
    <t>Tn_t0_ELOW_blank_02b</t>
  </si>
  <si>
    <t>Tn_t0_ELOW_blank_02c</t>
  </si>
  <si>
    <t>Tn_t0_LOW_blank_01a</t>
  </si>
  <si>
    <t>Tn_t0_LOW_blank_01b</t>
  </si>
  <si>
    <t>Tn_t0_LOW_blank_02a</t>
  </si>
  <si>
    <t>Tn_t0_LOW_blank_02b</t>
  </si>
  <si>
    <t>Tn_t0_AMB_blank_01a</t>
  </si>
  <si>
    <t>Tn_t0_AMB_blank_01b</t>
  </si>
  <si>
    <t>Tn_t0_AMB_blank_01c</t>
  </si>
  <si>
    <t>Tn_t0_AMB_blank_02a</t>
  </si>
  <si>
    <t>Tn_t0_AMB_blank_02b</t>
  </si>
  <si>
    <t>T2_t0_ELOW_blank_01a</t>
  </si>
  <si>
    <t>T2_t0_ELOW_blank_01b</t>
  </si>
  <si>
    <t>T2_t0_ELOW_blank_01c</t>
  </si>
  <si>
    <t>T2_t0_ELOW_blank_02a</t>
  </si>
  <si>
    <t>T2_t0_ELOW_blank_02b</t>
  </si>
  <si>
    <t>T2_t1_ELOW_tile_01a</t>
  </si>
  <si>
    <t>T2_t1_ELOW_tile_01b</t>
  </si>
  <si>
    <t>T2_t1_ELOW_tile_02a</t>
  </si>
  <si>
    <t>T2_t1_ELOW_tile_02b</t>
  </si>
  <si>
    <t>T2_t1_ELOW_tile_02c</t>
  </si>
  <si>
    <t>T2_t1_ELOW_tile_03a</t>
  </si>
  <si>
    <t>T2_t1_ELOW_tile_03b</t>
  </si>
  <si>
    <t>T2_t1_ELOW_blank_01a</t>
  </si>
  <si>
    <t>T2_t1_ELOW_blank_01b</t>
  </si>
  <si>
    <t>T2_t1_ELOW_tile_04a</t>
  </si>
  <si>
    <t>T2_t1_ELOW_tile_04b</t>
  </si>
  <si>
    <t>T2_t1_ELOW_tile_05a</t>
  </si>
  <si>
    <t>T2_t1_ELOW_tile_05b</t>
  </si>
  <si>
    <t>T2_t1_ELOW_tile_05c</t>
  </si>
  <si>
    <t>T2_t1_ELOW_tile_06a</t>
  </si>
  <si>
    <t>T2_t1_ELOW_tile_06b</t>
  </si>
  <si>
    <t>T2_t1_ELOW_blank_02a</t>
  </si>
  <si>
    <t>T2_t1_ELOW_blank_02b</t>
  </si>
  <si>
    <t>T2_t0_LOW_blank_01a</t>
  </si>
  <si>
    <t>T2_t0_LOW_blank_01b</t>
  </si>
  <si>
    <t>T2_t0_LOW_blank_02a</t>
  </si>
  <si>
    <t>T2_t0_LOW_blank_02b</t>
  </si>
  <si>
    <t>T2_t1_LOW_tile_01a</t>
  </si>
  <si>
    <t>T2_t1_LOW_tile_01b</t>
  </si>
  <si>
    <t>T2_t1_LOW_tile_01c</t>
  </si>
  <si>
    <t>T2_t1_LOW_tile_02a</t>
  </si>
  <si>
    <t>T2_t1_LOW_tile_02b</t>
  </si>
  <si>
    <t>T2_t1_LOW_tile_02c</t>
  </si>
  <si>
    <t>T2_t1_LOW_tile_03a</t>
  </si>
  <si>
    <t>T2_t1_LOW_tile_03b</t>
  </si>
  <si>
    <t>T2_t1_LOW_tile_03c</t>
  </si>
  <si>
    <t>T2_t1_LOW_blank_01a</t>
  </si>
  <si>
    <t>T2_t1_LOW_blank_01b</t>
  </si>
  <si>
    <t>T2_t1_LOW_blank_01c</t>
  </si>
  <si>
    <t>T2_t1_LOW_tile_04a</t>
  </si>
  <si>
    <t>T2_t1_LOW_tile_04b</t>
  </si>
  <si>
    <t>T2_t1_LOW_tile_05a</t>
  </si>
  <si>
    <t>T2_t1_LOW_tile_05b</t>
  </si>
  <si>
    <t>T2_t1_LOW_tile_06a</t>
  </si>
  <si>
    <t>T2_t1_LOW_tile_06b</t>
  </si>
  <si>
    <t>T2_t1_LOW_blank_02a</t>
  </si>
  <si>
    <t>T2_t1_LOW_blank_02b</t>
  </si>
  <si>
    <t>T2_t0_AMB_blank_01a</t>
  </si>
  <si>
    <t>T2_t0_AMB_blank_01b</t>
  </si>
  <si>
    <t>T2_t0_AMB_blank_01c</t>
  </si>
  <si>
    <t>T2_t0_AMB_blank_02a</t>
  </si>
  <si>
    <t>T2_t0_AMB_blank_02b</t>
  </si>
  <si>
    <t>T2_t1_AMB_tile_01a</t>
  </si>
  <si>
    <t>T2_t1_AMB_tile_01b</t>
  </si>
  <si>
    <t>T2_t1_AMB_tile_01c</t>
  </si>
  <si>
    <t>T2_t1_AMB_tile_02a</t>
  </si>
  <si>
    <t>T2_t1_AMB_tile_02c</t>
  </si>
  <si>
    <t>T2_t1_AMB_tile_03a</t>
  </si>
  <si>
    <t>T2_t1_AMB_tile_03b</t>
  </si>
  <si>
    <t>T2_t1_AMB_tile_03c</t>
  </si>
  <si>
    <t>T2_t1_AMB_blank_01a</t>
  </si>
  <si>
    <t>T2_t1_AMB_blank_01b</t>
  </si>
  <si>
    <t>T2_t1_AMB_tile_04a</t>
  </si>
  <si>
    <t>T2_t1_AMB_tile_04b</t>
  </si>
  <si>
    <t>T2_t1_AMB_tile_04c</t>
  </si>
  <si>
    <t>T2_t1_AMB_tile_05a</t>
  </si>
  <si>
    <t>T2_t1_AMB_tile_05b</t>
  </si>
  <si>
    <t>T2_t1_AMB_tile_05c</t>
  </si>
  <si>
    <t>T2_t1_AMB_tile_06a</t>
  </si>
  <si>
    <t>T2_t1_AMB_tile_06b</t>
  </si>
  <si>
    <t>T2_t1_AMB_blank_02a</t>
  </si>
  <si>
    <t>T2_t1_AMB_blank_02b</t>
  </si>
  <si>
    <t>PI_t5_AMB_Tile_3d</t>
  </si>
  <si>
    <t>PI_t6_AMB_Tile_3d</t>
  </si>
  <si>
    <t>Ali e Anto</t>
  </si>
  <si>
    <t>Tn_t1_LOW_blank_01d</t>
  </si>
  <si>
    <t>T2_t1_LOW_blank_01d</t>
  </si>
  <si>
    <t>T2_t1_AMB_tile_02e</t>
  </si>
  <si>
    <t>T2_t1_AMB_tile_06e</t>
  </si>
  <si>
    <t>T3_t0_ELOW_blank_01a</t>
  </si>
  <si>
    <t>T3_t0_ELOW_blank_01b</t>
  </si>
  <si>
    <t>T3_t0_ELOW_blank_01c</t>
  </si>
  <si>
    <t>T3_t0_ELOW_blank_02a</t>
  </si>
  <si>
    <t>T3_t0_ELOW_blank_02b</t>
  </si>
  <si>
    <t>T3_t1_ELOW_tile_01a</t>
  </si>
  <si>
    <t>T3_t1_ELOW_tile_01b</t>
  </si>
  <si>
    <t>T3_t1_ELOW_tile_02a</t>
  </si>
  <si>
    <t>T3_t1_ELOW_tile_02b</t>
  </si>
  <si>
    <t>T3_t1_ELOW_tile_02c</t>
  </si>
  <si>
    <t>T3_t1_ELOW_tile_03a</t>
  </si>
  <si>
    <t>T3_t1_ELOW_tile_03b</t>
  </si>
  <si>
    <t>T3_t1_ELOW_blank_01a</t>
  </si>
  <si>
    <t>T3_t1_ELOW_blank_01b</t>
  </si>
  <si>
    <t>T3_t1_ELOW_tile_04a</t>
  </si>
  <si>
    <t>T3_t1_ELOW_tile_04b</t>
  </si>
  <si>
    <t>T3_t1_ELOW_tile_05a</t>
  </si>
  <si>
    <t>T3_t1_ELOW_tile_05b</t>
  </si>
  <si>
    <t>T3_t1_ELOW_tile_05c</t>
  </si>
  <si>
    <t>T3_t1_ELOW_tile_06a</t>
  </si>
  <si>
    <t>T3_t1_ELOW_tile_06b</t>
  </si>
  <si>
    <t>T3_t1_ELOW_blank_02a</t>
  </si>
  <si>
    <t>T3_t1_ELOW_blank_02b</t>
  </si>
  <si>
    <t>T3_t0_LOW_blank_01a</t>
  </si>
  <si>
    <t>T3_t0_LOW_blank_01b</t>
  </si>
  <si>
    <t>T3_t0_LOW_blank_02a</t>
  </si>
  <si>
    <t>T3_t0_LOW_blank_02b</t>
  </si>
  <si>
    <t>T3_t1_LOW_tile_01a</t>
  </si>
  <si>
    <t>T3_t1_LOW_tile_01b</t>
  </si>
  <si>
    <t>T3_t1_LOW_tile_01c</t>
  </si>
  <si>
    <t>T3_t1_LOW_tile_02a</t>
  </si>
  <si>
    <t>T3_t1_LOW_tile_02b</t>
  </si>
  <si>
    <t>T3_t1_LOW_tile_02c</t>
  </si>
  <si>
    <t>T3_t1_LOW_tile_03a</t>
  </si>
  <si>
    <t>T3_t1_LOW_tile_03b</t>
  </si>
  <si>
    <t>T3_t1_LOW_tile_03c</t>
  </si>
  <si>
    <t>T3_t1_LOW_blank_01a</t>
  </si>
  <si>
    <t>T3_t1_LOW_blank_01b</t>
  </si>
  <si>
    <t>T3_t1_LOW_blank_01c</t>
  </si>
  <si>
    <t>T3_t1_LOW_blank_01d</t>
  </si>
  <si>
    <t>T3_t1_LOW_tile_04a</t>
  </si>
  <si>
    <t>T3_t1_LOW_tile_04b</t>
  </si>
  <si>
    <t>T3_t1_LOW_tile_05a</t>
  </si>
  <si>
    <t>T3_t1_LOW_tile_05b</t>
  </si>
  <si>
    <t>T3_t1_LOW_tile_06a</t>
  </si>
  <si>
    <t>T3_t1_LOW_tile_06b</t>
  </si>
  <si>
    <t>T3_t1_LOW_blank_02a</t>
  </si>
  <si>
    <t>T3_t1_LOW_blank_02b</t>
  </si>
  <si>
    <t>T3_t0_AMB_blank_01a</t>
  </si>
  <si>
    <t>T3_t0_AMB_blank_01b</t>
  </si>
  <si>
    <t>T3_t0_AMB_blank_01c</t>
  </si>
  <si>
    <t>T3_t0_AMB_blank_02a</t>
  </si>
  <si>
    <t>T3_t0_AMB_blank_02b</t>
  </si>
  <si>
    <t>T3_t1_AMB_tile_01a</t>
  </si>
  <si>
    <t>T3_t1_AMB_tile_01b</t>
  </si>
  <si>
    <t>T3_t1_AMB_tile_01c</t>
  </si>
  <si>
    <t>T3_t1_AMB_tile_02a</t>
  </si>
  <si>
    <t>T3_t1_AMB_tile_02c</t>
  </si>
  <si>
    <t>T3_t1_AMB_tile_02e</t>
  </si>
  <si>
    <t>T3_t1_AMB_tile_03a</t>
  </si>
  <si>
    <t>T3_t1_AMB_tile_03b</t>
  </si>
  <si>
    <t>T3_t1_AMB_tile_03c</t>
  </si>
  <si>
    <t>T3_t1_AMB_blank_01a</t>
  </si>
  <si>
    <t>T3_t1_AMB_blank_01b</t>
  </si>
  <si>
    <t>T3_t1_AMB_tile_04a</t>
  </si>
  <si>
    <t>T3_t1_AMB_tile_04b</t>
  </si>
  <si>
    <t>T3_t1_AMB_tile_04c</t>
  </si>
  <si>
    <t>T3_t1_AMB_tile_05a</t>
  </si>
  <si>
    <t>T3_t1_AMB_tile_05b</t>
  </si>
  <si>
    <t>T3_t1_AMB_tile_05c</t>
  </si>
  <si>
    <t>T3_t1_AMB_tile_06a</t>
  </si>
  <si>
    <t>T3_t1_AMB_tile_06b</t>
  </si>
  <si>
    <t>T3_t1_AMB_tile_06e</t>
  </si>
  <si>
    <t>T3_t1_AMB_blank_02a</t>
  </si>
  <si>
    <t>T3_t1_AMB_blank_02b</t>
  </si>
  <si>
    <t>CRM4</t>
  </si>
  <si>
    <t>T3_t1_ELOW_tile_01c</t>
  </si>
  <si>
    <t>T3_t1_ELOW_blank_02c</t>
  </si>
  <si>
    <t>T3_t1_ELOW_tile_06c</t>
  </si>
  <si>
    <t>T3_t1_ELOW_tile_04c</t>
  </si>
  <si>
    <t>T3_t1_ELOW_blank_01c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</si>
</sst>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 Light"/>
      <family val="2"/>
      <scheme val="major"/>
    </font>
    <font>
      <sz val="11"/>
      <color indexed="8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1"/>
      <color indexed="8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8"/>
      <name val="Calibri"/>
      <family val="2"/>
      <scheme val="minor"/>
    </font>
    <font>
      <sz val="11"/>
      <color rgb="FF000000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4">
    <xf numFmtId="0" fontId="0" fillId="0" borderId="0" xfId="0"/>
    <xf numFmtId="0" fontId="2" fillId="0" borderId="0" xfId="0" applyFont="1"/>
    <xf numFmtId="0" fontId="3" fillId="0" borderId="0" xfId="0" applyNumberFormat="1" applyFont="1"/>
    <xf numFmtId="2" fontId="3" fillId="0" borderId="0" xfId="0" applyNumberFormat="1" applyFont="1" applyAlignment="1">
      <alignment horizontal="center"/>
    </xf>
    <xf numFmtId="2" fontId="3" fillId="0" borderId="0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6" fillId="0" borderId="0" xfId="0" applyNumberFormat="1" applyFont="1" applyBorder="1"/>
    <xf numFmtId="0" fontId="7" fillId="0" borderId="0" xfId="0" applyNumberFormat="1" applyFont="1" applyBorder="1" applyAlignment="1">
      <alignment horizontal="center"/>
    </xf>
    <xf numFmtId="0" fontId="6" fillId="0" borderId="0" xfId="1" applyNumberFormat="1" applyFont="1" applyFill="1" applyBorder="1" applyAlignment="1" applyProtection="1">
      <alignment wrapText="1"/>
    </xf>
    <xf numFmtId="0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2" fontId="3" fillId="0" borderId="0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2" fontId="8" fillId="0" borderId="0" xfId="0" applyNumberFormat="1" applyFont="1" applyFill="1" applyBorder="1" applyAlignment="1">
      <alignment horizontal="center"/>
    </xf>
    <xf numFmtId="0" fontId="9" fillId="0" borderId="0" xfId="0" applyNumberFormat="1" applyFont="1" applyBorder="1"/>
    <xf numFmtId="0" fontId="5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8" fillId="0" borderId="0" xfId="0" applyNumberFormat="1" applyFont="1" applyAlignment="1">
      <alignment horizontal="left"/>
    </xf>
    <xf numFmtId="0" fontId="3" fillId="0" borderId="0" xfId="0" applyNumberFormat="1" applyFont="1" applyFill="1" applyAlignment="1">
      <alignment horizontal="center"/>
    </xf>
    <xf numFmtId="14" fontId="3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0" fontId="8" fillId="0" borderId="0" xfId="0" applyNumberFormat="1" applyFont="1" applyFill="1" applyAlignment="1">
      <alignment horizontal="left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2" fontId="4" fillId="0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left"/>
    </xf>
    <xf numFmtId="2" fontId="11" fillId="0" borderId="0" xfId="0" applyNumberFormat="1" applyFont="1" applyAlignment="1">
      <alignment horizontal="left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1"/>
  <sheetViews>
    <sheetView tabSelected="1" zoomScale="90" zoomScaleNormal="73" workbookViewId="0">
      <pane ySplit="1" topLeftCell="A602" activePane="bottomLeft" state="frozen"/>
      <selection pane="bottomLeft" activeCell="F619" sqref="F619"/>
    </sheetView>
  </sheetViews>
  <sheetFormatPr baseColWidth="10" defaultColWidth="9.1640625" defaultRowHeight="15" x14ac:dyDescent="0.2"/>
  <cols>
    <col min="1" max="1" width="10.33203125" style="15" bestFit="1" customWidth="1"/>
    <col min="2" max="2" width="14.33203125" style="31" bestFit="1" customWidth="1"/>
    <col min="3" max="3" width="13.83203125" style="15" bestFit="1" customWidth="1"/>
    <col min="4" max="4" width="10.1640625" style="5" bestFit="1" customWidth="1"/>
    <col min="5" max="5" width="11" style="5" bestFit="1" customWidth="1"/>
    <col min="6" max="6" width="22.6640625" style="17" bestFit="1" customWidth="1"/>
    <col min="7" max="7" width="12.83203125" style="15" bestFit="1" customWidth="1"/>
    <col min="8" max="8" width="9.6640625" style="15" bestFit="1" customWidth="1"/>
    <col min="9" max="9" width="15" style="15" customWidth="1"/>
    <col min="10" max="10" width="12.5" style="15" bestFit="1" customWidth="1"/>
    <col min="11" max="11" width="11.5" style="15" bestFit="1" customWidth="1"/>
    <col min="12" max="12" width="5.83203125" style="1" bestFit="1" customWidth="1"/>
    <col min="13" max="16384" width="9.1640625" style="1"/>
  </cols>
  <sheetData>
    <row r="1" spans="1:12" ht="16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40</v>
      </c>
      <c r="H1" s="6" t="s">
        <v>41</v>
      </c>
      <c r="I1" s="6" t="s">
        <v>95</v>
      </c>
      <c r="J1" s="7" t="s">
        <v>10</v>
      </c>
      <c r="K1" s="19" t="s">
        <v>6</v>
      </c>
      <c r="L1" s="8" t="s">
        <v>7</v>
      </c>
    </row>
    <row r="2" spans="1:12" x14ac:dyDescent="0.2">
      <c r="A2" s="9" t="s">
        <v>11</v>
      </c>
      <c r="B2" s="10">
        <v>45057</v>
      </c>
      <c r="C2" s="10" t="s">
        <v>12</v>
      </c>
      <c r="D2" s="3">
        <v>48.92</v>
      </c>
      <c r="E2" s="11">
        <v>2237.2600000000002</v>
      </c>
      <c r="F2" s="16" t="s">
        <v>8</v>
      </c>
      <c r="G2" s="12">
        <f>AVERAGE(E2:E3)</f>
        <v>2236.7800000000002</v>
      </c>
      <c r="H2" s="13">
        <f>STDEV(E2:E3)</f>
        <v>0.67882250993911131</v>
      </c>
      <c r="I2" s="3">
        <v>2226.44</v>
      </c>
      <c r="J2" s="4">
        <f>I2-G2</f>
        <v>-10.340000000000146</v>
      </c>
      <c r="K2" s="5">
        <f>G2+J2</f>
        <v>2226.44</v>
      </c>
      <c r="L2" s="2" t="s">
        <v>94</v>
      </c>
    </row>
    <row r="3" spans="1:12" x14ac:dyDescent="0.2">
      <c r="A3" s="9" t="s">
        <v>11</v>
      </c>
      <c r="B3" s="10">
        <v>45057</v>
      </c>
      <c r="C3" s="10" t="s">
        <v>12</v>
      </c>
      <c r="D3" s="3">
        <v>50.76</v>
      </c>
      <c r="E3" s="3">
        <v>2236.3000000000002</v>
      </c>
      <c r="F3" s="16" t="s">
        <v>9</v>
      </c>
      <c r="G3" s="12"/>
      <c r="H3" s="12"/>
      <c r="I3" s="3"/>
      <c r="J3" s="3"/>
      <c r="K3" s="5"/>
      <c r="L3" s="2"/>
    </row>
    <row r="4" spans="1:12" x14ac:dyDescent="0.2">
      <c r="A4" s="9" t="s">
        <v>11</v>
      </c>
      <c r="B4" s="10">
        <v>45057</v>
      </c>
      <c r="C4" s="10" t="s">
        <v>12</v>
      </c>
      <c r="D4" s="3">
        <v>48.82</v>
      </c>
      <c r="E4" s="11">
        <v>2630.85</v>
      </c>
      <c r="F4" s="16" t="s">
        <v>20</v>
      </c>
      <c r="G4" s="13">
        <f>AVERAGE(E4:E5)</f>
        <v>2628.29</v>
      </c>
      <c r="H4" s="18">
        <f>STDEV(E4:E5)</f>
        <v>3.6203867196750461</v>
      </c>
      <c r="I4" s="5"/>
      <c r="J4" s="5"/>
      <c r="K4" s="5">
        <f>G4+$J$2</f>
        <v>2617.9499999999998</v>
      </c>
      <c r="L4" s="2"/>
    </row>
    <row r="5" spans="1:12" x14ac:dyDescent="0.2">
      <c r="A5" s="9" t="s">
        <v>11</v>
      </c>
      <c r="B5" s="10">
        <v>45057</v>
      </c>
      <c r="C5" s="10" t="s">
        <v>12</v>
      </c>
      <c r="D5" s="3">
        <v>51.66</v>
      </c>
      <c r="E5" s="3">
        <v>2625.73</v>
      </c>
      <c r="F5" s="16" t="s">
        <v>21</v>
      </c>
      <c r="G5" s="5"/>
      <c r="H5" s="5"/>
      <c r="I5" s="5"/>
      <c r="J5" s="5"/>
      <c r="K5" s="5"/>
      <c r="L5" s="2"/>
    </row>
    <row r="6" spans="1:12" x14ac:dyDescent="0.2">
      <c r="A6" s="9" t="s">
        <v>11</v>
      </c>
      <c r="B6" s="10">
        <v>45057</v>
      </c>
      <c r="C6" s="10" t="s">
        <v>12</v>
      </c>
      <c r="D6" s="3">
        <v>48.57</v>
      </c>
      <c r="E6" s="14">
        <v>2596.4699999999998</v>
      </c>
      <c r="F6" s="16" t="s">
        <v>22</v>
      </c>
      <c r="G6" s="5"/>
      <c r="H6" s="5"/>
      <c r="I6" s="5"/>
      <c r="J6" s="5"/>
      <c r="K6" s="5"/>
      <c r="L6" s="2"/>
    </row>
    <row r="7" spans="1:12" x14ac:dyDescent="0.2">
      <c r="A7" s="9" t="s">
        <v>11</v>
      </c>
      <c r="B7" s="10">
        <v>45057</v>
      </c>
      <c r="C7" s="10" t="s">
        <v>12</v>
      </c>
      <c r="D7" s="3">
        <v>51.95</v>
      </c>
      <c r="E7" s="3">
        <v>2619.85</v>
      </c>
      <c r="F7" s="16" t="s">
        <v>23</v>
      </c>
      <c r="G7" s="13">
        <f>AVERAGE(E7:E8)</f>
        <v>2617.6999999999998</v>
      </c>
      <c r="H7" s="13">
        <f>STDEV(E7:E8)</f>
        <v>3.0405591591019614</v>
      </c>
      <c r="I7" s="5"/>
      <c r="J7" s="5"/>
      <c r="K7" s="5">
        <f>G7+$J$2</f>
        <v>2607.3599999999997</v>
      </c>
      <c r="L7" s="2"/>
    </row>
    <row r="8" spans="1:12" x14ac:dyDescent="0.2">
      <c r="A8" s="9" t="s">
        <v>11</v>
      </c>
      <c r="B8" s="10">
        <v>45057</v>
      </c>
      <c r="C8" s="10" t="s">
        <v>12</v>
      </c>
      <c r="D8" s="3">
        <v>50.8</v>
      </c>
      <c r="E8" s="3">
        <v>2615.5500000000002</v>
      </c>
      <c r="F8" s="16" t="s">
        <v>24</v>
      </c>
      <c r="G8" s="5"/>
      <c r="H8" s="5"/>
      <c r="I8" s="5"/>
      <c r="J8" s="5"/>
      <c r="K8" s="5"/>
      <c r="L8" s="2"/>
    </row>
    <row r="9" spans="1:12" x14ac:dyDescent="0.2">
      <c r="A9" s="9" t="s">
        <v>11</v>
      </c>
      <c r="B9" s="10">
        <v>45057</v>
      </c>
      <c r="C9" s="10" t="s">
        <v>12</v>
      </c>
      <c r="D9" s="3">
        <v>48.46</v>
      </c>
      <c r="E9" s="14">
        <v>2628.15</v>
      </c>
      <c r="F9" s="16" t="s">
        <v>25</v>
      </c>
      <c r="G9" s="5"/>
      <c r="H9" s="5"/>
      <c r="I9" s="5"/>
      <c r="J9" s="5"/>
      <c r="K9" s="5"/>
      <c r="L9" s="2"/>
    </row>
    <row r="10" spans="1:12" x14ac:dyDescent="0.2">
      <c r="A10" s="9" t="s">
        <v>11</v>
      </c>
      <c r="B10" s="10">
        <v>45057</v>
      </c>
      <c r="C10" s="10" t="s">
        <v>12</v>
      </c>
      <c r="D10" s="3">
        <v>51.83</v>
      </c>
      <c r="E10" s="14">
        <v>2585.67</v>
      </c>
      <c r="F10" s="16" t="s">
        <v>13</v>
      </c>
      <c r="G10" s="13">
        <f>AVERAGE(E11:E12)</f>
        <v>2574.085</v>
      </c>
      <c r="H10" s="13">
        <f>STDEV(E11:E12)</f>
        <v>2.4395183950934602</v>
      </c>
      <c r="I10" s="5"/>
      <c r="J10" s="5"/>
      <c r="K10" s="5">
        <f>G10+$J$2</f>
        <v>2563.7449999999999</v>
      </c>
      <c r="L10" s="2"/>
    </row>
    <row r="11" spans="1:12" x14ac:dyDescent="0.2">
      <c r="A11" s="9" t="s">
        <v>11</v>
      </c>
      <c r="B11" s="10">
        <v>45057</v>
      </c>
      <c r="C11" s="10" t="s">
        <v>12</v>
      </c>
      <c r="D11" s="5">
        <v>50.38</v>
      </c>
      <c r="E11" s="5">
        <v>2572.36</v>
      </c>
      <c r="F11" s="16" t="s">
        <v>14</v>
      </c>
      <c r="G11" s="5"/>
      <c r="H11" s="5"/>
      <c r="I11" s="5"/>
      <c r="J11" s="5"/>
      <c r="K11" s="5"/>
    </row>
    <row r="12" spans="1:12" x14ac:dyDescent="0.2">
      <c r="A12" s="9" t="s">
        <v>11</v>
      </c>
      <c r="B12" s="10">
        <v>45057</v>
      </c>
      <c r="C12" s="10" t="s">
        <v>12</v>
      </c>
      <c r="D12" s="5">
        <v>49.39</v>
      </c>
      <c r="E12" s="5">
        <v>2575.81</v>
      </c>
      <c r="F12" s="16" t="s">
        <v>15</v>
      </c>
      <c r="G12" s="5"/>
      <c r="H12" s="5"/>
      <c r="I12" s="5"/>
      <c r="J12" s="5"/>
      <c r="K12" s="5"/>
    </row>
    <row r="13" spans="1:12" x14ac:dyDescent="0.2">
      <c r="A13" s="9" t="s">
        <v>11</v>
      </c>
      <c r="B13" s="10">
        <v>45057</v>
      </c>
      <c r="C13" s="10" t="s">
        <v>12</v>
      </c>
      <c r="D13" s="5">
        <v>52.3</v>
      </c>
      <c r="E13" s="5">
        <v>2600.09</v>
      </c>
      <c r="F13" s="16" t="s">
        <v>17</v>
      </c>
      <c r="G13" s="13">
        <f>AVERAGE(E13:E14)</f>
        <v>2603.2200000000003</v>
      </c>
      <c r="H13" s="13">
        <f>STDEV(E13:E14)</f>
        <v>4.4264884502276205</v>
      </c>
      <c r="I13" s="5"/>
      <c r="J13" s="5"/>
      <c r="K13" s="5">
        <f>G13+$J$2</f>
        <v>2592.88</v>
      </c>
    </row>
    <row r="14" spans="1:12" x14ac:dyDescent="0.2">
      <c r="A14" s="9" t="s">
        <v>11</v>
      </c>
      <c r="B14" s="10">
        <v>45057</v>
      </c>
      <c r="C14" s="10" t="s">
        <v>12</v>
      </c>
      <c r="D14" s="3">
        <v>50.43</v>
      </c>
      <c r="E14" s="3">
        <v>2606.35</v>
      </c>
      <c r="F14" s="16" t="s">
        <v>16</v>
      </c>
      <c r="G14" s="5"/>
      <c r="H14" s="5"/>
      <c r="I14" s="5"/>
      <c r="J14" s="5"/>
      <c r="K14" s="5"/>
      <c r="L14" s="2"/>
    </row>
    <row r="15" spans="1:12" x14ac:dyDescent="0.2">
      <c r="A15" s="9" t="s">
        <v>11</v>
      </c>
      <c r="B15" s="10">
        <v>45057</v>
      </c>
      <c r="C15" s="10" t="s">
        <v>12</v>
      </c>
      <c r="D15" s="5">
        <v>49.96</v>
      </c>
      <c r="E15" s="5">
        <v>2599</v>
      </c>
      <c r="F15" s="16" t="s">
        <v>18</v>
      </c>
      <c r="G15" s="13">
        <f>AVERAGE(E15:E16)</f>
        <v>2597.08</v>
      </c>
      <c r="H15" s="13">
        <f>STDEV(E15:E16)</f>
        <v>2.7152900397564452</v>
      </c>
      <c r="I15" s="5"/>
      <c r="J15" s="5"/>
      <c r="K15" s="5">
        <f>G15+$J$2</f>
        <v>2586.7399999999998</v>
      </c>
      <c r="L15" s="2"/>
    </row>
    <row r="16" spans="1:12" x14ac:dyDescent="0.2">
      <c r="A16" s="9" t="s">
        <v>11</v>
      </c>
      <c r="B16" s="10">
        <v>45057</v>
      </c>
      <c r="C16" s="10" t="s">
        <v>12</v>
      </c>
      <c r="D16" s="5">
        <v>49.1</v>
      </c>
      <c r="E16" s="5">
        <v>2595.16</v>
      </c>
      <c r="F16" s="16" t="s">
        <v>19</v>
      </c>
      <c r="G16" s="5"/>
      <c r="H16" s="5"/>
      <c r="I16" s="5"/>
      <c r="J16" s="5"/>
      <c r="K16" s="5"/>
    </row>
    <row r="17" spans="1:12" x14ac:dyDescent="0.2">
      <c r="A17" s="9" t="s">
        <v>11</v>
      </c>
      <c r="B17" s="10">
        <v>45057</v>
      </c>
      <c r="C17" s="10" t="s">
        <v>12</v>
      </c>
      <c r="D17" s="5">
        <v>54.9</v>
      </c>
      <c r="E17" s="14">
        <v>2618.6999999999998</v>
      </c>
      <c r="F17" s="16" t="s">
        <v>26</v>
      </c>
      <c r="G17" s="13">
        <f>AVERAGE(E18:E19)</f>
        <v>2631.54</v>
      </c>
      <c r="H17" s="18">
        <f>STDEV(E18:E19)</f>
        <v>3.2668333290817722</v>
      </c>
      <c r="I17" s="5"/>
      <c r="J17" s="5"/>
      <c r="K17" s="5">
        <f>G17+$J$2</f>
        <v>2621.1999999999998</v>
      </c>
    </row>
    <row r="18" spans="1:12" x14ac:dyDescent="0.2">
      <c r="A18" s="9" t="s">
        <v>11</v>
      </c>
      <c r="B18" s="10">
        <v>45057</v>
      </c>
      <c r="C18" s="10" t="s">
        <v>12</v>
      </c>
      <c r="D18" s="5">
        <v>50.81</v>
      </c>
      <c r="E18" s="5">
        <v>2633.85</v>
      </c>
      <c r="F18" s="16" t="s">
        <v>28</v>
      </c>
      <c r="G18" s="5"/>
      <c r="H18" s="5"/>
      <c r="I18" s="5"/>
      <c r="J18" s="5"/>
      <c r="K18" s="5"/>
    </row>
    <row r="19" spans="1:12" x14ac:dyDescent="0.2">
      <c r="A19" s="9" t="s">
        <v>11</v>
      </c>
      <c r="B19" s="10">
        <v>45057</v>
      </c>
      <c r="C19" s="10" t="s">
        <v>12</v>
      </c>
      <c r="D19" s="5">
        <v>50.46</v>
      </c>
      <c r="E19" s="5">
        <v>2629.23</v>
      </c>
      <c r="F19" s="16" t="s">
        <v>27</v>
      </c>
      <c r="G19" s="5"/>
      <c r="H19" s="5"/>
      <c r="I19" s="5"/>
      <c r="J19" s="5"/>
      <c r="K19" s="5"/>
    </row>
    <row r="20" spans="1:12" x14ac:dyDescent="0.2">
      <c r="A20" s="9" t="s">
        <v>11</v>
      </c>
      <c r="B20" s="10">
        <v>45057</v>
      </c>
      <c r="C20" s="10" t="s">
        <v>12</v>
      </c>
      <c r="D20" s="5">
        <v>50.95</v>
      </c>
      <c r="E20" s="14">
        <v>2581.6</v>
      </c>
      <c r="F20" s="16" t="s">
        <v>29</v>
      </c>
      <c r="G20" s="13">
        <f>AVERAGE(E21:E22)</f>
        <v>2564.12</v>
      </c>
      <c r="H20" s="13">
        <f>STDEV(E21:E22)</f>
        <v>1.654629867976624</v>
      </c>
      <c r="I20" s="5"/>
      <c r="J20" s="5"/>
      <c r="K20" s="5">
        <f>G20+$J$2</f>
        <v>2553.7799999999997</v>
      </c>
    </row>
    <row r="21" spans="1:12" x14ac:dyDescent="0.2">
      <c r="A21" s="9" t="s">
        <v>11</v>
      </c>
      <c r="B21" s="10">
        <v>45057</v>
      </c>
      <c r="C21" s="10" t="s">
        <v>12</v>
      </c>
      <c r="D21" s="5">
        <v>52.38</v>
      </c>
      <c r="E21" s="5">
        <v>2565.29</v>
      </c>
      <c r="F21" s="16" t="s">
        <v>30</v>
      </c>
      <c r="G21" s="5"/>
      <c r="H21" s="5"/>
      <c r="I21" s="5"/>
      <c r="J21" s="5"/>
      <c r="K21" s="5"/>
    </row>
    <row r="22" spans="1:12" x14ac:dyDescent="0.2">
      <c r="A22" s="9" t="s">
        <v>11</v>
      </c>
      <c r="B22" s="10">
        <v>45057</v>
      </c>
      <c r="C22" s="10" t="s">
        <v>12</v>
      </c>
      <c r="D22" s="5">
        <v>52.22</v>
      </c>
      <c r="E22" s="5">
        <v>2562.9499999999998</v>
      </c>
      <c r="F22" s="16" t="s">
        <v>31</v>
      </c>
      <c r="G22" s="5"/>
      <c r="H22" s="5"/>
      <c r="I22" s="5"/>
      <c r="J22" s="5"/>
      <c r="K22" s="5"/>
    </row>
    <row r="23" spans="1:12" x14ac:dyDescent="0.2">
      <c r="A23" s="9" t="s">
        <v>11</v>
      </c>
      <c r="B23" s="10">
        <v>45057</v>
      </c>
      <c r="C23" s="10" t="s">
        <v>12</v>
      </c>
      <c r="D23" s="5">
        <v>52.27</v>
      </c>
      <c r="E23" s="5">
        <v>2543.0300000000002</v>
      </c>
      <c r="F23" s="16" t="s">
        <v>32</v>
      </c>
      <c r="G23" s="13">
        <f>AVERAGE(E23:E24)</f>
        <v>2541.38</v>
      </c>
      <c r="H23" s="13">
        <f>STDEV(E23:E24)</f>
        <v>2.3334523779157355</v>
      </c>
      <c r="I23" s="5"/>
      <c r="J23" s="5"/>
      <c r="K23" s="5">
        <f>G23+$J$2</f>
        <v>2531.04</v>
      </c>
    </row>
    <row r="24" spans="1:12" x14ac:dyDescent="0.2">
      <c r="A24" s="9" t="s">
        <v>11</v>
      </c>
      <c r="B24" s="10">
        <v>45057</v>
      </c>
      <c r="C24" s="10" t="s">
        <v>12</v>
      </c>
      <c r="D24" s="5">
        <v>52.82</v>
      </c>
      <c r="E24" s="5">
        <v>2539.73</v>
      </c>
      <c r="F24" s="16" t="s">
        <v>33</v>
      </c>
      <c r="G24" s="5"/>
      <c r="H24" s="5"/>
      <c r="I24" s="5"/>
      <c r="J24" s="5"/>
      <c r="K24" s="5"/>
    </row>
    <row r="25" spans="1:12" x14ac:dyDescent="0.2">
      <c r="A25" s="9" t="s">
        <v>11</v>
      </c>
      <c r="B25" s="10">
        <v>45057</v>
      </c>
      <c r="C25" s="10" t="s">
        <v>12</v>
      </c>
      <c r="D25" s="5">
        <v>51.55</v>
      </c>
      <c r="E25" s="14">
        <v>2481.0500000000002</v>
      </c>
      <c r="F25" s="16" t="s">
        <v>34</v>
      </c>
      <c r="G25" s="13">
        <f>AVERAGE(E26:E27)</f>
        <v>2497.915</v>
      </c>
      <c r="H25" s="13">
        <f>STDEV(E26:E27)</f>
        <v>0.81317279836427248</v>
      </c>
      <c r="I25" s="5"/>
      <c r="J25" s="5"/>
      <c r="K25" s="5">
        <f>G25+$J$2</f>
        <v>2487.5749999999998</v>
      </c>
    </row>
    <row r="26" spans="1:12" x14ac:dyDescent="0.2">
      <c r="A26" s="9" t="s">
        <v>11</v>
      </c>
      <c r="B26" s="10">
        <v>45057</v>
      </c>
      <c r="C26" s="10" t="s">
        <v>12</v>
      </c>
      <c r="D26" s="5">
        <v>48.93</v>
      </c>
      <c r="E26" s="5">
        <v>2497.34</v>
      </c>
      <c r="F26" s="16" t="s">
        <v>35</v>
      </c>
      <c r="G26" s="5"/>
      <c r="H26" s="5"/>
      <c r="I26" s="5"/>
      <c r="J26" s="5"/>
      <c r="K26" s="5"/>
    </row>
    <row r="27" spans="1:12" x14ac:dyDescent="0.2">
      <c r="A27" s="9" t="s">
        <v>11</v>
      </c>
      <c r="B27" s="10">
        <v>45057</v>
      </c>
      <c r="C27" s="10" t="s">
        <v>12</v>
      </c>
      <c r="D27" s="5">
        <v>50.14</v>
      </c>
      <c r="E27" s="5">
        <v>2498.4899999999998</v>
      </c>
      <c r="F27" s="16" t="s">
        <v>39</v>
      </c>
      <c r="G27" s="5"/>
      <c r="H27" s="5"/>
      <c r="I27" s="5"/>
      <c r="J27" s="5"/>
      <c r="K27" s="5"/>
    </row>
    <row r="28" spans="1:12" x14ac:dyDescent="0.2">
      <c r="A28" s="9" t="s">
        <v>11</v>
      </c>
      <c r="B28" s="10">
        <v>45057</v>
      </c>
      <c r="C28" s="10" t="s">
        <v>12</v>
      </c>
      <c r="D28" s="5">
        <v>49.87</v>
      </c>
      <c r="E28" s="5">
        <v>2617.66</v>
      </c>
      <c r="F28" s="16" t="s">
        <v>36</v>
      </c>
      <c r="G28" s="13">
        <f>AVERAGE(E28,E30)</f>
        <v>2617.3049999999998</v>
      </c>
      <c r="H28" s="13">
        <f>STDEV(E28,E30)</f>
        <v>0.50204581464247444</v>
      </c>
      <c r="I28" s="5"/>
      <c r="J28" s="5"/>
      <c r="K28" s="5">
        <f>G28+$J$2</f>
        <v>2606.9649999999997</v>
      </c>
    </row>
    <row r="29" spans="1:12" x14ac:dyDescent="0.2">
      <c r="A29" s="9" t="s">
        <v>11</v>
      </c>
      <c r="B29" s="10">
        <v>45057</v>
      </c>
      <c r="C29" s="10" t="s">
        <v>12</v>
      </c>
      <c r="D29" s="5">
        <v>51.76</v>
      </c>
      <c r="E29" s="14">
        <v>2608.98</v>
      </c>
      <c r="F29" s="16" t="s">
        <v>37</v>
      </c>
      <c r="G29" s="5"/>
      <c r="H29" s="5"/>
      <c r="I29" s="5"/>
      <c r="J29" s="5"/>
      <c r="K29" s="5"/>
    </row>
    <row r="30" spans="1:12" x14ac:dyDescent="0.2">
      <c r="A30" s="9" t="s">
        <v>11</v>
      </c>
      <c r="B30" s="10">
        <v>45057</v>
      </c>
      <c r="C30" s="10" t="s">
        <v>12</v>
      </c>
      <c r="D30" s="5">
        <v>51.57</v>
      </c>
      <c r="E30" s="5">
        <v>2616.9499999999998</v>
      </c>
      <c r="F30" s="16" t="s">
        <v>38</v>
      </c>
      <c r="G30" s="5"/>
      <c r="H30" s="5"/>
      <c r="I30" s="5"/>
      <c r="J30" s="5"/>
      <c r="K30" s="5"/>
    </row>
    <row r="31" spans="1:12" x14ac:dyDescent="0.2">
      <c r="A31" s="9" t="s">
        <v>11</v>
      </c>
      <c r="B31" s="10">
        <v>45058</v>
      </c>
      <c r="C31" s="10" t="s">
        <v>12</v>
      </c>
      <c r="D31" s="5">
        <v>50.25</v>
      </c>
      <c r="E31" s="5">
        <v>2235.6999999999998</v>
      </c>
      <c r="F31" s="16" t="s">
        <v>8</v>
      </c>
      <c r="G31" s="12">
        <f>AVERAGE(E31:E32)</f>
        <v>2237.1099999999997</v>
      </c>
      <c r="H31" s="13">
        <f>STDEV(E31:E32)</f>
        <v>1.9940411229461796</v>
      </c>
      <c r="I31" s="3">
        <v>2226.44</v>
      </c>
      <c r="J31" s="4">
        <f>I31-G31</f>
        <v>-10.669999999999618</v>
      </c>
      <c r="K31" s="5">
        <f>G31+J31</f>
        <v>2226.44</v>
      </c>
      <c r="L31" s="2" t="s">
        <v>94</v>
      </c>
    </row>
    <row r="32" spans="1:12" x14ac:dyDescent="0.2">
      <c r="A32" s="9" t="s">
        <v>11</v>
      </c>
      <c r="B32" s="10">
        <v>45058</v>
      </c>
      <c r="C32" s="10" t="s">
        <v>12</v>
      </c>
      <c r="D32" s="5">
        <v>49.39</v>
      </c>
      <c r="E32" s="5">
        <v>2238.52</v>
      </c>
      <c r="F32" s="16" t="s">
        <v>9</v>
      </c>
      <c r="G32" s="5"/>
      <c r="H32" s="5"/>
      <c r="I32" s="5"/>
      <c r="J32" s="5"/>
      <c r="K32" s="5"/>
    </row>
    <row r="33" spans="1:11" x14ac:dyDescent="0.2">
      <c r="A33" s="9" t="s">
        <v>11</v>
      </c>
      <c r="B33" s="10">
        <v>45057</v>
      </c>
      <c r="C33" s="10" t="s">
        <v>12</v>
      </c>
      <c r="D33" s="5">
        <v>49.81</v>
      </c>
      <c r="E33" s="5">
        <v>2669.25</v>
      </c>
      <c r="F33" s="16" t="s">
        <v>42</v>
      </c>
      <c r="G33" s="13">
        <f>AVERAGE(E33,E34)</f>
        <v>2668.4349999999999</v>
      </c>
      <c r="H33" s="13">
        <f>STDEV(E33,E34)</f>
        <v>1.1525840533341496</v>
      </c>
      <c r="K33" s="5">
        <f>G33+$J$2</f>
        <v>2658.0949999999998</v>
      </c>
    </row>
    <row r="34" spans="1:11" x14ac:dyDescent="0.2">
      <c r="A34" s="9" t="s">
        <v>11</v>
      </c>
      <c r="B34" s="10">
        <v>45057</v>
      </c>
      <c r="C34" s="10" t="s">
        <v>12</v>
      </c>
      <c r="D34" s="5">
        <v>51.97</v>
      </c>
      <c r="E34" s="5">
        <v>2667.62</v>
      </c>
      <c r="F34" s="16" t="s">
        <v>43</v>
      </c>
    </row>
    <row r="35" spans="1:11" x14ac:dyDescent="0.2">
      <c r="A35" s="9" t="s">
        <v>11</v>
      </c>
      <c r="B35" s="10">
        <v>45057</v>
      </c>
      <c r="C35" s="10" t="s">
        <v>12</v>
      </c>
      <c r="D35" s="5">
        <v>49.83</v>
      </c>
      <c r="E35" s="14">
        <v>2702.72</v>
      </c>
      <c r="F35" s="16" t="s">
        <v>44</v>
      </c>
      <c r="G35" s="13">
        <f>AVERAGE(E34,E37)</f>
        <v>2666.085</v>
      </c>
      <c r="H35" s="13">
        <f>STDEV(E34,E37)</f>
        <v>2.1708178182424951</v>
      </c>
      <c r="K35" s="5">
        <f>G35+$J$2</f>
        <v>2655.7449999999999</v>
      </c>
    </row>
    <row r="36" spans="1:11" x14ac:dyDescent="0.2">
      <c r="A36" s="9" t="s">
        <v>11</v>
      </c>
      <c r="B36" s="10">
        <v>45057</v>
      </c>
      <c r="C36" s="10" t="s">
        <v>12</v>
      </c>
      <c r="D36" s="5">
        <v>50.93</v>
      </c>
      <c r="E36" s="14">
        <v>2690.11</v>
      </c>
      <c r="F36" s="16" t="s">
        <v>45</v>
      </c>
    </row>
    <row r="37" spans="1:11" x14ac:dyDescent="0.2">
      <c r="A37" s="9" t="s">
        <v>11</v>
      </c>
      <c r="B37" s="10">
        <v>45057</v>
      </c>
      <c r="C37" s="10" t="s">
        <v>12</v>
      </c>
      <c r="D37" s="5">
        <v>49.75</v>
      </c>
      <c r="E37" s="5">
        <v>2664.55</v>
      </c>
      <c r="F37" s="16" t="s">
        <v>46</v>
      </c>
    </row>
    <row r="38" spans="1:11" x14ac:dyDescent="0.2">
      <c r="A38" s="9" t="s">
        <v>11</v>
      </c>
      <c r="B38" s="10">
        <v>45058</v>
      </c>
      <c r="C38" s="10" t="s">
        <v>12</v>
      </c>
      <c r="D38" s="5">
        <v>51.18</v>
      </c>
      <c r="E38" s="5">
        <v>2603.65</v>
      </c>
      <c r="F38" s="16" t="s">
        <v>47</v>
      </c>
      <c r="G38" s="13">
        <f>AVERAGE(E38,E41)</f>
        <v>2602.0100000000002</v>
      </c>
      <c r="H38" s="13">
        <f>STDEV(E38,E41)</f>
        <v>2.3193102422920173</v>
      </c>
      <c r="K38" s="5">
        <f>G38+$J$31</f>
        <v>2591.3400000000006</v>
      </c>
    </row>
    <row r="39" spans="1:11" x14ac:dyDescent="0.2">
      <c r="A39" s="9" t="s">
        <v>11</v>
      </c>
      <c r="B39" s="10">
        <v>45058</v>
      </c>
      <c r="C39" s="10" t="s">
        <v>12</v>
      </c>
      <c r="D39" s="5">
        <v>50.52</v>
      </c>
      <c r="E39" s="14">
        <v>2579.64</v>
      </c>
      <c r="F39" s="16" t="s">
        <v>48</v>
      </c>
    </row>
    <row r="40" spans="1:11" x14ac:dyDescent="0.2">
      <c r="A40" s="9" t="s">
        <v>11</v>
      </c>
      <c r="B40" s="10">
        <v>45058</v>
      </c>
      <c r="C40" s="10" t="s">
        <v>12</v>
      </c>
      <c r="D40" s="5">
        <v>49.86</v>
      </c>
      <c r="E40" s="14">
        <v>2565.9699999999998</v>
      </c>
      <c r="F40" s="16" t="s">
        <v>49</v>
      </c>
    </row>
    <row r="41" spans="1:11" x14ac:dyDescent="0.2">
      <c r="A41" s="9" t="s">
        <v>11</v>
      </c>
      <c r="B41" s="10">
        <v>45058</v>
      </c>
      <c r="C41" s="10" t="s">
        <v>12</v>
      </c>
      <c r="D41" s="5">
        <v>49.76</v>
      </c>
      <c r="E41" s="5">
        <v>2600.37</v>
      </c>
      <c r="F41" s="16" t="s">
        <v>66</v>
      </c>
    </row>
    <row r="42" spans="1:11" x14ac:dyDescent="0.2">
      <c r="A42" s="9" t="s">
        <v>11</v>
      </c>
      <c r="B42" s="10">
        <v>45058</v>
      </c>
      <c r="C42" s="10" t="s">
        <v>12</v>
      </c>
      <c r="D42" s="5">
        <v>48.93</v>
      </c>
      <c r="E42" s="14">
        <v>2610.11</v>
      </c>
      <c r="F42" s="16" t="s">
        <v>50</v>
      </c>
      <c r="G42" s="13">
        <f>AVERAGE(E44,E43)</f>
        <v>2587.2650000000003</v>
      </c>
      <c r="H42" s="13">
        <f>STDEV(E44,E43)</f>
        <v>2.4819448019646146</v>
      </c>
      <c r="K42" s="5">
        <f>G42+$J$31</f>
        <v>2576.5950000000007</v>
      </c>
    </row>
    <row r="43" spans="1:11" x14ac:dyDescent="0.2">
      <c r="A43" s="9" t="s">
        <v>11</v>
      </c>
      <c r="B43" s="10">
        <v>45058</v>
      </c>
      <c r="C43" s="10" t="s">
        <v>12</v>
      </c>
      <c r="D43" s="5">
        <v>50.66</v>
      </c>
      <c r="E43" s="5">
        <v>2589.02</v>
      </c>
      <c r="F43" s="16" t="s">
        <v>51</v>
      </c>
    </row>
    <row r="44" spans="1:11" x14ac:dyDescent="0.2">
      <c r="A44" s="9" t="s">
        <v>11</v>
      </c>
      <c r="B44" s="10">
        <v>45058</v>
      </c>
      <c r="C44" s="10" t="s">
        <v>12</v>
      </c>
      <c r="D44" s="5">
        <v>49.93</v>
      </c>
      <c r="E44" s="5">
        <v>2585.5100000000002</v>
      </c>
      <c r="F44" s="16" t="s">
        <v>67</v>
      </c>
    </row>
    <row r="45" spans="1:11" x14ac:dyDescent="0.2">
      <c r="A45" s="9" t="s">
        <v>11</v>
      </c>
      <c r="B45" s="10">
        <v>45058</v>
      </c>
      <c r="C45" s="10" t="s">
        <v>12</v>
      </c>
      <c r="D45" s="5">
        <v>49.17</v>
      </c>
      <c r="E45" s="5">
        <v>2593.4899999999998</v>
      </c>
      <c r="F45" s="16" t="s">
        <v>52</v>
      </c>
      <c r="G45" s="13">
        <f>AVERAGE(E47,E45)</f>
        <v>2590.2950000000001</v>
      </c>
      <c r="H45" s="13">
        <f>STDEV(E47,E45)</f>
        <v>4.5184123317819482</v>
      </c>
      <c r="K45" s="5">
        <f>G45+$J$31</f>
        <v>2579.6250000000005</v>
      </c>
    </row>
    <row r="46" spans="1:11" x14ac:dyDescent="0.2">
      <c r="A46" s="9" t="s">
        <v>11</v>
      </c>
      <c r="B46" s="10">
        <v>45058</v>
      </c>
      <c r="C46" s="10" t="s">
        <v>12</v>
      </c>
      <c r="D46" s="5">
        <v>51.35</v>
      </c>
      <c r="E46" s="14">
        <v>2560.08</v>
      </c>
      <c r="F46" s="16" t="s">
        <v>53</v>
      </c>
    </row>
    <row r="47" spans="1:11" x14ac:dyDescent="0.2">
      <c r="A47" s="9" t="s">
        <v>11</v>
      </c>
      <c r="B47" s="10">
        <v>45058</v>
      </c>
      <c r="C47" s="10" t="s">
        <v>12</v>
      </c>
      <c r="D47" s="5">
        <v>49.36</v>
      </c>
      <c r="E47" s="5">
        <v>2587.1</v>
      </c>
      <c r="F47" s="16" t="s">
        <v>65</v>
      </c>
    </row>
    <row r="48" spans="1:11" x14ac:dyDescent="0.2">
      <c r="A48" s="9" t="s">
        <v>11</v>
      </c>
      <c r="B48" s="10">
        <v>45058</v>
      </c>
      <c r="C48" s="10" t="s">
        <v>12</v>
      </c>
      <c r="D48" s="5">
        <v>50.86</v>
      </c>
      <c r="E48" s="5">
        <v>2660.25</v>
      </c>
      <c r="F48" s="16" t="s">
        <v>54</v>
      </c>
      <c r="G48" s="13">
        <f>AVERAGE(E49,E48)</f>
        <v>2660.75</v>
      </c>
      <c r="H48" s="13">
        <f>STDEV(E49,E48)</f>
        <v>0.70710678118654757</v>
      </c>
      <c r="K48" s="5">
        <f>G48+$J$31</f>
        <v>2650.0800000000004</v>
      </c>
    </row>
    <row r="49" spans="1:12" x14ac:dyDescent="0.2">
      <c r="A49" s="9" t="s">
        <v>11</v>
      </c>
      <c r="B49" s="10">
        <v>45058</v>
      </c>
      <c r="C49" s="10" t="s">
        <v>12</v>
      </c>
      <c r="D49" s="5">
        <v>48.98</v>
      </c>
      <c r="E49" s="5">
        <v>2661.25</v>
      </c>
      <c r="F49" s="16" t="s">
        <v>55</v>
      </c>
    </row>
    <row r="50" spans="1:12" x14ac:dyDescent="0.2">
      <c r="A50" s="9" t="s">
        <v>11</v>
      </c>
      <c r="B50" s="10">
        <v>45058</v>
      </c>
      <c r="C50" s="10" t="s">
        <v>12</v>
      </c>
      <c r="D50" s="5">
        <v>50.41</v>
      </c>
      <c r="E50" s="5">
        <v>2569.34</v>
      </c>
      <c r="F50" s="16" t="s">
        <v>56</v>
      </c>
      <c r="G50" s="13">
        <f>AVERAGE(E52,E50)</f>
        <v>2567.355</v>
      </c>
      <c r="H50" s="13">
        <f>STDEV(E52,E50)</f>
        <v>2.8072139213107739</v>
      </c>
      <c r="K50" s="5">
        <f>G50+$J$31</f>
        <v>2556.6850000000004</v>
      </c>
    </row>
    <row r="51" spans="1:12" x14ac:dyDescent="0.2">
      <c r="A51" s="9" t="s">
        <v>11</v>
      </c>
      <c r="B51" s="10">
        <v>45058</v>
      </c>
      <c r="C51" s="10" t="s">
        <v>12</v>
      </c>
      <c r="D51" s="5">
        <v>51.21</v>
      </c>
      <c r="E51" s="14">
        <v>2544.79</v>
      </c>
      <c r="F51" s="16" t="s">
        <v>57</v>
      </c>
    </row>
    <row r="52" spans="1:12" x14ac:dyDescent="0.2">
      <c r="A52" s="9" t="s">
        <v>11</v>
      </c>
      <c r="B52" s="10">
        <v>45058</v>
      </c>
      <c r="C52" s="10" t="s">
        <v>12</v>
      </c>
      <c r="D52" s="5">
        <v>48.63</v>
      </c>
      <c r="E52" s="5">
        <v>2565.37</v>
      </c>
      <c r="F52" s="16" t="s">
        <v>58</v>
      </c>
    </row>
    <row r="53" spans="1:12" x14ac:dyDescent="0.2">
      <c r="A53" s="9" t="s">
        <v>11</v>
      </c>
      <c r="B53" s="10">
        <v>45058</v>
      </c>
      <c r="C53" s="10" t="s">
        <v>12</v>
      </c>
      <c r="D53" s="5">
        <v>50.87</v>
      </c>
      <c r="E53" s="5">
        <v>2541.75</v>
      </c>
      <c r="F53" s="16" t="s">
        <v>59</v>
      </c>
      <c r="G53" s="13">
        <f>AVERAGE(E54,E53)</f>
        <v>2543.48</v>
      </c>
      <c r="H53" s="13">
        <f>STDEV(E54,E53)</f>
        <v>2.4465894629054801</v>
      </c>
      <c r="K53" s="5">
        <f>G53+$J$31</f>
        <v>2532.8100000000004</v>
      </c>
    </row>
    <row r="54" spans="1:12" x14ac:dyDescent="0.2">
      <c r="A54" s="9" t="s">
        <v>11</v>
      </c>
      <c r="B54" s="10">
        <v>45058</v>
      </c>
      <c r="C54" s="10" t="s">
        <v>12</v>
      </c>
      <c r="D54" s="5">
        <v>49.82</v>
      </c>
      <c r="E54" s="5">
        <v>2545.21</v>
      </c>
      <c r="F54" s="16" t="s">
        <v>60</v>
      </c>
    </row>
    <row r="55" spans="1:12" x14ac:dyDescent="0.2">
      <c r="A55" s="9" t="s">
        <v>11</v>
      </c>
      <c r="B55" s="10">
        <v>45058</v>
      </c>
      <c r="C55" s="10" t="s">
        <v>12</v>
      </c>
      <c r="D55" s="5">
        <v>49.91</v>
      </c>
      <c r="E55" s="5">
        <v>2549.7199999999998</v>
      </c>
      <c r="F55" s="16" t="s">
        <v>61</v>
      </c>
      <c r="G55" s="13">
        <f>AVERAGE(E56,E55)</f>
        <v>2551.4399999999996</v>
      </c>
      <c r="H55" s="13">
        <f>STDEV(E56,E55)</f>
        <v>2.4324473272817619</v>
      </c>
      <c r="K55" s="5">
        <f>G55+$J$31</f>
        <v>2540.77</v>
      </c>
    </row>
    <row r="56" spans="1:12" x14ac:dyDescent="0.2">
      <c r="A56" s="9" t="s">
        <v>11</v>
      </c>
      <c r="B56" s="10">
        <v>45058</v>
      </c>
      <c r="C56" s="10" t="s">
        <v>12</v>
      </c>
      <c r="D56" s="5">
        <v>49.93</v>
      </c>
      <c r="E56" s="5">
        <v>2553.16</v>
      </c>
      <c r="F56" s="16" t="s">
        <v>62</v>
      </c>
    </row>
    <row r="57" spans="1:12" x14ac:dyDescent="0.2">
      <c r="A57" s="9" t="s">
        <v>11</v>
      </c>
      <c r="B57" s="10">
        <v>45058</v>
      </c>
      <c r="C57" s="10" t="s">
        <v>12</v>
      </c>
      <c r="D57" s="5">
        <v>50.98</v>
      </c>
      <c r="E57" s="5">
        <v>2644.74</v>
      </c>
      <c r="F57" s="16" t="s">
        <v>63</v>
      </c>
      <c r="G57" s="13">
        <f>AVERAGE(E58,E57)</f>
        <v>2644.4449999999997</v>
      </c>
      <c r="H57" s="13">
        <f>STDEV(E58,E57)</f>
        <v>0.4171930008998444</v>
      </c>
      <c r="K57" s="5">
        <f>G57+$J$31</f>
        <v>2633.7750000000001</v>
      </c>
    </row>
    <row r="58" spans="1:12" x14ac:dyDescent="0.2">
      <c r="A58" s="9" t="s">
        <v>11</v>
      </c>
      <c r="B58" s="10">
        <v>45058</v>
      </c>
      <c r="C58" s="10" t="s">
        <v>12</v>
      </c>
      <c r="D58" s="5">
        <v>48.92</v>
      </c>
      <c r="E58" s="5">
        <v>2644.15</v>
      </c>
      <c r="F58" s="16" t="s">
        <v>64</v>
      </c>
    </row>
    <row r="59" spans="1:12" x14ac:dyDescent="0.2">
      <c r="A59" s="9" t="s">
        <v>11</v>
      </c>
      <c r="B59" s="10">
        <v>45059</v>
      </c>
      <c r="C59" s="10" t="s">
        <v>12</v>
      </c>
      <c r="D59" s="5">
        <v>50.51</v>
      </c>
      <c r="E59" s="5">
        <v>2232.81</v>
      </c>
      <c r="F59" s="16" t="s">
        <v>8</v>
      </c>
      <c r="G59" s="12">
        <f>AVERAGE(E59:E60)</f>
        <v>2234.8249999999998</v>
      </c>
      <c r="H59" s="13">
        <f>STDEV(E59:E60)</f>
        <v>2.8496403281819278</v>
      </c>
      <c r="I59" s="3">
        <v>2226.44</v>
      </c>
      <c r="J59" s="4">
        <f>I59-G59</f>
        <v>-8.3849999999997635</v>
      </c>
      <c r="K59" s="5">
        <f>G59+J59</f>
        <v>2226.44</v>
      </c>
      <c r="L59" s="2" t="s">
        <v>94</v>
      </c>
    </row>
    <row r="60" spans="1:12" x14ac:dyDescent="0.2">
      <c r="A60" s="9" t="s">
        <v>11</v>
      </c>
      <c r="B60" s="10">
        <v>45059</v>
      </c>
      <c r="C60" s="10" t="s">
        <v>12</v>
      </c>
      <c r="D60" s="5">
        <v>49.4</v>
      </c>
      <c r="E60" s="5">
        <v>2236.84</v>
      </c>
      <c r="F60" s="16" t="s">
        <v>9</v>
      </c>
      <c r="G60" s="5"/>
      <c r="H60" s="5"/>
      <c r="I60" s="5"/>
      <c r="J60" s="5"/>
      <c r="K60" s="5"/>
    </row>
    <row r="61" spans="1:12" x14ac:dyDescent="0.2">
      <c r="A61" s="9" t="s">
        <v>11</v>
      </c>
      <c r="B61" s="10">
        <v>45058</v>
      </c>
      <c r="C61" s="10" t="s">
        <v>12</v>
      </c>
      <c r="D61" s="5">
        <v>51.23</v>
      </c>
      <c r="E61" s="14">
        <v>2724.44</v>
      </c>
      <c r="F61" s="16" t="s">
        <v>68</v>
      </c>
      <c r="G61" s="13">
        <f>AVERAGE(E62,E63)</f>
        <v>2685.37</v>
      </c>
      <c r="H61" s="13">
        <f>STDEV(E62,E63)</f>
        <v>2.4183051916580438</v>
      </c>
      <c r="K61" s="5">
        <f>G61+$J$31</f>
        <v>2674.7000000000003</v>
      </c>
    </row>
    <row r="62" spans="1:12" x14ac:dyDescent="0.2">
      <c r="A62" s="9" t="s">
        <v>11</v>
      </c>
      <c r="B62" s="10">
        <v>45058</v>
      </c>
      <c r="C62" s="10" t="s">
        <v>12</v>
      </c>
      <c r="D62" s="5">
        <v>50.02</v>
      </c>
      <c r="E62" s="5">
        <v>2687.08</v>
      </c>
      <c r="F62" s="16" t="s">
        <v>69</v>
      </c>
    </row>
    <row r="63" spans="1:12" x14ac:dyDescent="0.2">
      <c r="A63" s="9" t="s">
        <v>11</v>
      </c>
      <c r="B63" s="10">
        <v>45058</v>
      </c>
      <c r="C63" s="10" t="s">
        <v>12</v>
      </c>
      <c r="D63" s="5">
        <v>49.44</v>
      </c>
      <c r="E63" s="5">
        <v>2683.66</v>
      </c>
      <c r="F63" s="16" t="s">
        <v>83</v>
      </c>
    </row>
    <row r="64" spans="1:12" x14ac:dyDescent="0.2">
      <c r="A64" s="9" t="s">
        <v>11</v>
      </c>
      <c r="B64" s="10">
        <v>45058</v>
      </c>
      <c r="C64" s="10" t="s">
        <v>12</v>
      </c>
      <c r="D64" s="5">
        <v>52.2</v>
      </c>
      <c r="E64" s="5">
        <v>2662.94</v>
      </c>
      <c r="F64" s="16" t="s">
        <v>70</v>
      </c>
      <c r="G64" s="13">
        <f>AVERAGE(E64,E66)</f>
        <v>2660.77</v>
      </c>
      <c r="H64" s="13">
        <f>STDEV(E64,E66)</f>
        <v>3.0688434303497192</v>
      </c>
      <c r="K64" s="5">
        <f>G64+$J$31</f>
        <v>2650.1000000000004</v>
      </c>
    </row>
    <row r="65" spans="1:11" x14ac:dyDescent="0.2">
      <c r="A65" s="9" t="s">
        <v>11</v>
      </c>
      <c r="B65" s="10">
        <v>45058</v>
      </c>
      <c r="C65" s="10" t="s">
        <v>12</v>
      </c>
      <c r="D65" s="5">
        <v>51.08</v>
      </c>
      <c r="E65" s="14">
        <v>2635.37</v>
      </c>
      <c r="F65" s="16" t="s">
        <v>71</v>
      </c>
    </row>
    <row r="66" spans="1:11" x14ac:dyDescent="0.2">
      <c r="A66" s="9" t="s">
        <v>11</v>
      </c>
      <c r="B66" s="10">
        <v>45058</v>
      </c>
      <c r="C66" s="10" t="s">
        <v>12</v>
      </c>
      <c r="D66" s="5">
        <v>49.26</v>
      </c>
      <c r="E66" s="5">
        <v>2658.6</v>
      </c>
      <c r="F66" s="16" t="s">
        <v>72</v>
      </c>
    </row>
    <row r="67" spans="1:11" x14ac:dyDescent="0.2">
      <c r="A67" s="9" t="s">
        <v>11</v>
      </c>
      <c r="B67" s="10">
        <v>45058</v>
      </c>
      <c r="C67" s="10" t="s">
        <v>12</v>
      </c>
      <c r="D67" s="15">
        <v>48.42</v>
      </c>
      <c r="E67" s="5">
        <v>2351.7199999999998</v>
      </c>
      <c r="F67" s="16" t="s">
        <v>73</v>
      </c>
      <c r="G67" s="13">
        <f>AVERAGE(E68,E67)</f>
        <v>2353.9499999999998</v>
      </c>
      <c r="H67" s="13">
        <f>STDEV(E67,E68)</f>
        <v>3.1536962440920275</v>
      </c>
      <c r="K67" s="5">
        <f>G67+$J$31</f>
        <v>2343.2800000000002</v>
      </c>
    </row>
    <row r="68" spans="1:11" x14ac:dyDescent="0.2">
      <c r="A68" s="9" t="s">
        <v>11</v>
      </c>
      <c r="B68" s="10">
        <v>45059</v>
      </c>
      <c r="C68" s="10" t="s">
        <v>12</v>
      </c>
      <c r="D68" s="5">
        <v>52.08</v>
      </c>
      <c r="E68" s="5">
        <v>2356.1799999999998</v>
      </c>
      <c r="F68" s="16" t="s">
        <v>93</v>
      </c>
    </row>
    <row r="69" spans="1:11" x14ac:dyDescent="0.2">
      <c r="A69" s="9" t="s">
        <v>11</v>
      </c>
      <c r="B69" s="10">
        <v>45058</v>
      </c>
      <c r="C69" s="10" t="s">
        <v>12</v>
      </c>
      <c r="D69" s="5">
        <v>51.64</v>
      </c>
      <c r="E69" s="5">
        <v>2650.42</v>
      </c>
      <c r="F69" s="16" t="s">
        <v>74</v>
      </c>
      <c r="G69" s="13">
        <f>AVERAGE(E70,E69)</f>
        <v>2652.67</v>
      </c>
      <c r="H69" s="13">
        <f>STDEV(E70,E69)</f>
        <v>3.1819805153394638</v>
      </c>
      <c r="K69" s="5">
        <f>G69+$J$31</f>
        <v>2642.0000000000005</v>
      </c>
    </row>
    <row r="70" spans="1:11" x14ac:dyDescent="0.2">
      <c r="A70" s="9" t="s">
        <v>11</v>
      </c>
      <c r="B70" s="10">
        <v>45058</v>
      </c>
      <c r="C70" s="10" t="s">
        <v>12</v>
      </c>
      <c r="D70" s="5">
        <v>50.46</v>
      </c>
      <c r="E70" s="5">
        <v>2654.92</v>
      </c>
      <c r="F70" s="16" t="s">
        <v>75</v>
      </c>
    </row>
    <row r="71" spans="1:11" x14ac:dyDescent="0.2">
      <c r="A71" s="9" t="s">
        <v>11</v>
      </c>
      <c r="B71" s="10">
        <v>45058</v>
      </c>
      <c r="C71" s="10" t="s">
        <v>12</v>
      </c>
      <c r="D71" s="5">
        <v>50.63</v>
      </c>
      <c r="E71" s="5">
        <v>2629.73</v>
      </c>
      <c r="F71" s="16" t="s">
        <v>76</v>
      </c>
      <c r="G71" s="13">
        <f>AVERAGE(E72,E71)</f>
        <v>2631.4349999999999</v>
      </c>
      <c r="H71" s="13">
        <f>STDEV(E72,E71)</f>
        <v>2.411234123846024</v>
      </c>
      <c r="K71" s="5">
        <f>G71+$J$31</f>
        <v>2620.7650000000003</v>
      </c>
    </row>
    <row r="72" spans="1:11" x14ac:dyDescent="0.2">
      <c r="A72" s="9" t="s">
        <v>11</v>
      </c>
      <c r="B72" s="10">
        <v>45058</v>
      </c>
      <c r="C72" s="10" t="s">
        <v>12</v>
      </c>
      <c r="D72" s="5">
        <v>50.92</v>
      </c>
      <c r="E72" s="5">
        <v>2633.14</v>
      </c>
      <c r="F72" s="16" t="s">
        <v>77</v>
      </c>
    </row>
    <row r="73" spans="1:11" x14ac:dyDescent="0.2">
      <c r="A73" s="9" t="s">
        <v>11</v>
      </c>
      <c r="B73" s="10">
        <v>45058</v>
      </c>
      <c r="C73" s="10" t="s">
        <v>12</v>
      </c>
      <c r="D73" s="5">
        <v>50.69</v>
      </c>
      <c r="E73" s="5">
        <v>2671.36</v>
      </c>
      <c r="F73" s="16" t="s">
        <v>78</v>
      </c>
      <c r="G73" s="13">
        <f>AVERAGE(E73,E75)</f>
        <v>2673.7550000000001</v>
      </c>
      <c r="H73" s="13">
        <f>STDEV(E73,E75)</f>
        <v>3.387041481883537</v>
      </c>
      <c r="K73" s="5">
        <f>G73+$J$31</f>
        <v>2663.0850000000005</v>
      </c>
    </row>
    <row r="74" spans="1:11" x14ac:dyDescent="0.2">
      <c r="A74" s="9" t="s">
        <v>11</v>
      </c>
      <c r="B74" s="10">
        <v>45058</v>
      </c>
      <c r="C74" s="10" t="s">
        <v>12</v>
      </c>
      <c r="D74" s="5">
        <v>50.94</v>
      </c>
      <c r="E74" s="14">
        <v>2664.62</v>
      </c>
      <c r="F74" s="16" t="s">
        <v>79</v>
      </c>
    </row>
    <row r="75" spans="1:11" x14ac:dyDescent="0.2">
      <c r="A75" s="9" t="s">
        <v>11</v>
      </c>
      <c r="B75" s="10">
        <v>45058</v>
      </c>
      <c r="C75" s="10" t="s">
        <v>12</v>
      </c>
      <c r="D75" s="5">
        <v>49.78</v>
      </c>
      <c r="E75" s="5">
        <v>2676.15</v>
      </c>
      <c r="F75" s="16" t="s">
        <v>84</v>
      </c>
    </row>
    <row r="76" spans="1:11" x14ac:dyDescent="0.2">
      <c r="A76" s="9" t="s">
        <v>11</v>
      </c>
      <c r="B76" s="10">
        <v>45058</v>
      </c>
      <c r="C76" s="10" t="s">
        <v>12</v>
      </c>
      <c r="D76" s="5">
        <v>50.3</v>
      </c>
      <c r="E76" s="5">
        <v>2584.54</v>
      </c>
      <c r="F76" s="16" t="s">
        <v>80</v>
      </c>
      <c r="G76" s="13">
        <f>AVERAGE(E76,E78)</f>
        <v>2587.63</v>
      </c>
      <c r="H76" s="13">
        <f>STDEV(E76,E78)</f>
        <v>4.369919907732748</v>
      </c>
      <c r="K76" s="5">
        <f>G76+$J$31</f>
        <v>2576.9600000000005</v>
      </c>
    </row>
    <row r="77" spans="1:11" x14ac:dyDescent="0.2">
      <c r="A77" s="9" t="s">
        <v>11</v>
      </c>
      <c r="B77" s="10">
        <v>45058</v>
      </c>
      <c r="C77" s="10" t="s">
        <v>12</v>
      </c>
      <c r="D77" s="5">
        <v>50</v>
      </c>
      <c r="E77" s="14">
        <v>2598.9499999999998</v>
      </c>
      <c r="F77" s="16" t="s">
        <v>81</v>
      </c>
    </row>
    <row r="78" spans="1:11" x14ac:dyDescent="0.2">
      <c r="A78" s="9" t="s">
        <v>11</v>
      </c>
      <c r="B78" s="10">
        <v>45058</v>
      </c>
      <c r="C78" s="10" t="s">
        <v>12</v>
      </c>
      <c r="D78" s="5">
        <v>49.66</v>
      </c>
      <c r="E78" s="5">
        <v>2590.7199999999998</v>
      </c>
      <c r="F78" s="16" t="s">
        <v>82</v>
      </c>
    </row>
    <row r="79" spans="1:11" x14ac:dyDescent="0.2">
      <c r="A79" s="9" t="s">
        <v>11</v>
      </c>
      <c r="B79" s="10">
        <v>45059</v>
      </c>
      <c r="C79" s="10" t="s">
        <v>12</v>
      </c>
      <c r="D79" s="5">
        <v>51.6</v>
      </c>
      <c r="E79" s="14">
        <v>2600.5100000000002</v>
      </c>
      <c r="F79" s="16" t="s">
        <v>85</v>
      </c>
      <c r="G79" s="13">
        <f>AVERAGE(E80,E81)</f>
        <v>2592.8200000000002</v>
      </c>
      <c r="H79" s="13">
        <f>STDEV(E80,E81)</f>
        <v>1.7960512242138049</v>
      </c>
      <c r="K79" s="5">
        <f>G79+$J$59</f>
        <v>2584.4350000000004</v>
      </c>
    </row>
    <row r="80" spans="1:11" x14ac:dyDescent="0.2">
      <c r="A80" s="9" t="s">
        <v>11</v>
      </c>
      <c r="B80" s="10">
        <v>45059</v>
      </c>
      <c r="C80" s="10" t="s">
        <v>12</v>
      </c>
      <c r="D80" s="5">
        <v>51.16</v>
      </c>
      <c r="E80" s="5">
        <v>2591.5500000000002</v>
      </c>
      <c r="F80" s="16" t="s">
        <v>88</v>
      </c>
    </row>
    <row r="81" spans="1:12" x14ac:dyDescent="0.2">
      <c r="A81" s="9" t="s">
        <v>11</v>
      </c>
      <c r="B81" s="10">
        <v>45059</v>
      </c>
      <c r="C81" s="10" t="s">
        <v>12</v>
      </c>
      <c r="D81" s="5">
        <v>50.56</v>
      </c>
      <c r="E81" s="5">
        <v>2594.09</v>
      </c>
      <c r="F81" s="16" t="s">
        <v>89</v>
      </c>
    </row>
    <row r="82" spans="1:12" x14ac:dyDescent="0.2">
      <c r="A82" s="9" t="s">
        <v>11</v>
      </c>
      <c r="B82" s="10">
        <v>45059</v>
      </c>
      <c r="C82" s="10" t="s">
        <v>12</v>
      </c>
      <c r="D82" s="5">
        <v>50.01</v>
      </c>
      <c r="E82" s="5">
        <v>2563.02</v>
      </c>
      <c r="F82" s="16" t="s">
        <v>90</v>
      </c>
      <c r="G82" s="13">
        <f>AVERAGE(E82,E84)</f>
        <v>2565.895</v>
      </c>
      <c r="H82" s="13">
        <f>STDEV(E82,E84)</f>
        <v>4.0658639918226482</v>
      </c>
      <c r="K82" s="5">
        <f>G82+$J$59</f>
        <v>2557.5100000000002</v>
      </c>
    </row>
    <row r="83" spans="1:12" x14ac:dyDescent="0.2">
      <c r="A83" s="9" t="s">
        <v>11</v>
      </c>
      <c r="B83" s="10">
        <v>45059</v>
      </c>
      <c r="C83" s="10" t="s">
        <v>12</v>
      </c>
      <c r="D83" s="5">
        <v>49.18</v>
      </c>
      <c r="E83" s="14">
        <v>2584.94</v>
      </c>
      <c r="F83" s="16" t="s">
        <v>91</v>
      </c>
    </row>
    <row r="84" spans="1:12" x14ac:dyDescent="0.2">
      <c r="A84" s="9" t="s">
        <v>11</v>
      </c>
      <c r="B84" s="10">
        <v>45059</v>
      </c>
      <c r="C84" s="10" t="s">
        <v>12</v>
      </c>
      <c r="D84" s="5">
        <v>51.78</v>
      </c>
      <c r="E84" s="5">
        <v>2568.77</v>
      </c>
      <c r="F84" s="16" t="s">
        <v>92</v>
      </c>
    </row>
    <row r="85" spans="1:12" x14ac:dyDescent="0.2">
      <c r="A85" s="9" t="s">
        <v>11</v>
      </c>
      <c r="B85" s="10">
        <v>45059</v>
      </c>
      <c r="C85" s="10" t="s">
        <v>12</v>
      </c>
      <c r="D85" s="5">
        <v>51.4</v>
      </c>
      <c r="E85" s="5">
        <v>2661.01</v>
      </c>
      <c r="F85" s="16" t="s">
        <v>86</v>
      </c>
      <c r="G85" s="12">
        <f>AVERAGE(E85:E86)</f>
        <v>2662.76</v>
      </c>
      <c r="H85" s="13">
        <f>STDEV(E85:E86)</f>
        <v>2.4748737341529163</v>
      </c>
      <c r="K85" s="5">
        <f>G85+$J$59</f>
        <v>2654.3750000000005</v>
      </c>
    </row>
    <row r="86" spans="1:12" x14ac:dyDescent="0.2">
      <c r="A86" s="9" t="s">
        <v>11</v>
      </c>
      <c r="B86" s="10">
        <v>45059</v>
      </c>
      <c r="C86" s="10" t="s">
        <v>12</v>
      </c>
      <c r="D86" s="5">
        <v>51.8</v>
      </c>
      <c r="E86" s="5">
        <v>2664.51</v>
      </c>
      <c r="F86" s="16" t="s">
        <v>87</v>
      </c>
    </row>
    <row r="87" spans="1:12" x14ac:dyDescent="0.2">
      <c r="A87" s="9" t="s">
        <v>11</v>
      </c>
      <c r="B87" s="10">
        <v>45070</v>
      </c>
      <c r="C87" s="10" t="s">
        <v>12</v>
      </c>
      <c r="D87" s="5">
        <v>48.55</v>
      </c>
      <c r="E87" s="5">
        <v>2252.11</v>
      </c>
      <c r="F87" s="16" t="s">
        <v>8</v>
      </c>
      <c r="G87" s="12">
        <f>AVERAGE(E87,E89)</f>
        <v>2251.09</v>
      </c>
      <c r="H87" s="13">
        <f>STDEV(E87,E89)</f>
        <v>1.4424978336205312</v>
      </c>
      <c r="I87" s="3">
        <v>2226.44</v>
      </c>
      <c r="J87" s="4">
        <f>I87-G87</f>
        <v>-24.650000000000091</v>
      </c>
      <c r="K87" s="5">
        <f>G87+J87</f>
        <v>2226.44</v>
      </c>
      <c r="L87" s="2" t="s">
        <v>94</v>
      </c>
    </row>
    <row r="88" spans="1:12" x14ac:dyDescent="0.2">
      <c r="A88" s="9" t="s">
        <v>11</v>
      </c>
      <c r="B88" s="10">
        <v>45070</v>
      </c>
      <c r="C88" s="10" t="s">
        <v>12</v>
      </c>
      <c r="D88" s="5">
        <v>47.52</v>
      </c>
      <c r="E88" s="14">
        <v>2245.7600000000002</v>
      </c>
      <c r="F88" s="16" t="s">
        <v>9</v>
      </c>
    </row>
    <row r="89" spans="1:12" x14ac:dyDescent="0.2">
      <c r="A89" s="9" t="s">
        <v>11</v>
      </c>
      <c r="B89" s="10">
        <v>45070</v>
      </c>
      <c r="C89" s="10" t="s">
        <v>12</v>
      </c>
      <c r="D89" s="5">
        <v>48.34</v>
      </c>
      <c r="E89" s="5">
        <v>2250.0700000000002</v>
      </c>
      <c r="F89" s="16" t="s">
        <v>96</v>
      </c>
    </row>
    <row r="90" spans="1:12" x14ac:dyDescent="0.2">
      <c r="A90" s="9" t="s">
        <v>11</v>
      </c>
      <c r="B90" s="10">
        <v>45070</v>
      </c>
      <c r="C90" s="10" t="s">
        <v>12</v>
      </c>
      <c r="D90" s="5">
        <v>51.96</v>
      </c>
      <c r="E90" s="5">
        <v>2603.67</v>
      </c>
      <c r="F90" s="16" t="s">
        <v>97</v>
      </c>
      <c r="G90" s="13">
        <f>AVERAGE(E90,E92)</f>
        <v>2602.0950000000003</v>
      </c>
      <c r="H90" s="18">
        <f>STDEV(E90,E92)</f>
        <v>2.2273863607376891</v>
      </c>
      <c r="I90" s="5"/>
      <c r="J90" s="5"/>
      <c r="K90" s="5">
        <f>G90+$J$87</f>
        <v>2577.4450000000002</v>
      </c>
    </row>
    <row r="91" spans="1:12" x14ac:dyDescent="0.2">
      <c r="A91" s="9" t="s">
        <v>11</v>
      </c>
      <c r="B91" s="10">
        <v>45070</v>
      </c>
      <c r="C91" s="10" t="s">
        <v>12</v>
      </c>
      <c r="D91" s="5">
        <v>49.08</v>
      </c>
      <c r="E91" s="14">
        <v>2586.33</v>
      </c>
      <c r="F91" s="16" t="s">
        <v>98</v>
      </c>
    </row>
    <row r="92" spans="1:12" x14ac:dyDescent="0.2">
      <c r="A92" s="9" t="s">
        <v>11</v>
      </c>
      <c r="B92" s="10">
        <v>45070</v>
      </c>
      <c r="C92" s="10" t="s">
        <v>12</v>
      </c>
      <c r="D92" s="5">
        <v>50.05</v>
      </c>
      <c r="E92" s="5">
        <v>2600.52</v>
      </c>
      <c r="F92" s="16" t="s">
        <v>99</v>
      </c>
    </row>
    <row r="93" spans="1:12" x14ac:dyDescent="0.2">
      <c r="A93" s="9" t="s">
        <v>11</v>
      </c>
      <c r="B93" s="10">
        <v>45070</v>
      </c>
      <c r="C93" s="10" t="s">
        <v>12</v>
      </c>
      <c r="D93" s="5">
        <v>51.59</v>
      </c>
      <c r="E93" s="5">
        <v>2578.59</v>
      </c>
      <c r="F93" s="16" t="s">
        <v>100</v>
      </c>
      <c r="G93" s="13">
        <f>AVERAGE(E93:E94)</f>
        <v>2579.4549999999999</v>
      </c>
      <c r="H93" s="18">
        <f>STDEV(E93:E94)</f>
        <v>1.22329473145274</v>
      </c>
      <c r="I93" s="5"/>
      <c r="J93" s="5"/>
      <c r="K93" s="5">
        <f>G93+$J$87</f>
        <v>2554.8049999999998</v>
      </c>
    </row>
    <row r="94" spans="1:12" x14ac:dyDescent="0.2">
      <c r="A94" s="9" t="s">
        <v>11</v>
      </c>
      <c r="B94" s="10">
        <v>45070</v>
      </c>
      <c r="C94" s="10" t="s">
        <v>12</v>
      </c>
      <c r="D94" s="5">
        <v>50.52</v>
      </c>
      <c r="E94" s="5">
        <v>2580.3200000000002</v>
      </c>
      <c r="F94" s="16" t="s">
        <v>101</v>
      </c>
    </row>
    <row r="95" spans="1:12" x14ac:dyDescent="0.2">
      <c r="A95" s="9" t="s">
        <v>11</v>
      </c>
      <c r="B95" s="10">
        <v>45070</v>
      </c>
      <c r="C95" s="10" t="s">
        <v>12</v>
      </c>
      <c r="D95" s="5">
        <v>51.8</v>
      </c>
      <c r="E95" s="14">
        <v>3004.58</v>
      </c>
      <c r="F95" s="16" t="s">
        <v>102</v>
      </c>
      <c r="G95" s="13">
        <f>AVERAGE(E96:E97)</f>
        <v>3027.23</v>
      </c>
      <c r="H95" s="18">
        <f>STDEV(E96:E97)</f>
        <v>2.390020920410608</v>
      </c>
      <c r="I95" s="5"/>
      <c r="J95" s="5"/>
      <c r="K95" s="5">
        <f>G95+$J$87</f>
        <v>3002.58</v>
      </c>
    </row>
    <row r="96" spans="1:12" x14ac:dyDescent="0.2">
      <c r="A96" s="9" t="s">
        <v>11</v>
      </c>
      <c r="B96" s="10">
        <v>45070</v>
      </c>
      <c r="C96" s="10" t="s">
        <v>12</v>
      </c>
      <c r="D96" s="5">
        <v>51.36</v>
      </c>
      <c r="E96" s="5">
        <v>3025.54</v>
      </c>
      <c r="F96" s="16" t="s">
        <v>103</v>
      </c>
    </row>
    <row r="97" spans="1:11" x14ac:dyDescent="0.2">
      <c r="A97" s="9" t="s">
        <v>11</v>
      </c>
      <c r="B97" s="10">
        <v>45070</v>
      </c>
      <c r="C97" s="10" t="s">
        <v>12</v>
      </c>
      <c r="D97" s="5">
        <v>52.44</v>
      </c>
      <c r="E97" s="5">
        <v>3028.92</v>
      </c>
      <c r="F97" s="16" t="s">
        <v>104</v>
      </c>
    </row>
    <row r="98" spans="1:11" x14ac:dyDescent="0.2">
      <c r="A98" s="9" t="s">
        <v>11</v>
      </c>
      <c r="B98" s="10">
        <v>45070</v>
      </c>
      <c r="C98" s="10" t="s">
        <v>12</v>
      </c>
      <c r="D98" s="5">
        <v>49.3</v>
      </c>
      <c r="E98" s="5">
        <v>3016.39</v>
      </c>
      <c r="F98" s="16" t="s">
        <v>105</v>
      </c>
      <c r="G98" s="13">
        <f>AVERAGE(E98,E100)</f>
        <v>3014.8599999999997</v>
      </c>
      <c r="H98" s="18">
        <f>STDEV(E98,E100)</f>
        <v>2.1637467504307968</v>
      </c>
      <c r="I98" s="5"/>
      <c r="J98" s="5"/>
      <c r="K98" s="5">
        <f>G98+$J$87</f>
        <v>2990.2099999999996</v>
      </c>
    </row>
    <row r="99" spans="1:11" x14ac:dyDescent="0.2">
      <c r="A99" s="9" t="s">
        <v>11</v>
      </c>
      <c r="B99" s="10">
        <v>45070</v>
      </c>
      <c r="C99" s="10" t="s">
        <v>12</v>
      </c>
      <c r="D99" s="5">
        <v>51.02</v>
      </c>
      <c r="E99" s="14">
        <v>2995.09</v>
      </c>
      <c r="F99" s="16" t="s">
        <v>106</v>
      </c>
    </row>
    <row r="100" spans="1:11" x14ac:dyDescent="0.2">
      <c r="A100" s="9" t="s">
        <v>11</v>
      </c>
      <c r="B100" s="10">
        <v>45070</v>
      </c>
      <c r="C100" s="10" t="s">
        <v>12</v>
      </c>
      <c r="D100" s="5">
        <v>49.61</v>
      </c>
      <c r="E100" s="5">
        <v>3013.33</v>
      </c>
      <c r="F100" s="16" t="s">
        <v>107</v>
      </c>
    </row>
    <row r="101" spans="1:11" x14ac:dyDescent="0.2">
      <c r="A101" s="9" t="s">
        <v>11</v>
      </c>
      <c r="B101" s="10">
        <v>45070</v>
      </c>
      <c r="C101" s="10" t="s">
        <v>12</v>
      </c>
      <c r="D101" s="5">
        <v>52.32</v>
      </c>
      <c r="E101" s="14">
        <v>3010.86</v>
      </c>
      <c r="F101" s="16" t="s">
        <v>108</v>
      </c>
      <c r="G101" s="13">
        <f>AVERAGE(E102:E103)</f>
        <v>3001.3</v>
      </c>
      <c r="H101" s="18">
        <f>STDEV(E102:E103)</f>
        <v>4.879036790187242</v>
      </c>
      <c r="I101" s="5"/>
      <c r="J101" s="5"/>
      <c r="K101" s="5">
        <f>G101+$J$87</f>
        <v>2976.65</v>
      </c>
    </row>
    <row r="102" spans="1:11" x14ac:dyDescent="0.2">
      <c r="A102" s="9" t="s">
        <v>11</v>
      </c>
      <c r="B102" s="10">
        <v>45070</v>
      </c>
      <c r="C102" s="10" t="s">
        <v>12</v>
      </c>
      <c r="D102" s="5">
        <v>49.03</v>
      </c>
      <c r="E102" s="5">
        <v>2997.85</v>
      </c>
      <c r="F102" s="16" t="s">
        <v>109</v>
      </c>
    </row>
    <row r="103" spans="1:11" x14ac:dyDescent="0.2">
      <c r="A103" s="9" t="s">
        <v>11</v>
      </c>
      <c r="B103" s="10">
        <v>45070</v>
      </c>
      <c r="C103" s="10" t="s">
        <v>12</v>
      </c>
      <c r="D103" s="5">
        <v>49.61</v>
      </c>
      <c r="E103" s="5">
        <v>3004.75</v>
      </c>
      <c r="F103" s="16" t="s">
        <v>110</v>
      </c>
    </row>
    <row r="104" spans="1:11" x14ac:dyDescent="0.2">
      <c r="A104" s="9" t="s">
        <v>11</v>
      </c>
      <c r="B104" s="10">
        <v>45070</v>
      </c>
      <c r="C104" s="10" t="s">
        <v>12</v>
      </c>
      <c r="D104" s="5">
        <v>47.83</v>
      </c>
      <c r="E104" s="14">
        <v>2696.29</v>
      </c>
      <c r="F104" s="16" t="s">
        <v>111</v>
      </c>
      <c r="G104" s="13">
        <f>AVERAGE(E105:E106)</f>
        <v>2682.9300000000003</v>
      </c>
      <c r="H104" s="18">
        <f>STDEV(E105:E106)</f>
        <v>0.42426406871186417</v>
      </c>
      <c r="I104" s="5"/>
      <c r="J104" s="5"/>
      <c r="K104" s="5">
        <f>G104+$J$87</f>
        <v>2658.28</v>
      </c>
    </row>
    <row r="105" spans="1:11" x14ac:dyDescent="0.2">
      <c r="A105" s="9" t="s">
        <v>11</v>
      </c>
      <c r="B105" s="10">
        <v>45070</v>
      </c>
      <c r="C105" s="10" t="s">
        <v>12</v>
      </c>
      <c r="D105" s="5">
        <v>49.41</v>
      </c>
      <c r="E105" s="5">
        <v>2683.23</v>
      </c>
      <c r="F105" s="16" t="s">
        <v>112</v>
      </c>
    </row>
    <row r="106" spans="1:11" x14ac:dyDescent="0.2">
      <c r="A106" s="9" t="s">
        <v>11</v>
      </c>
      <c r="B106" s="10">
        <v>45070</v>
      </c>
      <c r="C106" s="10" t="s">
        <v>12</v>
      </c>
      <c r="D106" s="5">
        <v>50.51</v>
      </c>
      <c r="E106" s="5">
        <v>2682.63</v>
      </c>
      <c r="F106" s="16" t="s">
        <v>113</v>
      </c>
    </row>
    <row r="107" spans="1:11" x14ac:dyDescent="0.2">
      <c r="A107" s="9" t="s">
        <v>11</v>
      </c>
      <c r="B107" s="10">
        <v>45070</v>
      </c>
      <c r="C107" s="10" t="s">
        <v>12</v>
      </c>
      <c r="D107" s="5">
        <v>49.35</v>
      </c>
      <c r="E107" s="14">
        <v>2673.54</v>
      </c>
      <c r="F107" s="16" t="s">
        <v>114</v>
      </c>
      <c r="G107" s="13">
        <f>AVERAGE(E108:E109)</f>
        <v>2666.21</v>
      </c>
      <c r="H107" s="18">
        <f>STDEV(E108:E109)</f>
        <v>3.3658282784481206</v>
      </c>
      <c r="I107" s="5"/>
      <c r="J107" s="5"/>
      <c r="K107" s="5">
        <f>G107+$J$87</f>
        <v>2641.56</v>
      </c>
    </row>
    <row r="108" spans="1:11" x14ac:dyDescent="0.2">
      <c r="A108" s="9" t="s">
        <v>11</v>
      </c>
      <c r="B108" s="10">
        <v>45070</v>
      </c>
      <c r="C108" s="10" t="s">
        <v>12</v>
      </c>
      <c r="D108" s="5">
        <v>51.51</v>
      </c>
      <c r="E108" s="5">
        <v>2663.83</v>
      </c>
      <c r="F108" s="16" t="s">
        <v>115</v>
      </c>
    </row>
    <row r="109" spans="1:11" x14ac:dyDescent="0.2">
      <c r="A109" s="9" t="s">
        <v>11</v>
      </c>
      <c r="B109" s="10">
        <v>45070</v>
      </c>
      <c r="C109" s="10" t="s">
        <v>12</v>
      </c>
      <c r="D109" s="5">
        <v>51.15</v>
      </c>
      <c r="E109" s="5">
        <v>2668.59</v>
      </c>
      <c r="F109" s="16" t="s">
        <v>116</v>
      </c>
    </row>
    <row r="110" spans="1:11" x14ac:dyDescent="0.2">
      <c r="A110" s="9" t="s">
        <v>11</v>
      </c>
      <c r="B110" s="10">
        <v>45070</v>
      </c>
      <c r="C110" s="10" t="s">
        <v>12</v>
      </c>
      <c r="D110" s="5">
        <v>52.36</v>
      </c>
      <c r="E110" s="5">
        <v>2674.22</v>
      </c>
      <c r="F110" s="16" t="s">
        <v>117</v>
      </c>
      <c r="G110" s="13">
        <f>AVERAGE(E110:E111)</f>
        <v>2676.22</v>
      </c>
      <c r="H110" s="18">
        <f>STDEV(E110:E111)</f>
        <v>2.8284271247461903</v>
      </c>
      <c r="I110" s="5"/>
      <c r="J110" s="5"/>
      <c r="K110" s="5">
        <f>G110+$J$87</f>
        <v>2651.5699999999997</v>
      </c>
    </row>
    <row r="111" spans="1:11" x14ac:dyDescent="0.2">
      <c r="A111" s="9" t="s">
        <v>11</v>
      </c>
      <c r="B111" s="10">
        <v>45070</v>
      </c>
      <c r="C111" s="10" t="s">
        <v>12</v>
      </c>
      <c r="D111" s="5">
        <v>50.56</v>
      </c>
      <c r="E111" s="5">
        <v>2678.22</v>
      </c>
      <c r="F111" s="16" t="s">
        <v>118</v>
      </c>
    </row>
    <row r="112" spans="1:11" x14ac:dyDescent="0.2">
      <c r="A112" s="9" t="s">
        <v>11</v>
      </c>
      <c r="B112" s="10">
        <v>45070</v>
      </c>
      <c r="C112" s="10" t="s">
        <v>12</v>
      </c>
      <c r="D112" s="5">
        <v>49.76</v>
      </c>
      <c r="E112" s="5">
        <v>2672.81</v>
      </c>
      <c r="F112" s="16" t="s">
        <v>119</v>
      </c>
      <c r="G112" s="13">
        <f>AVERAGE(E112,E114)</f>
        <v>2671.2349999999997</v>
      </c>
      <c r="H112" s="18">
        <f>STDEV(E112,E114)</f>
        <v>2.2273863607376891</v>
      </c>
      <c r="I112" s="5"/>
      <c r="J112" s="5"/>
      <c r="K112" s="5">
        <f>G112+$J$87</f>
        <v>2646.5849999999996</v>
      </c>
    </row>
    <row r="113" spans="1:12" x14ac:dyDescent="0.2">
      <c r="A113" s="9" t="s">
        <v>11</v>
      </c>
      <c r="B113" s="10">
        <v>45070</v>
      </c>
      <c r="C113" s="10" t="s">
        <v>12</v>
      </c>
      <c r="D113" s="5">
        <v>49.93</v>
      </c>
      <c r="E113" s="14">
        <v>2644.37</v>
      </c>
      <c r="F113" s="16" t="s">
        <v>120</v>
      </c>
    </row>
    <row r="114" spans="1:12" x14ac:dyDescent="0.2">
      <c r="A114" s="9" t="s">
        <v>11</v>
      </c>
      <c r="B114" s="10">
        <v>45070</v>
      </c>
      <c r="C114" s="10" t="s">
        <v>12</v>
      </c>
      <c r="D114" s="15">
        <v>50.21</v>
      </c>
      <c r="E114" s="5">
        <v>2669.66</v>
      </c>
      <c r="F114" s="16" t="s">
        <v>121</v>
      </c>
    </row>
    <row r="115" spans="1:12" x14ac:dyDescent="0.2">
      <c r="A115" s="9" t="s">
        <v>11</v>
      </c>
      <c r="B115" s="10">
        <v>45070</v>
      </c>
      <c r="C115" s="10" t="s">
        <v>12</v>
      </c>
      <c r="D115" s="5">
        <v>51.39</v>
      </c>
      <c r="E115" s="5">
        <v>2602.8000000000002</v>
      </c>
      <c r="F115" s="16" t="s">
        <v>122</v>
      </c>
      <c r="G115" s="13">
        <f>AVERAGE(E115,E117)</f>
        <v>2602.42</v>
      </c>
      <c r="H115" s="18">
        <f>STDEV(E115,E117)</f>
        <v>0.53740115370193042</v>
      </c>
      <c r="I115" s="5"/>
      <c r="J115" s="5"/>
      <c r="K115" s="5">
        <f>G115+$J$87</f>
        <v>2577.77</v>
      </c>
    </row>
    <row r="116" spans="1:12" x14ac:dyDescent="0.2">
      <c r="A116" s="9" t="s">
        <v>11</v>
      </c>
      <c r="B116" s="10">
        <v>45070</v>
      </c>
      <c r="C116" s="10" t="s">
        <v>12</v>
      </c>
      <c r="D116" s="5">
        <v>49.24</v>
      </c>
      <c r="E116" s="14">
        <v>2621.53</v>
      </c>
      <c r="F116" s="16" t="s">
        <v>123</v>
      </c>
    </row>
    <row r="117" spans="1:12" x14ac:dyDescent="0.2">
      <c r="A117" s="9" t="s">
        <v>11</v>
      </c>
      <c r="B117" s="10">
        <v>45070</v>
      </c>
      <c r="C117" s="10" t="s">
        <v>12</v>
      </c>
      <c r="D117" s="5">
        <v>48.74</v>
      </c>
      <c r="E117" s="5">
        <v>2602.04</v>
      </c>
      <c r="F117" s="16" t="s">
        <v>124</v>
      </c>
    </row>
    <row r="118" spans="1:12" x14ac:dyDescent="0.2">
      <c r="A118" s="9" t="s">
        <v>152</v>
      </c>
      <c r="B118" s="10">
        <v>45071</v>
      </c>
      <c r="C118" s="10" t="s">
        <v>12</v>
      </c>
      <c r="D118" s="5">
        <v>48.65</v>
      </c>
      <c r="E118" s="5">
        <v>2243.71</v>
      </c>
      <c r="F118" s="16" t="s">
        <v>8</v>
      </c>
      <c r="G118" s="12">
        <f>AVERAGE(E118,E120)</f>
        <v>2243.3900000000003</v>
      </c>
      <c r="H118" s="13">
        <f>STDEV(E118,E120)</f>
        <v>0.45254833995930038</v>
      </c>
      <c r="I118" s="3">
        <v>2226.44</v>
      </c>
      <c r="J118" s="4">
        <f>I118-G118</f>
        <v>-16.950000000000273</v>
      </c>
      <c r="K118" s="5">
        <f>G118+J118</f>
        <v>2226.44</v>
      </c>
      <c r="L118" s="2" t="s">
        <v>94</v>
      </c>
    </row>
    <row r="119" spans="1:12" x14ac:dyDescent="0.2">
      <c r="A119" s="9" t="s">
        <v>152</v>
      </c>
      <c r="B119" s="10">
        <v>45071</v>
      </c>
      <c r="C119" s="10" t="s">
        <v>12</v>
      </c>
      <c r="D119" s="5">
        <v>52.32</v>
      </c>
      <c r="E119" s="14">
        <v>2236.0300000000002</v>
      </c>
      <c r="F119" s="16" t="s">
        <v>9</v>
      </c>
    </row>
    <row r="120" spans="1:12" x14ac:dyDescent="0.2">
      <c r="A120" s="9" t="s">
        <v>152</v>
      </c>
      <c r="B120" s="10">
        <v>45071</v>
      </c>
      <c r="C120" s="10" t="s">
        <v>12</v>
      </c>
      <c r="D120" s="5">
        <v>49.16</v>
      </c>
      <c r="E120" s="20">
        <v>2243.0700000000002</v>
      </c>
      <c r="F120" s="16" t="s">
        <v>96</v>
      </c>
    </row>
    <row r="121" spans="1:12" x14ac:dyDescent="0.2">
      <c r="A121" s="9" t="s">
        <v>11</v>
      </c>
      <c r="B121" s="10">
        <v>45070</v>
      </c>
      <c r="C121" s="10" t="s">
        <v>12</v>
      </c>
      <c r="D121" s="5">
        <v>50.06</v>
      </c>
      <c r="E121" s="14">
        <v>2581.9299999999998</v>
      </c>
      <c r="F121" s="16" t="s">
        <v>125</v>
      </c>
      <c r="G121" s="13">
        <f>AVERAGE(E122,E123)</f>
        <v>2560.4349999999999</v>
      </c>
      <c r="H121" s="18">
        <f>STDEV(E122,E123)</f>
        <v>1.3788582233136391</v>
      </c>
      <c r="I121" s="5"/>
      <c r="J121" s="5"/>
      <c r="K121" s="5">
        <f>G121+$J$87</f>
        <v>2535.7849999999999</v>
      </c>
    </row>
    <row r="122" spans="1:12" x14ac:dyDescent="0.2">
      <c r="A122" s="9" t="s">
        <v>11</v>
      </c>
      <c r="B122" s="10">
        <v>45070</v>
      </c>
      <c r="C122" s="10" t="s">
        <v>12</v>
      </c>
      <c r="D122" s="5">
        <v>53.5</v>
      </c>
      <c r="E122" s="5">
        <v>2559.46</v>
      </c>
      <c r="F122" s="16" t="s">
        <v>126</v>
      </c>
    </row>
    <row r="123" spans="1:12" x14ac:dyDescent="0.2">
      <c r="A123" s="9" t="s">
        <v>11</v>
      </c>
      <c r="B123" s="10">
        <v>45070</v>
      </c>
      <c r="C123" s="10" t="s">
        <v>12</v>
      </c>
      <c r="D123" s="5">
        <v>49.18</v>
      </c>
      <c r="E123" s="5">
        <v>2561.41</v>
      </c>
      <c r="F123" s="16" t="s">
        <v>127</v>
      </c>
    </row>
    <row r="124" spans="1:12" x14ac:dyDescent="0.2">
      <c r="A124" s="9" t="s">
        <v>11</v>
      </c>
      <c r="B124" s="10">
        <v>45070</v>
      </c>
      <c r="C124" s="10" t="s">
        <v>12</v>
      </c>
      <c r="D124" s="5">
        <v>48.74</v>
      </c>
      <c r="E124" s="14">
        <v>2581.9</v>
      </c>
      <c r="F124" s="16" t="s">
        <v>128</v>
      </c>
      <c r="G124" s="13">
        <f>AVERAGE(E125,E126)</f>
        <v>2565.64</v>
      </c>
      <c r="H124" s="18">
        <f>STDEV(E125,E126)</f>
        <v>3.2102647865869001</v>
      </c>
      <c r="I124" s="5"/>
      <c r="J124" s="5"/>
      <c r="K124" s="5">
        <f>G124+$J$87</f>
        <v>2540.9899999999998</v>
      </c>
    </row>
    <row r="125" spans="1:12" x14ac:dyDescent="0.2">
      <c r="A125" s="9" t="s">
        <v>11</v>
      </c>
      <c r="B125" s="10">
        <v>45070</v>
      </c>
      <c r="C125" s="10" t="s">
        <v>12</v>
      </c>
      <c r="D125" s="5">
        <v>48.46</v>
      </c>
      <c r="E125" s="5">
        <v>2563.37</v>
      </c>
      <c r="F125" s="16" t="s">
        <v>129</v>
      </c>
    </row>
    <row r="126" spans="1:12" x14ac:dyDescent="0.2">
      <c r="A126" s="9" t="s">
        <v>11</v>
      </c>
      <c r="B126" s="10">
        <v>45070</v>
      </c>
      <c r="C126" s="10" t="s">
        <v>12</v>
      </c>
      <c r="D126" s="5">
        <v>51.63</v>
      </c>
      <c r="E126" s="5">
        <v>2567.91</v>
      </c>
      <c r="F126" s="16" t="s">
        <v>150</v>
      </c>
    </row>
    <row r="127" spans="1:12" x14ac:dyDescent="0.2">
      <c r="A127" s="9" t="s">
        <v>11</v>
      </c>
      <c r="B127" s="10">
        <v>45070</v>
      </c>
      <c r="C127" s="10" t="s">
        <v>12</v>
      </c>
      <c r="D127" s="5">
        <v>49.69</v>
      </c>
      <c r="E127" s="5">
        <v>2507.44</v>
      </c>
      <c r="F127" s="16" t="s">
        <v>130</v>
      </c>
      <c r="G127" s="13">
        <f>AVERAGE(E127,E128)</f>
        <v>2509.4250000000002</v>
      </c>
      <c r="H127" s="18">
        <f>STDEV(E127,E128)</f>
        <v>2.8072139213104523</v>
      </c>
      <c r="I127" s="5"/>
      <c r="J127" s="5"/>
      <c r="K127" s="5">
        <f>G127+$J$87</f>
        <v>2484.7750000000001</v>
      </c>
    </row>
    <row r="128" spans="1:12" x14ac:dyDescent="0.2">
      <c r="A128" s="9" t="s">
        <v>11</v>
      </c>
      <c r="B128" s="10">
        <v>45070</v>
      </c>
      <c r="C128" s="10" t="s">
        <v>12</v>
      </c>
      <c r="D128" s="5">
        <v>49.44</v>
      </c>
      <c r="E128" s="5">
        <v>2511.41</v>
      </c>
      <c r="F128" s="16" t="s">
        <v>131</v>
      </c>
    </row>
    <row r="129" spans="1:12" x14ac:dyDescent="0.2">
      <c r="A129" s="9" t="s">
        <v>11</v>
      </c>
      <c r="B129" s="10">
        <v>45070</v>
      </c>
      <c r="C129" s="10" t="s">
        <v>12</v>
      </c>
      <c r="D129" s="5">
        <v>50.55</v>
      </c>
      <c r="E129" s="14">
        <v>2483.41</v>
      </c>
      <c r="F129" s="16" t="s">
        <v>132</v>
      </c>
      <c r="G129" s="13">
        <f>AVERAGE(E130,E131)</f>
        <v>2508.37</v>
      </c>
      <c r="H129" s="18">
        <f>STDEV(E130,E131)</f>
        <v>2.036467529817334</v>
      </c>
      <c r="I129" s="5"/>
      <c r="J129" s="5"/>
      <c r="K129" s="5">
        <f>G129+$J$87</f>
        <v>2483.7199999999998</v>
      </c>
    </row>
    <row r="130" spans="1:12" x14ac:dyDescent="0.2">
      <c r="A130" s="9" t="s">
        <v>11</v>
      </c>
      <c r="B130" s="10">
        <v>45070</v>
      </c>
      <c r="C130" s="10" t="s">
        <v>12</v>
      </c>
      <c r="D130" s="5">
        <v>47.44</v>
      </c>
      <c r="E130" s="5">
        <v>2506.9299999999998</v>
      </c>
      <c r="F130" s="16" t="s">
        <v>133</v>
      </c>
    </row>
    <row r="131" spans="1:12" x14ac:dyDescent="0.2">
      <c r="A131" s="9" t="s">
        <v>11</v>
      </c>
      <c r="B131" s="10">
        <v>45070</v>
      </c>
      <c r="C131" s="10" t="s">
        <v>12</v>
      </c>
      <c r="D131" s="5">
        <v>52.79</v>
      </c>
      <c r="E131" s="5">
        <v>2509.81</v>
      </c>
      <c r="F131" s="16" t="s">
        <v>134</v>
      </c>
    </row>
    <row r="132" spans="1:12" x14ac:dyDescent="0.2">
      <c r="A132" s="9" t="s">
        <v>11</v>
      </c>
      <c r="B132" s="10">
        <v>45070</v>
      </c>
      <c r="C132" s="10" t="s">
        <v>12</v>
      </c>
      <c r="D132" s="5">
        <v>48.3</v>
      </c>
      <c r="E132" s="5">
        <v>2510.2199999999998</v>
      </c>
      <c r="F132" s="16" t="s">
        <v>135</v>
      </c>
      <c r="G132" s="13">
        <f>AVERAGE(E132,E133)</f>
        <v>2513.62</v>
      </c>
      <c r="H132" s="18">
        <f>STDEV(E132,E133)</f>
        <v>4.8083261120686522</v>
      </c>
      <c r="I132" s="5"/>
      <c r="J132" s="5"/>
      <c r="K132" s="5">
        <f>G132+$J$87</f>
        <v>2488.9699999999998</v>
      </c>
    </row>
    <row r="133" spans="1:12" x14ac:dyDescent="0.2">
      <c r="A133" s="9" t="s">
        <v>11</v>
      </c>
      <c r="B133" s="10">
        <v>45070</v>
      </c>
      <c r="C133" s="10" t="s">
        <v>12</v>
      </c>
      <c r="D133" s="5">
        <v>48.44</v>
      </c>
      <c r="E133" s="5">
        <v>2517.02</v>
      </c>
      <c r="F133" s="16" t="s">
        <v>136</v>
      </c>
    </row>
    <row r="134" spans="1:12" x14ac:dyDescent="0.2">
      <c r="A134" s="9" t="s">
        <v>11</v>
      </c>
      <c r="B134" s="10">
        <v>45070</v>
      </c>
      <c r="C134" s="10" t="s">
        <v>12</v>
      </c>
      <c r="D134" s="5">
        <v>49.14</v>
      </c>
      <c r="E134" s="14">
        <v>2572.29</v>
      </c>
      <c r="F134" s="16" t="s">
        <v>137</v>
      </c>
      <c r="G134" s="13">
        <f>AVERAGE(E136,E135)</f>
        <v>2555.61</v>
      </c>
      <c r="H134" s="18">
        <f>STDEV(E136,E135)</f>
        <v>3.5072496346853015</v>
      </c>
      <c r="I134" s="5"/>
      <c r="J134" s="5"/>
      <c r="K134" s="5">
        <f>G134+$J$87</f>
        <v>2530.96</v>
      </c>
    </row>
    <row r="135" spans="1:12" x14ac:dyDescent="0.2">
      <c r="A135" s="9" t="s">
        <v>11</v>
      </c>
      <c r="B135" s="10">
        <v>45070</v>
      </c>
      <c r="C135" s="10" t="s">
        <v>12</v>
      </c>
      <c r="D135" s="5">
        <v>53.79</v>
      </c>
      <c r="E135" s="5">
        <v>2558.09</v>
      </c>
      <c r="F135" s="16" t="s">
        <v>138</v>
      </c>
    </row>
    <row r="136" spans="1:12" x14ac:dyDescent="0.2">
      <c r="A136" s="9" t="s">
        <v>11</v>
      </c>
      <c r="B136" s="10">
        <v>45070</v>
      </c>
      <c r="C136" s="10" t="s">
        <v>12</v>
      </c>
      <c r="D136" s="5">
        <v>48.08</v>
      </c>
      <c r="E136" s="5">
        <v>2553.13</v>
      </c>
      <c r="F136" s="16" t="s">
        <v>139</v>
      </c>
    </row>
    <row r="137" spans="1:12" x14ac:dyDescent="0.2">
      <c r="A137" s="9" t="s">
        <v>11</v>
      </c>
      <c r="B137" s="10">
        <v>45070</v>
      </c>
      <c r="C137" s="10" t="s">
        <v>12</v>
      </c>
      <c r="D137" s="5">
        <v>51.07</v>
      </c>
      <c r="E137" s="5">
        <v>2490.64</v>
      </c>
      <c r="F137" s="16" t="s">
        <v>140</v>
      </c>
      <c r="G137" s="13">
        <f>AVERAGE(E137,E138)</f>
        <v>2490.2249999999999</v>
      </c>
      <c r="H137" s="18">
        <f>STDEV(E137,E138)</f>
        <v>0.58689862838478302</v>
      </c>
      <c r="I137" s="5"/>
      <c r="J137" s="5"/>
      <c r="K137" s="5">
        <f>G137+$J$87</f>
        <v>2465.5749999999998</v>
      </c>
    </row>
    <row r="138" spans="1:12" x14ac:dyDescent="0.2">
      <c r="A138" s="9" t="s">
        <v>11</v>
      </c>
      <c r="B138" s="10">
        <v>45070</v>
      </c>
      <c r="C138" s="10" t="s">
        <v>12</v>
      </c>
      <c r="D138" s="5">
        <v>48.78</v>
      </c>
      <c r="E138" s="5">
        <v>2489.81</v>
      </c>
      <c r="F138" s="16" t="s">
        <v>141</v>
      </c>
    </row>
    <row r="139" spans="1:12" x14ac:dyDescent="0.2">
      <c r="A139" s="9" t="s">
        <v>11</v>
      </c>
      <c r="B139" s="10">
        <v>45070</v>
      </c>
      <c r="C139" s="10" t="s">
        <v>12</v>
      </c>
      <c r="D139" s="5" t="s">
        <v>153</v>
      </c>
      <c r="E139" s="5" t="s">
        <v>153</v>
      </c>
      <c r="F139" s="16" t="s">
        <v>142</v>
      </c>
      <c r="G139" s="13" t="s">
        <v>153</v>
      </c>
      <c r="H139" s="18" t="s">
        <v>153</v>
      </c>
      <c r="I139" s="5"/>
      <c r="J139" s="5"/>
      <c r="K139" s="5" t="s">
        <v>153</v>
      </c>
      <c r="L139" s="1" t="s">
        <v>182</v>
      </c>
    </row>
    <row r="140" spans="1:12" x14ac:dyDescent="0.2">
      <c r="A140" s="9" t="s">
        <v>11</v>
      </c>
      <c r="B140" s="10">
        <v>45070</v>
      </c>
      <c r="C140" s="10" t="s">
        <v>12</v>
      </c>
      <c r="D140" s="5" t="s">
        <v>153</v>
      </c>
      <c r="E140" s="5" t="s">
        <v>153</v>
      </c>
      <c r="F140" s="16" t="s">
        <v>143</v>
      </c>
    </row>
    <row r="141" spans="1:12" x14ac:dyDescent="0.2">
      <c r="A141" s="9" t="s">
        <v>11</v>
      </c>
      <c r="B141" s="10">
        <v>45070</v>
      </c>
      <c r="C141" s="10" t="s">
        <v>12</v>
      </c>
      <c r="D141" s="5" t="s">
        <v>153</v>
      </c>
      <c r="E141" s="5" t="s">
        <v>153</v>
      </c>
      <c r="F141" s="16" t="s">
        <v>151</v>
      </c>
    </row>
    <row r="142" spans="1:12" x14ac:dyDescent="0.2">
      <c r="A142" s="9" t="s">
        <v>152</v>
      </c>
      <c r="B142" s="10">
        <v>45071</v>
      </c>
      <c r="C142" s="10" t="s">
        <v>12</v>
      </c>
      <c r="D142" s="5">
        <v>51.28</v>
      </c>
      <c r="E142" s="5">
        <v>2508.1</v>
      </c>
      <c r="F142" s="16" t="s">
        <v>144</v>
      </c>
      <c r="G142" s="13">
        <f>AVERAGE(E142,E143)</f>
        <v>2504.9749999999999</v>
      </c>
      <c r="H142" s="18">
        <f>STDEV(E142,E143)</f>
        <v>4.4194173824159222</v>
      </c>
      <c r="I142" s="5"/>
      <c r="J142" s="5"/>
      <c r="K142" s="5">
        <f>G142+$J$118</f>
        <v>2488.0249999999996</v>
      </c>
    </row>
    <row r="143" spans="1:12" x14ac:dyDescent="0.2">
      <c r="A143" s="9" t="s">
        <v>152</v>
      </c>
      <c r="B143" s="10">
        <v>45071</v>
      </c>
      <c r="C143" s="10" t="s">
        <v>12</v>
      </c>
      <c r="D143" s="5">
        <v>48.87</v>
      </c>
      <c r="E143" s="5">
        <v>2501.85</v>
      </c>
      <c r="F143" s="16" t="s">
        <v>145</v>
      </c>
    </row>
    <row r="144" spans="1:12" x14ac:dyDescent="0.2">
      <c r="A144" s="9" t="s">
        <v>152</v>
      </c>
      <c r="B144" s="10">
        <v>45071</v>
      </c>
      <c r="C144" s="10" t="s">
        <v>12</v>
      </c>
      <c r="D144" s="5">
        <v>50.15</v>
      </c>
      <c r="E144" s="14">
        <v>2516.9699999999998</v>
      </c>
      <c r="F144" s="16" t="s">
        <v>146</v>
      </c>
    </row>
    <row r="145" spans="1:12" x14ac:dyDescent="0.2">
      <c r="A145" s="9" t="s">
        <v>152</v>
      </c>
      <c r="B145" s="10">
        <v>45071</v>
      </c>
      <c r="C145" s="10" t="s">
        <v>12</v>
      </c>
      <c r="D145" s="5">
        <v>48.48</v>
      </c>
      <c r="E145" s="5">
        <v>2563.36</v>
      </c>
      <c r="F145" s="16" t="s">
        <v>147</v>
      </c>
      <c r="G145" s="13">
        <f>AVERAGE(E145,E146)</f>
        <v>2562.0500000000002</v>
      </c>
      <c r="H145" s="18">
        <f>STDEV(E145,E146)</f>
        <v>1.852619766708999</v>
      </c>
      <c r="I145" s="5"/>
      <c r="J145" s="5"/>
      <c r="K145" s="5">
        <f>G145+$J$118</f>
        <v>2545.1</v>
      </c>
    </row>
    <row r="146" spans="1:12" x14ac:dyDescent="0.2">
      <c r="A146" s="9" t="s">
        <v>152</v>
      </c>
      <c r="B146" s="10">
        <v>45071</v>
      </c>
      <c r="C146" s="10" t="s">
        <v>12</v>
      </c>
      <c r="D146" s="5">
        <v>48.03</v>
      </c>
      <c r="E146" s="5">
        <v>2560.7399999999998</v>
      </c>
      <c r="F146" s="16" t="s">
        <v>148</v>
      </c>
    </row>
    <row r="147" spans="1:12" x14ac:dyDescent="0.2">
      <c r="A147" s="9" t="s">
        <v>152</v>
      </c>
      <c r="B147" s="10">
        <v>45071</v>
      </c>
      <c r="C147" s="10" t="s">
        <v>12</v>
      </c>
      <c r="D147" s="5">
        <v>48.88</v>
      </c>
      <c r="E147" s="14">
        <v>2577.4</v>
      </c>
      <c r="F147" s="16" t="s">
        <v>149</v>
      </c>
    </row>
    <row r="148" spans="1:12" x14ac:dyDescent="0.2">
      <c r="A148" s="9" t="s">
        <v>11</v>
      </c>
      <c r="B148" s="10">
        <v>45072</v>
      </c>
      <c r="C148" s="10" t="s">
        <v>12</v>
      </c>
      <c r="D148" s="5">
        <v>50.92</v>
      </c>
      <c r="E148" s="5">
        <v>2235.3200000000002</v>
      </c>
      <c r="F148" s="16" t="s">
        <v>8</v>
      </c>
      <c r="G148" s="12">
        <f>AVERAGE(E148,E149)</f>
        <v>2233.5550000000003</v>
      </c>
      <c r="H148" s="13">
        <f>STDEV(E148:E149)</f>
        <v>2.4960869375886543</v>
      </c>
      <c r="I148" s="3">
        <v>2226.44</v>
      </c>
      <c r="J148" s="4">
        <f>I148-G148</f>
        <v>-7.1150000000002365</v>
      </c>
      <c r="K148" s="5">
        <f>G148+J148</f>
        <v>2226.44</v>
      </c>
      <c r="L148" s="2" t="s">
        <v>94</v>
      </c>
    </row>
    <row r="149" spans="1:12" x14ac:dyDescent="0.2">
      <c r="A149" s="9" t="s">
        <v>11</v>
      </c>
      <c r="B149" s="10">
        <v>45072</v>
      </c>
      <c r="C149" s="10" t="s">
        <v>12</v>
      </c>
      <c r="D149" s="5">
        <v>48.85</v>
      </c>
      <c r="E149" s="5">
        <v>2231.79</v>
      </c>
      <c r="F149" s="16" t="s">
        <v>9</v>
      </c>
    </row>
    <row r="150" spans="1:12" x14ac:dyDescent="0.2">
      <c r="A150" s="9" t="s">
        <v>11</v>
      </c>
      <c r="B150" s="10">
        <v>45071</v>
      </c>
      <c r="C150" s="10" t="s">
        <v>12</v>
      </c>
      <c r="D150" s="5">
        <v>49.29</v>
      </c>
      <c r="E150" s="14">
        <v>2573.58</v>
      </c>
      <c r="F150" s="16" t="s">
        <v>125</v>
      </c>
      <c r="G150" s="13">
        <f>AVERAGE(E151:E152)</f>
        <v>2559.56</v>
      </c>
      <c r="H150" s="18">
        <f>STDEV(E151:E152)</f>
        <v>3.2668333290817722</v>
      </c>
      <c r="I150" s="5"/>
      <c r="J150" s="5"/>
      <c r="K150" s="5">
        <f>G150+$J$118</f>
        <v>2542.6099999999997</v>
      </c>
    </row>
    <row r="151" spans="1:12" x14ac:dyDescent="0.2">
      <c r="A151" s="9" t="s">
        <v>11</v>
      </c>
      <c r="B151" s="10">
        <v>45071</v>
      </c>
      <c r="C151" s="10" t="s">
        <v>12</v>
      </c>
      <c r="D151" s="5">
        <v>50.59</v>
      </c>
      <c r="E151" s="5">
        <v>2557.25</v>
      </c>
      <c r="F151" s="16" t="s">
        <v>126</v>
      </c>
    </row>
    <row r="152" spans="1:12" x14ac:dyDescent="0.2">
      <c r="A152" s="9" t="s">
        <v>11</v>
      </c>
      <c r="B152" s="10">
        <v>45071</v>
      </c>
      <c r="C152" s="10" t="s">
        <v>12</v>
      </c>
      <c r="D152" s="5">
        <v>48.84</v>
      </c>
      <c r="E152" s="5">
        <v>2561.87</v>
      </c>
      <c r="F152" s="16" t="s">
        <v>127</v>
      </c>
    </row>
    <row r="153" spans="1:12" x14ac:dyDescent="0.2">
      <c r="A153" s="9" t="s">
        <v>11</v>
      </c>
      <c r="B153" s="10">
        <v>45071</v>
      </c>
      <c r="C153" s="10" t="s">
        <v>12</v>
      </c>
      <c r="D153" s="5">
        <v>51.03</v>
      </c>
      <c r="E153" s="5">
        <v>2571.7600000000002</v>
      </c>
      <c r="F153" s="16" t="s">
        <v>128</v>
      </c>
      <c r="G153" s="13">
        <f>AVERAGE(E153,E155)</f>
        <v>2571.4499999999998</v>
      </c>
      <c r="H153" s="18">
        <f>STDEV(E153,E155)</f>
        <v>0.43840620433590383</v>
      </c>
      <c r="I153" s="5"/>
      <c r="J153" s="5"/>
      <c r="K153" s="5">
        <f>G153+$J$118</f>
        <v>2554.4999999999995</v>
      </c>
    </row>
    <row r="154" spans="1:12" x14ac:dyDescent="0.2">
      <c r="A154" s="9" t="s">
        <v>11</v>
      </c>
      <c r="B154" s="10">
        <v>45071</v>
      </c>
      <c r="C154" s="10" t="s">
        <v>12</v>
      </c>
      <c r="D154" s="5">
        <v>48.02</v>
      </c>
      <c r="E154" s="14">
        <v>2641.36</v>
      </c>
      <c r="F154" s="16" t="s">
        <v>129</v>
      </c>
    </row>
    <row r="155" spans="1:12" x14ac:dyDescent="0.2">
      <c r="A155" s="9" t="s">
        <v>11</v>
      </c>
      <c r="B155" s="10">
        <v>45071</v>
      </c>
      <c r="C155" s="10" t="s">
        <v>12</v>
      </c>
      <c r="D155" s="5">
        <v>51.38</v>
      </c>
      <c r="E155" s="5">
        <v>2571.14</v>
      </c>
      <c r="F155" s="16" t="s">
        <v>150</v>
      </c>
    </row>
    <row r="156" spans="1:12" x14ac:dyDescent="0.2">
      <c r="A156" s="9" t="s">
        <v>11</v>
      </c>
      <c r="B156" s="10">
        <v>45071</v>
      </c>
      <c r="C156" s="10" t="s">
        <v>12</v>
      </c>
      <c r="D156" s="5">
        <v>51.09</v>
      </c>
      <c r="E156" s="14">
        <v>2509.6999999999998</v>
      </c>
      <c r="F156" s="16" t="s">
        <v>130</v>
      </c>
      <c r="G156" s="13">
        <f>AVERAGE(E157:E158)</f>
        <v>2489.66</v>
      </c>
      <c r="H156" s="18">
        <f>STDEV(E157:E158)</f>
        <v>2.9698484809836927</v>
      </c>
      <c r="I156" s="5"/>
      <c r="J156" s="5"/>
      <c r="K156" s="5">
        <f>G156+$J$118</f>
        <v>2472.7099999999996</v>
      </c>
    </row>
    <row r="157" spans="1:12" x14ac:dyDescent="0.2">
      <c r="A157" s="9" t="s">
        <v>11</v>
      </c>
      <c r="B157" s="10">
        <v>45071</v>
      </c>
      <c r="C157" s="10" t="s">
        <v>12</v>
      </c>
      <c r="D157" s="5">
        <v>51.1</v>
      </c>
      <c r="E157" s="5">
        <v>2491.7600000000002</v>
      </c>
      <c r="F157" s="16" t="s">
        <v>131</v>
      </c>
    </row>
    <row r="158" spans="1:12" x14ac:dyDescent="0.2">
      <c r="A158" s="9" t="s">
        <v>11</v>
      </c>
      <c r="B158" s="10">
        <v>45071</v>
      </c>
      <c r="C158" s="10" t="s">
        <v>12</v>
      </c>
      <c r="D158" s="5">
        <v>52.26</v>
      </c>
      <c r="E158" s="5">
        <v>2487.56</v>
      </c>
      <c r="F158" s="16" t="s">
        <v>154</v>
      </c>
    </row>
    <row r="159" spans="1:12" x14ac:dyDescent="0.2">
      <c r="A159" s="9" t="s">
        <v>11</v>
      </c>
      <c r="B159" s="10">
        <v>45071</v>
      </c>
      <c r="C159" s="10" t="s">
        <v>12</v>
      </c>
      <c r="D159" s="5">
        <v>50.99</v>
      </c>
      <c r="E159" s="5">
        <v>2526.11</v>
      </c>
      <c r="F159" s="16" t="s">
        <v>132</v>
      </c>
      <c r="G159" s="13">
        <f>AVERAGE(E159,E161)</f>
        <v>2526.5600000000004</v>
      </c>
      <c r="H159" s="18">
        <f>STDEV(E159,E161)</f>
        <v>0.63639610306795713</v>
      </c>
      <c r="I159" s="5"/>
      <c r="J159" s="5"/>
      <c r="K159" s="5">
        <f>G159+$J$118</f>
        <v>2509.61</v>
      </c>
    </row>
    <row r="160" spans="1:12" x14ac:dyDescent="0.2">
      <c r="A160" s="9" t="s">
        <v>11</v>
      </c>
      <c r="B160" s="10">
        <v>45071</v>
      </c>
      <c r="C160" s="10" t="s">
        <v>12</v>
      </c>
      <c r="D160" s="5">
        <v>52.82</v>
      </c>
      <c r="E160" s="14">
        <v>2520.5100000000002</v>
      </c>
      <c r="F160" s="16" t="s">
        <v>133</v>
      </c>
    </row>
    <row r="161" spans="1:12" x14ac:dyDescent="0.2">
      <c r="A161" s="9" t="s">
        <v>11</v>
      </c>
      <c r="B161" s="10">
        <v>45071</v>
      </c>
      <c r="C161" s="10" t="s">
        <v>12</v>
      </c>
      <c r="D161" s="5">
        <v>50.85</v>
      </c>
      <c r="E161" s="5">
        <v>2527.0100000000002</v>
      </c>
      <c r="F161" s="16" t="s">
        <v>134</v>
      </c>
    </row>
    <row r="162" spans="1:12" x14ac:dyDescent="0.2">
      <c r="A162" s="9" t="s">
        <v>11</v>
      </c>
      <c r="B162" s="10">
        <v>45072</v>
      </c>
      <c r="C162" s="10" t="s">
        <v>12</v>
      </c>
      <c r="D162" s="5">
        <v>50.49</v>
      </c>
      <c r="E162" s="5">
        <v>2523.5</v>
      </c>
      <c r="F162" s="16" t="s">
        <v>135</v>
      </c>
      <c r="G162" s="13">
        <f>AVERAGE(E162:E163)</f>
        <v>2521.355</v>
      </c>
      <c r="H162" s="18">
        <f>STDEV(E162:E163)</f>
        <v>3.0334880912902631</v>
      </c>
      <c r="I162" s="5"/>
      <c r="J162" s="5"/>
      <c r="K162" s="5">
        <f>G162+$J$148</f>
        <v>2514.2399999999998</v>
      </c>
    </row>
    <row r="163" spans="1:12" x14ac:dyDescent="0.2">
      <c r="A163" s="9" t="s">
        <v>11</v>
      </c>
      <c r="B163" s="10">
        <v>45072</v>
      </c>
      <c r="C163" s="10" t="s">
        <v>12</v>
      </c>
      <c r="D163" s="5">
        <v>49.11</v>
      </c>
      <c r="E163" s="5">
        <v>2519.21</v>
      </c>
      <c r="F163" s="16" t="s">
        <v>136</v>
      </c>
    </row>
    <row r="164" spans="1:12" x14ac:dyDescent="0.2">
      <c r="A164" s="9" t="s">
        <v>11</v>
      </c>
      <c r="B164" s="10">
        <v>45072</v>
      </c>
      <c r="C164" s="10" t="s">
        <v>12</v>
      </c>
      <c r="D164" s="5">
        <v>52.28</v>
      </c>
      <c r="E164" s="5">
        <v>2573.4699999999998</v>
      </c>
      <c r="F164" s="16" t="s">
        <v>137</v>
      </c>
      <c r="G164" s="13">
        <f>AVERAGE(E164,E166)</f>
        <v>2574.1499999999996</v>
      </c>
      <c r="H164" s="18">
        <f>STDEV(E164,E166)</f>
        <v>0.96166522241379471</v>
      </c>
      <c r="I164" s="5"/>
      <c r="J164" s="5"/>
      <c r="K164" s="5">
        <f>G164+$J$87</f>
        <v>2549.4999999999995</v>
      </c>
    </row>
    <row r="165" spans="1:12" x14ac:dyDescent="0.2">
      <c r="A165" s="9" t="s">
        <v>11</v>
      </c>
      <c r="B165" s="10">
        <v>45072</v>
      </c>
      <c r="C165" s="10" t="s">
        <v>12</v>
      </c>
      <c r="D165" s="5">
        <v>50.12</v>
      </c>
      <c r="E165" s="14">
        <v>2568.59</v>
      </c>
      <c r="F165" s="16" t="s">
        <v>138</v>
      </c>
    </row>
    <row r="166" spans="1:12" x14ac:dyDescent="0.2">
      <c r="A166" s="9" t="s">
        <v>11</v>
      </c>
      <c r="B166" s="10">
        <v>45072</v>
      </c>
      <c r="C166" s="10" t="s">
        <v>12</v>
      </c>
      <c r="D166" s="5">
        <v>51.85</v>
      </c>
      <c r="E166" s="5">
        <v>2574.83</v>
      </c>
      <c r="F166" s="16" t="s">
        <v>139</v>
      </c>
    </row>
    <row r="167" spans="1:12" x14ac:dyDescent="0.2">
      <c r="A167" s="9" t="s">
        <v>11</v>
      </c>
      <c r="B167" s="10">
        <v>45072</v>
      </c>
      <c r="C167" s="10" t="s">
        <v>12</v>
      </c>
      <c r="D167" s="5">
        <v>50.5</v>
      </c>
      <c r="E167" s="5">
        <v>2499.33</v>
      </c>
      <c r="F167" s="16" t="s">
        <v>140</v>
      </c>
      <c r="G167" s="13">
        <f>AVERAGE(E168:E169)</f>
        <v>2508.4300000000003</v>
      </c>
      <c r="H167" s="18">
        <f>STDEV(E168:E169)</f>
        <v>3.2526911934580545</v>
      </c>
      <c r="I167" s="5"/>
      <c r="J167" s="5"/>
      <c r="K167" s="5">
        <f>G167+$J$87</f>
        <v>2483.7800000000002</v>
      </c>
    </row>
    <row r="168" spans="1:12" x14ac:dyDescent="0.2">
      <c r="A168" s="9" t="s">
        <v>11</v>
      </c>
      <c r="B168" s="10">
        <v>45072</v>
      </c>
      <c r="C168" s="10" t="s">
        <v>12</v>
      </c>
      <c r="D168" s="5">
        <v>51.34</v>
      </c>
      <c r="E168" s="5">
        <v>2510.73</v>
      </c>
      <c r="F168" s="16" t="s">
        <v>141</v>
      </c>
    </row>
    <row r="169" spans="1:12" x14ac:dyDescent="0.2">
      <c r="A169" s="9" t="s">
        <v>11</v>
      </c>
      <c r="B169" s="10">
        <v>45072</v>
      </c>
      <c r="C169" s="10" t="s">
        <v>12</v>
      </c>
      <c r="D169" s="5">
        <v>49.8</v>
      </c>
      <c r="E169" s="5">
        <v>2506.13</v>
      </c>
      <c r="F169" s="16" t="s">
        <v>155</v>
      </c>
    </row>
    <row r="170" spans="1:12" s="28" customFormat="1" x14ac:dyDescent="0.2">
      <c r="A170" s="24" t="s">
        <v>11</v>
      </c>
      <c r="B170" s="25">
        <v>45072</v>
      </c>
      <c r="C170" s="25" t="s">
        <v>12</v>
      </c>
      <c r="D170" s="26">
        <v>50.04</v>
      </c>
      <c r="E170" s="26">
        <v>2464.9499999999998</v>
      </c>
      <c r="F170" s="27" t="s">
        <v>142</v>
      </c>
      <c r="G170" s="13">
        <f>AVERAGE(E170:E171)</f>
        <v>2466.8249999999998</v>
      </c>
      <c r="H170" s="18">
        <f>STDEV(E170:E171)</f>
        <v>2.6516504294495533</v>
      </c>
      <c r="I170" s="26"/>
      <c r="J170" s="26"/>
      <c r="K170" s="26">
        <f>G170+$J$87</f>
        <v>2442.1749999999997</v>
      </c>
    </row>
    <row r="171" spans="1:12" s="28" customFormat="1" x14ac:dyDescent="0.2">
      <c r="A171" s="24" t="s">
        <v>11</v>
      </c>
      <c r="B171" s="25">
        <v>45072</v>
      </c>
      <c r="C171" s="25" t="s">
        <v>12</v>
      </c>
      <c r="D171" s="26">
        <v>48.8</v>
      </c>
      <c r="E171" s="26">
        <v>2468.6999999999998</v>
      </c>
      <c r="F171" s="27" t="s">
        <v>143</v>
      </c>
      <c r="G171" s="29"/>
      <c r="H171" s="29"/>
      <c r="I171" s="29"/>
      <c r="J171" s="29"/>
      <c r="K171" s="29"/>
    </row>
    <row r="172" spans="1:12" s="28" customFormat="1" x14ac:dyDescent="0.2">
      <c r="A172" s="24" t="s">
        <v>11</v>
      </c>
      <c r="B172" s="25">
        <v>45072</v>
      </c>
      <c r="C172" s="25" t="s">
        <v>12</v>
      </c>
      <c r="D172" s="26">
        <v>49.87</v>
      </c>
      <c r="E172" s="30">
        <v>2431.39</v>
      </c>
      <c r="F172" s="27" t="s">
        <v>151</v>
      </c>
      <c r="G172" s="29"/>
      <c r="H172" s="29"/>
      <c r="I172" s="29"/>
      <c r="J172" s="29"/>
      <c r="K172" s="29"/>
    </row>
    <row r="173" spans="1:12" s="28" customFormat="1" x14ac:dyDescent="0.2">
      <c r="A173" s="24" t="s">
        <v>11</v>
      </c>
      <c r="B173" s="25">
        <v>45072</v>
      </c>
      <c r="C173" s="25" t="s">
        <v>12</v>
      </c>
      <c r="D173" s="26">
        <v>50.49</v>
      </c>
      <c r="E173" s="30">
        <v>2513.27</v>
      </c>
      <c r="F173" s="27" t="s">
        <v>144</v>
      </c>
      <c r="G173" s="13">
        <f>AVERAGE(E174,E175)</f>
        <v>2479.6350000000002</v>
      </c>
      <c r="H173" s="18">
        <f>STDEV(E174,E175)</f>
        <v>0.68589357775080961</v>
      </c>
      <c r="I173" s="5"/>
      <c r="J173" s="5"/>
      <c r="K173" s="5">
        <f>G173+$J$87</f>
        <v>2454.9850000000001</v>
      </c>
    </row>
    <row r="174" spans="1:12" x14ac:dyDescent="0.2">
      <c r="A174" s="9" t="s">
        <v>11</v>
      </c>
      <c r="B174" s="10">
        <v>45072</v>
      </c>
      <c r="C174" s="10" t="s">
        <v>12</v>
      </c>
      <c r="D174" s="5">
        <v>49</v>
      </c>
      <c r="E174" s="5">
        <v>2480.12</v>
      </c>
      <c r="F174" s="23" t="s">
        <v>145</v>
      </c>
      <c r="G174" s="1"/>
      <c r="H174" s="1"/>
      <c r="I174" s="1"/>
      <c r="J174" s="1"/>
      <c r="K174" s="1"/>
    </row>
    <row r="175" spans="1:12" x14ac:dyDescent="0.2">
      <c r="A175" s="9" t="s">
        <v>11</v>
      </c>
      <c r="B175" s="10">
        <v>45072</v>
      </c>
      <c r="C175" s="10" t="s">
        <v>12</v>
      </c>
      <c r="D175" s="22">
        <v>51.03</v>
      </c>
      <c r="E175" s="5">
        <v>2479.15</v>
      </c>
      <c r="F175" s="23" t="s">
        <v>157</v>
      </c>
    </row>
    <row r="176" spans="1:12" x14ac:dyDescent="0.2">
      <c r="A176" s="9" t="s">
        <v>11</v>
      </c>
      <c r="B176" s="10">
        <v>45072</v>
      </c>
      <c r="C176" s="10" t="s">
        <v>12</v>
      </c>
      <c r="D176" s="22">
        <v>52.74</v>
      </c>
      <c r="E176" s="14">
        <v>2554.25</v>
      </c>
      <c r="F176" s="21" t="s">
        <v>147</v>
      </c>
      <c r="G176" s="13">
        <f>AVERAGE(E177:E178)</f>
        <v>2569.605</v>
      </c>
      <c r="H176" s="18">
        <f>STDEV(E177:E178)</f>
        <v>4.0092954493277757</v>
      </c>
      <c r="I176" s="5"/>
      <c r="J176" s="5"/>
      <c r="K176" s="5">
        <f>G176+$J$87</f>
        <v>2544.9549999999999</v>
      </c>
      <c r="L176" s="28"/>
    </row>
    <row r="177" spans="1:12" x14ac:dyDescent="0.2">
      <c r="A177" s="9" t="s">
        <v>11</v>
      </c>
      <c r="B177" s="10">
        <v>45072</v>
      </c>
      <c r="C177" s="10" t="s">
        <v>12</v>
      </c>
      <c r="D177" s="5">
        <v>48.88</v>
      </c>
      <c r="E177" s="5">
        <v>2572.44</v>
      </c>
      <c r="F177" s="21" t="s">
        <v>149</v>
      </c>
    </row>
    <row r="178" spans="1:12" x14ac:dyDescent="0.2">
      <c r="A178" s="9" t="s">
        <v>11</v>
      </c>
      <c r="B178" s="10">
        <v>45072</v>
      </c>
      <c r="C178" s="10" t="s">
        <v>12</v>
      </c>
      <c r="D178" s="5">
        <v>48.88</v>
      </c>
      <c r="E178" s="5">
        <v>2566.77</v>
      </c>
      <c r="F178" s="21" t="s">
        <v>156</v>
      </c>
    </row>
    <row r="179" spans="1:12" x14ac:dyDescent="0.2">
      <c r="A179" s="15" t="s">
        <v>152</v>
      </c>
      <c r="B179" s="31">
        <v>45076</v>
      </c>
      <c r="C179" s="25" t="s">
        <v>12</v>
      </c>
      <c r="D179" s="5">
        <v>52.53</v>
      </c>
      <c r="E179" s="14">
        <v>2209.06</v>
      </c>
      <c r="F179" s="16" t="s">
        <v>8</v>
      </c>
      <c r="G179" s="13">
        <f>AVERAGE(E180:E181)</f>
        <v>2235.2600000000002</v>
      </c>
      <c r="H179" s="18">
        <f>STDEV(E180:E181)</f>
        <v>4.3274935008619151</v>
      </c>
      <c r="I179" s="3">
        <v>2226.44</v>
      </c>
      <c r="J179" s="4">
        <f>I179-G179</f>
        <v>-8.8200000000001637</v>
      </c>
      <c r="K179" s="5">
        <f>G179+J179</f>
        <v>2226.44</v>
      </c>
      <c r="L179" s="2" t="s">
        <v>94</v>
      </c>
    </row>
    <row r="180" spans="1:12" x14ac:dyDescent="0.2">
      <c r="A180" s="15" t="s">
        <v>152</v>
      </c>
      <c r="B180" s="31">
        <v>45076</v>
      </c>
      <c r="C180" s="10" t="s">
        <v>12</v>
      </c>
      <c r="D180" s="5">
        <v>51.3</v>
      </c>
      <c r="E180" s="5">
        <v>2232.1999999999998</v>
      </c>
      <c r="F180" s="16" t="s">
        <v>9</v>
      </c>
    </row>
    <row r="181" spans="1:12" x14ac:dyDescent="0.2">
      <c r="A181" s="15" t="s">
        <v>152</v>
      </c>
      <c r="B181" s="31">
        <v>45076</v>
      </c>
      <c r="C181" s="10" t="s">
        <v>12</v>
      </c>
      <c r="D181" s="5">
        <v>51.63</v>
      </c>
      <c r="E181" s="5">
        <v>2238.3200000000002</v>
      </c>
      <c r="F181" s="17" t="s">
        <v>96</v>
      </c>
    </row>
    <row r="182" spans="1:12" x14ac:dyDescent="0.2">
      <c r="A182" s="15" t="s">
        <v>152</v>
      </c>
      <c r="B182" s="31">
        <v>45076</v>
      </c>
      <c r="C182" s="10" t="s">
        <v>12</v>
      </c>
      <c r="D182" s="5" t="s">
        <v>153</v>
      </c>
      <c r="E182" s="5" t="s">
        <v>153</v>
      </c>
      <c r="F182" s="32" t="s">
        <v>158</v>
      </c>
      <c r="G182" s="5" t="s">
        <v>153</v>
      </c>
      <c r="H182" s="5" t="s">
        <v>153</v>
      </c>
      <c r="K182" s="5" t="s">
        <v>153</v>
      </c>
      <c r="L182" s="1" t="s">
        <v>182</v>
      </c>
    </row>
    <row r="183" spans="1:12" x14ac:dyDescent="0.2">
      <c r="A183" s="15" t="s">
        <v>152</v>
      </c>
      <c r="B183" s="31">
        <v>45076</v>
      </c>
      <c r="C183" s="10" t="s">
        <v>12</v>
      </c>
      <c r="D183" s="5" t="s">
        <v>153</v>
      </c>
      <c r="E183" s="5" t="s">
        <v>153</v>
      </c>
      <c r="F183" s="32" t="s">
        <v>159</v>
      </c>
    </row>
    <row r="184" spans="1:12" x14ac:dyDescent="0.2">
      <c r="A184" s="15" t="s">
        <v>152</v>
      </c>
      <c r="B184" s="31">
        <v>45076</v>
      </c>
      <c r="C184" s="10" t="s">
        <v>12</v>
      </c>
      <c r="D184" s="5" t="s">
        <v>153</v>
      </c>
      <c r="E184" s="5" t="s">
        <v>153</v>
      </c>
      <c r="F184" s="32" t="s">
        <v>160</v>
      </c>
    </row>
    <row r="185" spans="1:12" x14ac:dyDescent="0.2">
      <c r="A185" s="15" t="s">
        <v>152</v>
      </c>
      <c r="B185" s="31">
        <v>45076</v>
      </c>
      <c r="C185" s="10" t="s">
        <v>12</v>
      </c>
      <c r="D185" s="5">
        <v>49.99</v>
      </c>
      <c r="E185" s="14">
        <v>2615.17</v>
      </c>
      <c r="F185" s="17" t="s">
        <v>161</v>
      </c>
      <c r="G185" s="13">
        <f>AVERAGE(E187:E188)</f>
        <v>2584.4350000000004</v>
      </c>
      <c r="H185" s="18">
        <f>STDEV(E187:E188)</f>
        <v>3.3446150750123826</v>
      </c>
      <c r="K185" s="5">
        <f>G185+$J$179</f>
        <v>2575.6150000000002</v>
      </c>
    </row>
    <row r="186" spans="1:12" x14ac:dyDescent="0.2">
      <c r="A186" s="15" t="s">
        <v>152</v>
      </c>
      <c r="B186" s="31">
        <v>45076</v>
      </c>
      <c r="C186" s="10" t="s">
        <v>12</v>
      </c>
      <c r="D186" s="5">
        <v>52.91</v>
      </c>
      <c r="E186" s="14">
        <v>2627.78</v>
      </c>
      <c r="F186" s="17" t="s">
        <v>162</v>
      </c>
    </row>
    <row r="187" spans="1:12" x14ac:dyDescent="0.2">
      <c r="A187" s="15" t="s">
        <v>152</v>
      </c>
      <c r="B187" s="31">
        <v>45076</v>
      </c>
      <c r="C187" s="25" t="s">
        <v>12</v>
      </c>
      <c r="D187" s="5">
        <v>52.49</v>
      </c>
      <c r="E187" s="5">
        <v>2582.0700000000002</v>
      </c>
      <c r="F187" s="17" t="s">
        <v>163</v>
      </c>
    </row>
    <row r="188" spans="1:12" x14ac:dyDescent="0.2">
      <c r="A188" s="15" t="s">
        <v>152</v>
      </c>
      <c r="B188" s="31">
        <v>45076</v>
      </c>
      <c r="C188" s="25" t="s">
        <v>12</v>
      </c>
      <c r="D188" s="5">
        <v>49.24</v>
      </c>
      <c r="E188" s="5">
        <v>2586.8000000000002</v>
      </c>
      <c r="F188" s="17" t="s">
        <v>181</v>
      </c>
    </row>
    <row r="189" spans="1:12" x14ac:dyDescent="0.2">
      <c r="A189" s="15" t="s">
        <v>152</v>
      </c>
      <c r="B189" s="31">
        <v>45076</v>
      </c>
      <c r="C189" s="10" t="s">
        <v>12</v>
      </c>
      <c r="D189" s="5">
        <v>49.64</v>
      </c>
      <c r="E189" s="14">
        <v>2619.5100000000002</v>
      </c>
      <c r="F189" s="17" t="s">
        <v>164</v>
      </c>
      <c r="G189" s="13">
        <f>AVERAGE(E190:E191)</f>
        <v>2567.4549999999999</v>
      </c>
      <c r="H189" s="18">
        <f>STDEV(E190:E191)</f>
        <v>2.4960869375883328</v>
      </c>
      <c r="K189" s="5">
        <f>G189+$J$179</f>
        <v>2558.6349999999998</v>
      </c>
    </row>
    <row r="190" spans="1:12" x14ac:dyDescent="0.2">
      <c r="A190" s="15" t="s">
        <v>152</v>
      </c>
      <c r="B190" s="31">
        <v>45076</v>
      </c>
      <c r="C190" s="10" t="s">
        <v>12</v>
      </c>
      <c r="D190" s="15">
        <v>51.56</v>
      </c>
      <c r="E190" s="5">
        <v>2569.2199999999998</v>
      </c>
      <c r="F190" s="17" t="s">
        <v>165</v>
      </c>
    </row>
    <row r="191" spans="1:12" x14ac:dyDescent="0.2">
      <c r="A191" s="15" t="s">
        <v>152</v>
      </c>
      <c r="B191" s="31">
        <v>45076</v>
      </c>
      <c r="C191" s="10" t="s">
        <v>12</v>
      </c>
      <c r="D191" s="15">
        <v>51.69</v>
      </c>
      <c r="E191" s="5">
        <v>2565.69</v>
      </c>
      <c r="F191" s="17" t="s">
        <v>166</v>
      </c>
    </row>
    <row r="192" spans="1:12" x14ac:dyDescent="0.2">
      <c r="A192" s="9" t="s">
        <v>11</v>
      </c>
      <c r="B192" s="31">
        <v>45078</v>
      </c>
      <c r="C192" s="10" t="s">
        <v>12</v>
      </c>
      <c r="D192" s="15">
        <v>49.93</v>
      </c>
      <c r="E192" s="5">
        <v>2591.6</v>
      </c>
      <c r="F192" s="17" t="s">
        <v>167</v>
      </c>
      <c r="G192" s="13">
        <f>AVERAGE(E192,E194)</f>
        <v>2592.14</v>
      </c>
      <c r="H192" s="18">
        <f>STDEV(E192,E194)</f>
        <v>0.76367532368141988</v>
      </c>
      <c r="K192" s="5">
        <f>G192+$J$179</f>
        <v>2583.3199999999997</v>
      </c>
    </row>
    <row r="193" spans="1:12" x14ac:dyDescent="0.2">
      <c r="A193" s="9" t="s">
        <v>11</v>
      </c>
      <c r="B193" s="31">
        <v>45078</v>
      </c>
      <c r="C193" s="10" t="s">
        <v>12</v>
      </c>
      <c r="D193" s="5">
        <v>51.28</v>
      </c>
      <c r="E193" s="14">
        <v>2584.85</v>
      </c>
      <c r="F193" s="17" t="s">
        <v>168</v>
      </c>
    </row>
    <row r="194" spans="1:12" x14ac:dyDescent="0.2">
      <c r="A194" s="9" t="s">
        <v>11</v>
      </c>
      <c r="B194" s="31">
        <v>45078</v>
      </c>
      <c r="C194" s="10" t="s">
        <v>12</v>
      </c>
      <c r="D194" s="5">
        <v>49.04</v>
      </c>
      <c r="E194" s="5">
        <v>2592.6799999999998</v>
      </c>
      <c r="F194" s="17" t="s">
        <v>169</v>
      </c>
    </row>
    <row r="195" spans="1:12" x14ac:dyDescent="0.2">
      <c r="A195" s="9" t="s">
        <v>11</v>
      </c>
      <c r="B195" s="31">
        <v>45078</v>
      </c>
      <c r="C195" s="10" t="s">
        <v>12</v>
      </c>
      <c r="D195" s="5">
        <v>51.95</v>
      </c>
      <c r="E195" s="5">
        <v>2607.3000000000002</v>
      </c>
      <c r="F195" s="17" t="s">
        <v>170</v>
      </c>
      <c r="G195" s="13">
        <f>AVERAGE(E195,E197)</f>
        <v>2603.8000000000002</v>
      </c>
      <c r="H195" s="18">
        <f>STDEV(E195,E197)</f>
        <v>4.9497474683058327</v>
      </c>
      <c r="K195" s="5">
        <f>G195+$J$179</f>
        <v>2594.98</v>
      </c>
    </row>
    <row r="196" spans="1:12" x14ac:dyDescent="0.2">
      <c r="A196" s="9" t="s">
        <v>11</v>
      </c>
      <c r="B196" s="31">
        <v>45078</v>
      </c>
      <c r="C196" s="25" t="s">
        <v>12</v>
      </c>
      <c r="D196" s="5">
        <v>49.09</v>
      </c>
      <c r="E196" s="14">
        <v>2591.3200000000002</v>
      </c>
      <c r="F196" s="17" t="s">
        <v>171</v>
      </c>
    </row>
    <row r="197" spans="1:12" x14ac:dyDescent="0.2">
      <c r="A197" s="9" t="s">
        <v>11</v>
      </c>
      <c r="B197" s="31">
        <v>45078</v>
      </c>
      <c r="C197" s="10" t="s">
        <v>12</v>
      </c>
      <c r="D197" s="5">
        <v>50.44</v>
      </c>
      <c r="E197" s="5">
        <v>2600.3000000000002</v>
      </c>
      <c r="F197" s="17" t="s">
        <v>172</v>
      </c>
    </row>
    <row r="198" spans="1:12" x14ac:dyDescent="0.2">
      <c r="A198" s="9" t="s">
        <v>11</v>
      </c>
      <c r="B198" s="31">
        <v>45078</v>
      </c>
      <c r="C198" s="10" t="s">
        <v>12</v>
      </c>
      <c r="D198" s="5" t="s">
        <v>153</v>
      </c>
      <c r="E198" s="5" t="s">
        <v>153</v>
      </c>
      <c r="F198" s="32" t="s">
        <v>173</v>
      </c>
      <c r="G198" s="5" t="s">
        <v>153</v>
      </c>
      <c r="H198" s="5" t="s">
        <v>153</v>
      </c>
      <c r="K198" s="5" t="s">
        <v>153</v>
      </c>
      <c r="L198" s="1" t="s">
        <v>182</v>
      </c>
    </row>
    <row r="199" spans="1:12" x14ac:dyDescent="0.2">
      <c r="A199" s="9" t="s">
        <v>11</v>
      </c>
      <c r="B199" s="31">
        <v>45078</v>
      </c>
      <c r="C199" s="10" t="s">
        <v>12</v>
      </c>
      <c r="D199" s="5" t="s">
        <v>153</v>
      </c>
      <c r="E199" s="5" t="s">
        <v>153</v>
      </c>
      <c r="F199" s="32" t="s">
        <v>174</v>
      </c>
    </row>
    <row r="200" spans="1:12" x14ac:dyDescent="0.2">
      <c r="A200" s="24" t="s">
        <v>11</v>
      </c>
      <c r="B200" s="31">
        <v>45078</v>
      </c>
      <c r="C200" s="10" t="s">
        <v>12</v>
      </c>
      <c r="D200" s="5" t="s">
        <v>153</v>
      </c>
      <c r="E200" s="5" t="s">
        <v>153</v>
      </c>
      <c r="F200" s="32" t="s">
        <v>175</v>
      </c>
    </row>
    <row r="201" spans="1:12" x14ac:dyDescent="0.2">
      <c r="A201" s="24" t="s">
        <v>11</v>
      </c>
      <c r="B201" s="31">
        <v>45078</v>
      </c>
      <c r="C201" s="10" t="s">
        <v>12</v>
      </c>
      <c r="D201" s="5">
        <v>50.3</v>
      </c>
      <c r="E201" s="5">
        <v>2570.9</v>
      </c>
      <c r="F201" s="17" t="s">
        <v>176</v>
      </c>
      <c r="G201" s="13">
        <f>AVERAGE(E201:E202)</f>
        <v>2573.395</v>
      </c>
      <c r="H201" s="18">
        <f>STDEV(E201:E202)</f>
        <v>3.5284628381207179</v>
      </c>
      <c r="K201" s="5">
        <f>G201+$J$179</f>
        <v>2564.5749999999998</v>
      </c>
    </row>
    <row r="202" spans="1:12" x14ac:dyDescent="0.2">
      <c r="A202" s="24" t="s">
        <v>11</v>
      </c>
      <c r="B202" s="31">
        <v>45078</v>
      </c>
      <c r="C202" s="10" t="s">
        <v>12</v>
      </c>
      <c r="D202" s="5">
        <v>51.38</v>
      </c>
      <c r="E202" s="5">
        <v>2575.89</v>
      </c>
      <c r="F202" s="17" t="s">
        <v>177</v>
      </c>
    </row>
    <row r="203" spans="1:12" x14ac:dyDescent="0.2">
      <c r="A203" s="9" t="s">
        <v>11</v>
      </c>
      <c r="B203" s="31">
        <v>45078</v>
      </c>
      <c r="C203" s="25" t="s">
        <v>12</v>
      </c>
      <c r="D203" s="5">
        <v>50.34</v>
      </c>
      <c r="E203" s="14">
        <v>2586.64</v>
      </c>
      <c r="F203" s="17" t="s">
        <v>178</v>
      </c>
      <c r="G203" s="13">
        <f>AVERAGE(E205:E206)</f>
        <v>2561.395</v>
      </c>
      <c r="H203" s="18">
        <f>STDEV(E205:E206)</f>
        <v>0.26162950903894538</v>
      </c>
      <c r="K203" s="5">
        <f>G203+$J$179</f>
        <v>2552.5749999999998</v>
      </c>
    </row>
    <row r="204" spans="1:12" x14ac:dyDescent="0.2">
      <c r="A204" s="9" t="s">
        <v>11</v>
      </c>
      <c r="B204" s="31">
        <v>45078</v>
      </c>
      <c r="C204" s="10" t="s">
        <v>12</v>
      </c>
      <c r="D204" s="5">
        <v>50.32</v>
      </c>
      <c r="E204" s="14">
        <v>2576.13</v>
      </c>
      <c r="F204" s="17" t="s">
        <v>179</v>
      </c>
    </row>
    <row r="205" spans="1:12" x14ac:dyDescent="0.2">
      <c r="A205" s="9" t="s">
        <v>11</v>
      </c>
      <c r="B205" s="31">
        <v>45078</v>
      </c>
      <c r="C205" s="10" t="s">
        <v>12</v>
      </c>
      <c r="D205" s="5">
        <v>49.38</v>
      </c>
      <c r="E205" s="5">
        <v>2561.21</v>
      </c>
      <c r="F205" s="17" t="s">
        <v>180</v>
      </c>
    </row>
    <row r="206" spans="1:12" x14ac:dyDescent="0.2">
      <c r="A206" s="9" t="s">
        <v>11</v>
      </c>
      <c r="B206" s="31">
        <v>45078</v>
      </c>
      <c r="C206" s="10" t="s">
        <v>12</v>
      </c>
      <c r="D206" s="5">
        <v>49.46</v>
      </c>
      <c r="E206" s="5">
        <v>2561.58</v>
      </c>
      <c r="F206" s="17" t="s">
        <v>183</v>
      </c>
      <c r="J206" s="5"/>
    </row>
    <row r="207" spans="1:12" x14ac:dyDescent="0.2">
      <c r="A207" s="9" t="s">
        <v>11</v>
      </c>
      <c r="B207" s="31">
        <v>45079</v>
      </c>
      <c r="C207" s="10" t="s">
        <v>12</v>
      </c>
      <c r="D207" s="5">
        <v>50.53</v>
      </c>
      <c r="E207" s="14">
        <v>2247.13</v>
      </c>
      <c r="F207" s="16" t="s">
        <v>8</v>
      </c>
      <c r="G207" s="13">
        <f>AVERAGE(E208:E209)</f>
        <v>2237.33</v>
      </c>
      <c r="H207" s="18">
        <f>STDEV(E208:E209)</f>
        <v>1.7677669529663689</v>
      </c>
      <c r="I207" s="3">
        <v>2226.44</v>
      </c>
      <c r="J207" s="4">
        <f>I207-G207</f>
        <v>-10.889999999999873</v>
      </c>
      <c r="K207" s="5">
        <f>G207+J207</f>
        <v>2226.44</v>
      </c>
      <c r="L207" s="2" t="s">
        <v>94</v>
      </c>
    </row>
    <row r="208" spans="1:12" x14ac:dyDescent="0.2">
      <c r="A208" s="9" t="s">
        <v>11</v>
      </c>
      <c r="B208" s="31">
        <v>45079</v>
      </c>
      <c r="C208" s="10" t="s">
        <v>12</v>
      </c>
      <c r="D208" s="5">
        <v>49.82</v>
      </c>
      <c r="E208" s="5">
        <v>2236.08</v>
      </c>
      <c r="F208" s="16" t="s">
        <v>9</v>
      </c>
    </row>
    <row r="209" spans="1:12" x14ac:dyDescent="0.2">
      <c r="A209" s="9" t="s">
        <v>11</v>
      </c>
      <c r="B209" s="31">
        <v>45079</v>
      </c>
      <c r="C209" s="10" t="s">
        <v>12</v>
      </c>
      <c r="D209" s="5">
        <v>50.01</v>
      </c>
      <c r="E209" s="5">
        <v>2238.58</v>
      </c>
      <c r="F209" s="17" t="s">
        <v>96</v>
      </c>
    </row>
    <row r="210" spans="1:12" x14ac:dyDescent="0.2">
      <c r="A210" s="9" t="s">
        <v>11</v>
      </c>
      <c r="B210" s="31">
        <v>45079</v>
      </c>
      <c r="C210" s="10" t="s">
        <v>12</v>
      </c>
      <c r="D210" s="5" t="s">
        <v>153</v>
      </c>
      <c r="E210" s="5" t="s">
        <v>153</v>
      </c>
      <c r="F210" s="17" t="s">
        <v>232</v>
      </c>
      <c r="G210" s="5" t="s">
        <v>153</v>
      </c>
      <c r="H210" s="5" t="s">
        <v>153</v>
      </c>
      <c r="K210" s="5" t="s">
        <v>153</v>
      </c>
      <c r="L210" s="1" t="s">
        <v>229</v>
      </c>
    </row>
    <row r="211" spans="1:12" x14ac:dyDescent="0.2">
      <c r="A211" s="9" t="s">
        <v>11</v>
      </c>
      <c r="B211" s="31">
        <v>45079</v>
      </c>
      <c r="C211" s="10" t="s">
        <v>12</v>
      </c>
      <c r="D211" s="5" t="s">
        <v>153</v>
      </c>
      <c r="E211" s="5" t="s">
        <v>153</v>
      </c>
      <c r="F211" s="17" t="s">
        <v>231</v>
      </c>
      <c r="G211" s="1"/>
      <c r="H211" s="1"/>
      <c r="I211" s="1"/>
      <c r="J211" s="1"/>
      <c r="K211" s="1"/>
    </row>
    <row r="212" spans="1:12" x14ac:dyDescent="0.2">
      <c r="A212" s="9" t="s">
        <v>11</v>
      </c>
      <c r="B212" s="31">
        <v>45079</v>
      </c>
      <c r="C212" s="10" t="s">
        <v>12</v>
      </c>
      <c r="D212" s="5" t="s">
        <v>153</v>
      </c>
      <c r="E212" s="5" t="s">
        <v>153</v>
      </c>
      <c r="F212" s="17" t="s">
        <v>230</v>
      </c>
      <c r="G212" s="1"/>
      <c r="H212" s="1"/>
      <c r="I212" s="1"/>
      <c r="J212" s="1"/>
      <c r="K212" s="1"/>
    </row>
    <row r="213" spans="1:12" x14ac:dyDescent="0.2">
      <c r="A213" s="9" t="s">
        <v>11</v>
      </c>
      <c r="B213" s="31">
        <v>45079</v>
      </c>
      <c r="C213" s="10" t="s">
        <v>12</v>
      </c>
      <c r="D213" s="5">
        <v>50.4</v>
      </c>
      <c r="E213" s="5">
        <v>2568.9899999999998</v>
      </c>
      <c r="F213" s="17" t="s">
        <v>184</v>
      </c>
      <c r="G213" s="13">
        <f>AVERAGE(E213:E214)</f>
        <v>2569.0649999999996</v>
      </c>
      <c r="H213" s="18">
        <f>STDEV(E213:E214)</f>
        <v>0.10606601717804644</v>
      </c>
      <c r="K213" s="5">
        <f>G213+$J$207</f>
        <v>2558.1749999999997</v>
      </c>
    </row>
    <row r="214" spans="1:12" x14ac:dyDescent="0.2">
      <c r="A214" s="9" t="s">
        <v>11</v>
      </c>
      <c r="B214" s="31">
        <v>45079</v>
      </c>
      <c r="C214" s="10" t="s">
        <v>12</v>
      </c>
      <c r="D214" s="5">
        <v>50.8</v>
      </c>
      <c r="E214" s="5">
        <v>2569.14</v>
      </c>
      <c r="F214" s="17" t="s">
        <v>185</v>
      </c>
    </row>
    <row r="215" spans="1:12" x14ac:dyDescent="0.2">
      <c r="A215" s="9" t="s">
        <v>11</v>
      </c>
      <c r="B215" s="31">
        <v>45079</v>
      </c>
      <c r="C215" s="10" t="s">
        <v>12</v>
      </c>
      <c r="D215" s="5">
        <v>48.18</v>
      </c>
      <c r="E215" s="5">
        <v>2573.29</v>
      </c>
      <c r="F215" s="17" t="s">
        <v>186</v>
      </c>
      <c r="G215" s="13">
        <f>AVERAGE(E216:E217)</f>
        <v>2568.3900000000003</v>
      </c>
      <c r="H215" s="18">
        <f>STDEV(E215,E217)</f>
        <v>0.77781745930513801</v>
      </c>
      <c r="K215" s="5">
        <f>G215+$J$207</f>
        <v>2557.5000000000005</v>
      </c>
    </row>
    <row r="216" spans="1:12" x14ac:dyDescent="0.2">
      <c r="A216" s="9" t="s">
        <v>11</v>
      </c>
      <c r="B216" s="31">
        <v>45079</v>
      </c>
      <c r="C216" s="10" t="s">
        <v>12</v>
      </c>
      <c r="D216" s="5">
        <v>50.08</v>
      </c>
      <c r="E216" s="14">
        <v>2564.59</v>
      </c>
      <c r="F216" s="17" t="s">
        <v>187</v>
      </c>
    </row>
    <row r="217" spans="1:12" x14ac:dyDescent="0.2">
      <c r="A217" s="9" t="s">
        <v>11</v>
      </c>
      <c r="B217" s="31">
        <v>45079</v>
      </c>
      <c r="C217" s="10" t="s">
        <v>12</v>
      </c>
      <c r="D217" s="5">
        <v>50.64</v>
      </c>
      <c r="E217" s="5">
        <v>2572.19</v>
      </c>
      <c r="F217" s="17" t="s">
        <v>188</v>
      </c>
    </row>
    <row r="218" spans="1:12" x14ac:dyDescent="0.2">
      <c r="A218" s="9" t="s">
        <v>11</v>
      </c>
      <c r="B218" s="31">
        <v>45079</v>
      </c>
      <c r="C218" s="10" t="s">
        <v>12</v>
      </c>
      <c r="D218" s="5">
        <v>51.27</v>
      </c>
      <c r="E218" s="5">
        <v>2569.29</v>
      </c>
      <c r="F218" s="17" t="s">
        <v>189</v>
      </c>
      <c r="G218" s="13">
        <f>AVERAGE(E218:E219)</f>
        <v>2570.1350000000002</v>
      </c>
      <c r="H218" s="18">
        <f>STDEV(E218:E219)</f>
        <v>1.195010460205304</v>
      </c>
      <c r="K218" s="5">
        <f>G218+$J$207</f>
        <v>2559.2450000000003</v>
      </c>
    </row>
    <row r="219" spans="1:12" x14ac:dyDescent="0.2">
      <c r="A219" s="9" t="s">
        <v>11</v>
      </c>
      <c r="B219" s="31">
        <v>45079</v>
      </c>
      <c r="C219" s="10" t="s">
        <v>12</v>
      </c>
      <c r="D219" s="5">
        <v>49.89</v>
      </c>
      <c r="E219" s="5">
        <v>2570.98</v>
      </c>
      <c r="F219" s="17" t="s">
        <v>190</v>
      </c>
    </row>
    <row r="220" spans="1:12" x14ac:dyDescent="0.2">
      <c r="A220" s="9" t="s">
        <v>11</v>
      </c>
      <c r="B220" s="31">
        <v>45079</v>
      </c>
      <c r="C220" s="10" t="s">
        <v>12</v>
      </c>
      <c r="D220" s="5">
        <v>50.77</v>
      </c>
      <c r="E220" s="14">
        <v>2578.58</v>
      </c>
      <c r="F220" s="17" t="s">
        <v>191</v>
      </c>
      <c r="G220" s="13">
        <f>AVERAGE(E221:E222)</f>
        <v>2563.94</v>
      </c>
      <c r="H220" s="18">
        <f>STDEV(E221:E222)</f>
        <v>2.0081832585698978</v>
      </c>
      <c r="K220" s="5">
        <f>G220+$J$207</f>
        <v>2553.0500000000002</v>
      </c>
    </row>
    <row r="221" spans="1:12" x14ac:dyDescent="0.2">
      <c r="A221" s="9" t="s">
        <v>11</v>
      </c>
      <c r="B221" s="31">
        <v>45079</v>
      </c>
      <c r="C221" s="10" t="s">
        <v>12</v>
      </c>
      <c r="D221" s="5">
        <v>51.5</v>
      </c>
      <c r="E221" s="5">
        <v>2562.52</v>
      </c>
      <c r="F221" s="17" t="s">
        <v>192</v>
      </c>
    </row>
    <row r="222" spans="1:12" x14ac:dyDescent="0.2">
      <c r="A222" s="9" t="s">
        <v>11</v>
      </c>
      <c r="B222" s="31">
        <v>45079</v>
      </c>
      <c r="C222" s="10" t="s">
        <v>12</v>
      </c>
      <c r="D222" s="5">
        <v>50.94</v>
      </c>
      <c r="E222" s="5">
        <v>2565.36</v>
      </c>
      <c r="F222" s="17" t="s">
        <v>193</v>
      </c>
    </row>
    <row r="223" spans="1:12" x14ac:dyDescent="0.2">
      <c r="A223" s="9" t="s">
        <v>11</v>
      </c>
      <c r="B223" s="31">
        <v>45079</v>
      </c>
      <c r="C223" s="10" t="s">
        <v>12</v>
      </c>
      <c r="D223" s="5">
        <v>49.65</v>
      </c>
      <c r="E223" s="5">
        <v>2587.7399999999998</v>
      </c>
      <c r="F223" s="32" t="s">
        <v>194</v>
      </c>
      <c r="G223" s="13">
        <f>AVERAGE(E223,E225)</f>
        <v>2586.5</v>
      </c>
      <c r="H223" s="18">
        <f>STDEV(E223,E225)</f>
        <v>1.7536248173423292</v>
      </c>
      <c r="K223" s="5">
        <f>G223+$J$207</f>
        <v>2575.61</v>
      </c>
    </row>
    <row r="224" spans="1:12" x14ac:dyDescent="0.2">
      <c r="A224" s="9" t="s">
        <v>11</v>
      </c>
      <c r="B224" s="31">
        <v>45079</v>
      </c>
      <c r="C224" s="10" t="s">
        <v>12</v>
      </c>
      <c r="D224" s="5">
        <v>49.82</v>
      </c>
      <c r="E224" s="14">
        <v>2575.98</v>
      </c>
      <c r="F224" s="32" t="s">
        <v>195</v>
      </c>
    </row>
    <row r="225" spans="1:12" x14ac:dyDescent="0.2">
      <c r="A225" s="9" t="s">
        <v>11</v>
      </c>
      <c r="B225" s="31">
        <v>45079</v>
      </c>
      <c r="C225" s="10" t="s">
        <v>12</v>
      </c>
      <c r="D225" s="5">
        <v>49.37</v>
      </c>
      <c r="E225" s="5">
        <v>2585.2600000000002</v>
      </c>
      <c r="F225" s="32" t="s">
        <v>196</v>
      </c>
    </row>
    <row r="226" spans="1:12" x14ac:dyDescent="0.2">
      <c r="A226" s="9" t="s">
        <v>11</v>
      </c>
      <c r="B226" s="31">
        <v>45079</v>
      </c>
      <c r="C226" s="10" t="s">
        <v>12</v>
      </c>
      <c r="D226" s="5">
        <v>50.38</v>
      </c>
      <c r="E226" s="5">
        <v>2571.42</v>
      </c>
      <c r="F226" s="17" t="s">
        <v>197</v>
      </c>
      <c r="G226" s="13">
        <f>AVERAGE(E226:E227)</f>
        <v>2572.7600000000002</v>
      </c>
      <c r="H226" s="18">
        <f>STDEV(E226:E227)</f>
        <v>1.8950461735798316</v>
      </c>
      <c r="K226" s="5">
        <f>G226+$J$207</f>
        <v>2561.8700000000003</v>
      </c>
    </row>
    <row r="227" spans="1:12" x14ac:dyDescent="0.2">
      <c r="A227" s="9" t="s">
        <v>11</v>
      </c>
      <c r="B227" s="31">
        <v>45079</v>
      </c>
      <c r="C227" s="10" t="s">
        <v>12</v>
      </c>
      <c r="D227" s="5">
        <v>48.94</v>
      </c>
      <c r="E227" s="5">
        <v>2574.1</v>
      </c>
      <c r="F227" s="17" t="s">
        <v>198</v>
      </c>
    </row>
    <row r="228" spans="1:12" x14ac:dyDescent="0.2">
      <c r="A228" s="9" t="s">
        <v>11</v>
      </c>
      <c r="B228" s="31">
        <v>45079</v>
      </c>
      <c r="C228" s="10" t="s">
        <v>12</v>
      </c>
      <c r="D228" s="5">
        <v>51.96</v>
      </c>
      <c r="E228" s="14">
        <v>2589.33</v>
      </c>
      <c r="F228" s="17" t="s">
        <v>199</v>
      </c>
      <c r="G228" s="13">
        <f>AVERAGE(E229:E230)</f>
        <v>2607.5250000000001</v>
      </c>
      <c r="H228" s="18">
        <f>STDEV(E229:E230)</f>
        <v>4.9143921292463766</v>
      </c>
      <c r="K228" s="5">
        <f>G228+$J$207</f>
        <v>2596.6350000000002</v>
      </c>
    </row>
    <row r="229" spans="1:12" x14ac:dyDescent="0.2">
      <c r="A229" s="9" t="s">
        <v>11</v>
      </c>
      <c r="B229" s="31">
        <v>45079</v>
      </c>
      <c r="C229" s="10" t="s">
        <v>12</v>
      </c>
      <c r="D229" s="5">
        <v>51.12</v>
      </c>
      <c r="E229" s="5">
        <v>2604.0500000000002</v>
      </c>
      <c r="F229" s="17" t="s">
        <v>200</v>
      </c>
    </row>
    <row r="230" spans="1:12" x14ac:dyDescent="0.2">
      <c r="A230" s="9" t="s">
        <v>11</v>
      </c>
      <c r="B230" s="31">
        <v>45079</v>
      </c>
      <c r="C230" s="10" t="s">
        <v>12</v>
      </c>
      <c r="D230" s="5">
        <v>50.19</v>
      </c>
      <c r="E230" s="5">
        <v>2611</v>
      </c>
      <c r="F230" s="17" t="s">
        <v>201</v>
      </c>
    </row>
    <row r="231" spans="1:12" x14ac:dyDescent="0.2">
      <c r="A231" s="9" t="s">
        <v>11</v>
      </c>
      <c r="B231" s="31">
        <v>45079</v>
      </c>
      <c r="C231" s="10" t="s">
        <v>12</v>
      </c>
      <c r="D231" s="5">
        <v>50.01</v>
      </c>
      <c r="E231" s="22">
        <v>2587.63</v>
      </c>
      <c r="F231" s="17" t="s">
        <v>202</v>
      </c>
      <c r="G231" s="13">
        <f>AVERAGE(E231:E232)</f>
        <v>2585.4450000000002</v>
      </c>
      <c r="H231" s="18">
        <f>STDEV(E231:E232)</f>
        <v>3.0900566337851356</v>
      </c>
      <c r="K231" s="5">
        <f>G231+$J$207</f>
        <v>2574.5550000000003</v>
      </c>
    </row>
    <row r="232" spans="1:12" x14ac:dyDescent="0.2">
      <c r="A232" s="9" t="s">
        <v>11</v>
      </c>
      <c r="B232" s="31">
        <v>45079</v>
      </c>
      <c r="C232" s="10" t="s">
        <v>12</v>
      </c>
      <c r="D232" s="5">
        <v>50.78</v>
      </c>
      <c r="E232" s="5">
        <v>2583.2600000000002</v>
      </c>
      <c r="F232" s="17" t="s">
        <v>203</v>
      </c>
    </row>
    <row r="233" spans="1:12" x14ac:dyDescent="0.2">
      <c r="A233" s="9" t="s">
        <v>11</v>
      </c>
      <c r="B233" s="31">
        <v>45079</v>
      </c>
      <c r="C233" s="10" t="s">
        <v>12</v>
      </c>
      <c r="D233" s="5">
        <v>48.04</v>
      </c>
      <c r="E233" s="14">
        <v>3171.62</v>
      </c>
      <c r="F233" s="17" t="s">
        <v>204</v>
      </c>
      <c r="G233" s="13">
        <f>AVERAGE(E234,E236)</f>
        <v>2583.4250000000002</v>
      </c>
      <c r="H233" s="18">
        <f>STDEV(E232,E234)</f>
        <v>0.16263455967259724</v>
      </c>
      <c r="K233" s="5">
        <f>G233+$J$207</f>
        <v>2572.5350000000003</v>
      </c>
    </row>
    <row r="234" spans="1:12" x14ac:dyDescent="0.2">
      <c r="A234" s="9" t="s">
        <v>11</v>
      </c>
      <c r="B234" s="31">
        <v>45079</v>
      </c>
      <c r="C234" s="10" t="s">
        <v>12</v>
      </c>
      <c r="D234" s="5">
        <v>50.59</v>
      </c>
      <c r="E234" s="5">
        <v>2583.4899999999998</v>
      </c>
      <c r="F234" s="17" t="s">
        <v>205</v>
      </c>
    </row>
    <row r="235" spans="1:12" x14ac:dyDescent="0.2">
      <c r="A235" s="9" t="s">
        <v>11</v>
      </c>
      <c r="B235" s="31">
        <v>45079</v>
      </c>
      <c r="C235" s="10" t="s">
        <v>12</v>
      </c>
      <c r="D235" s="5">
        <v>50.55</v>
      </c>
      <c r="E235" s="14">
        <v>2598.48</v>
      </c>
      <c r="F235" s="17" t="s">
        <v>206</v>
      </c>
    </row>
    <row r="236" spans="1:12" x14ac:dyDescent="0.2">
      <c r="A236" s="9" t="s">
        <v>11</v>
      </c>
      <c r="B236" s="31">
        <v>45079</v>
      </c>
      <c r="C236" s="10" t="s">
        <v>12</v>
      </c>
      <c r="D236" s="5">
        <v>49.51</v>
      </c>
      <c r="E236" s="5">
        <v>2583.36</v>
      </c>
      <c r="F236" s="17" t="s">
        <v>214</v>
      </c>
    </row>
    <row r="237" spans="1:12" x14ac:dyDescent="0.2">
      <c r="A237" s="9" t="s">
        <v>11</v>
      </c>
      <c r="B237" s="31">
        <v>45079</v>
      </c>
      <c r="C237" s="10" t="s">
        <v>12</v>
      </c>
      <c r="D237" s="5">
        <v>50.07</v>
      </c>
      <c r="E237" s="5">
        <v>2576</v>
      </c>
      <c r="F237" s="17" t="s">
        <v>207</v>
      </c>
      <c r="G237" s="13">
        <f>AVERAGE(E237:E238)</f>
        <v>2578.415</v>
      </c>
      <c r="H237" s="18">
        <f>STDEV(E237:E238)</f>
        <v>3.4153257531309733</v>
      </c>
      <c r="K237" s="5">
        <f>G237+$J$207</f>
        <v>2567.5250000000001</v>
      </c>
    </row>
    <row r="238" spans="1:12" x14ac:dyDescent="0.2">
      <c r="A238" s="9" t="s">
        <v>11</v>
      </c>
      <c r="B238" s="31">
        <v>45079</v>
      </c>
      <c r="C238" s="10" t="s">
        <v>12</v>
      </c>
      <c r="D238" s="5">
        <v>48.8</v>
      </c>
      <c r="E238" s="5">
        <v>2580.83</v>
      </c>
      <c r="F238" s="17" t="s">
        <v>208</v>
      </c>
    </row>
    <row r="239" spans="1:12" x14ac:dyDescent="0.2">
      <c r="A239" s="9" t="s">
        <v>11</v>
      </c>
      <c r="B239" s="31">
        <v>45079</v>
      </c>
      <c r="C239" s="10" t="s">
        <v>12</v>
      </c>
      <c r="D239" s="5" t="s">
        <v>153</v>
      </c>
      <c r="E239" s="5" t="s">
        <v>153</v>
      </c>
      <c r="F239" s="17" t="s">
        <v>226</v>
      </c>
      <c r="G239" s="5" t="s">
        <v>153</v>
      </c>
      <c r="H239" s="5" t="s">
        <v>153</v>
      </c>
      <c r="K239" s="5" t="s">
        <v>153</v>
      </c>
      <c r="L239" s="1" t="s">
        <v>229</v>
      </c>
    </row>
    <row r="240" spans="1:12" x14ac:dyDescent="0.2">
      <c r="A240" s="9" t="s">
        <v>11</v>
      </c>
      <c r="B240" s="31">
        <v>45079</v>
      </c>
      <c r="C240" s="10" t="s">
        <v>12</v>
      </c>
      <c r="D240" s="5" t="s">
        <v>153</v>
      </c>
      <c r="E240" s="5" t="s">
        <v>153</v>
      </c>
      <c r="F240" s="17" t="s">
        <v>227</v>
      </c>
      <c r="G240" s="1"/>
      <c r="H240" s="1"/>
      <c r="I240" s="1"/>
      <c r="J240" s="1"/>
      <c r="K240" s="1"/>
    </row>
    <row r="241" spans="1:12" x14ac:dyDescent="0.2">
      <c r="A241" s="9" t="s">
        <v>11</v>
      </c>
      <c r="B241" s="31">
        <v>45079</v>
      </c>
      <c r="C241" s="10" t="s">
        <v>12</v>
      </c>
      <c r="D241" s="5" t="s">
        <v>153</v>
      </c>
      <c r="E241" s="5" t="s">
        <v>153</v>
      </c>
      <c r="F241" s="17" t="s">
        <v>228</v>
      </c>
      <c r="G241" s="1"/>
      <c r="H241" s="1"/>
      <c r="I241" s="1"/>
      <c r="J241" s="1"/>
      <c r="K241" s="1"/>
    </row>
    <row r="242" spans="1:12" x14ac:dyDescent="0.2">
      <c r="A242" s="9" t="s">
        <v>11</v>
      </c>
      <c r="B242" s="31">
        <v>45079</v>
      </c>
      <c r="C242" s="10" t="s">
        <v>12</v>
      </c>
      <c r="D242" s="5">
        <v>51.69</v>
      </c>
      <c r="E242" s="5">
        <v>2593.9299999999998</v>
      </c>
      <c r="F242" s="32" t="s">
        <v>209</v>
      </c>
      <c r="G242" s="13">
        <f>AVERAGE(E242:E243)</f>
        <v>2591.4899999999998</v>
      </c>
      <c r="H242" s="18">
        <f>STDEV(E242:E243)</f>
        <v>3.4506810921901074</v>
      </c>
      <c r="K242" s="5">
        <f>G242+$J$207</f>
        <v>2580.6</v>
      </c>
    </row>
    <row r="243" spans="1:12" x14ac:dyDescent="0.2">
      <c r="A243" s="9" t="s">
        <v>11</v>
      </c>
      <c r="B243" s="31">
        <v>45079</v>
      </c>
      <c r="C243" s="10" t="s">
        <v>12</v>
      </c>
      <c r="D243" s="5">
        <v>51.1</v>
      </c>
      <c r="E243" s="5">
        <v>2589.0500000000002</v>
      </c>
      <c r="F243" s="32" t="s">
        <v>210</v>
      </c>
    </row>
    <row r="244" spans="1:12" x14ac:dyDescent="0.2">
      <c r="A244" s="9" t="s">
        <v>11</v>
      </c>
      <c r="B244" s="31">
        <v>45079</v>
      </c>
      <c r="C244" s="10" t="s">
        <v>12</v>
      </c>
      <c r="D244" s="5" t="s">
        <v>153</v>
      </c>
      <c r="E244" s="5" t="s">
        <v>153</v>
      </c>
      <c r="F244" s="17" t="s">
        <v>211</v>
      </c>
      <c r="G244" s="5" t="s">
        <v>153</v>
      </c>
      <c r="H244" s="5" t="s">
        <v>153</v>
      </c>
      <c r="K244" s="5" t="s">
        <v>153</v>
      </c>
      <c r="L244" s="1" t="s">
        <v>182</v>
      </c>
    </row>
    <row r="245" spans="1:12" x14ac:dyDescent="0.2">
      <c r="A245" s="9" t="s">
        <v>11</v>
      </c>
      <c r="B245" s="31">
        <v>45079</v>
      </c>
      <c r="C245" s="10" t="s">
        <v>12</v>
      </c>
      <c r="D245" s="5" t="s">
        <v>153</v>
      </c>
      <c r="E245" s="5" t="s">
        <v>153</v>
      </c>
      <c r="F245" s="17" t="s">
        <v>212</v>
      </c>
    </row>
    <row r="246" spans="1:12" x14ac:dyDescent="0.2">
      <c r="A246" s="9" t="s">
        <v>11</v>
      </c>
      <c r="B246" s="31">
        <v>45079</v>
      </c>
      <c r="C246" s="10" t="s">
        <v>12</v>
      </c>
      <c r="D246" s="5" t="s">
        <v>153</v>
      </c>
      <c r="E246" s="5" t="s">
        <v>153</v>
      </c>
      <c r="F246" s="17" t="s">
        <v>213</v>
      </c>
    </row>
    <row r="247" spans="1:12" x14ac:dyDescent="0.2">
      <c r="A247" s="9" t="s">
        <v>11</v>
      </c>
      <c r="B247" s="31">
        <v>45080</v>
      </c>
      <c r="C247" s="25" t="s">
        <v>12</v>
      </c>
      <c r="D247" s="5">
        <v>49.53</v>
      </c>
      <c r="E247" s="5">
        <v>2239.6799999999998</v>
      </c>
      <c r="F247" s="16" t="s">
        <v>8</v>
      </c>
      <c r="G247" s="13">
        <f>AVERAGE(E247,E249)</f>
        <v>2236.9849999999997</v>
      </c>
      <c r="H247" s="18">
        <f>STDEV(E247,E249)</f>
        <v>3.8113055505954012</v>
      </c>
      <c r="I247" s="3">
        <v>2226.44</v>
      </c>
      <c r="J247" s="4">
        <f>I247-G247</f>
        <v>-10.544999999999618</v>
      </c>
      <c r="K247" s="5">
        <f>G247+J247</f>
        <v>2226.44</v>
      </c>
      <c r="L247" s="2" t="s">
        <v>94</v>
      </c>
    </row>
    <row r="248" spans="1:12" x14ac:dyDescent="0.2">
      <c r="A248" s="9" t="s">
        <v>11</v>
      </c>
      <c r="B248" s="31">
        <v>45080</v>
      </c>
      <c r="C248" s="10" t="s">
        <v>12</v>
      </c>
      <c r="D248" s="5">
        <v>49.91</v>
      </c>
      <c r="E248" s="14">
        <v>2246.6</v>
      </c>
      <c r="F248" s="16" t="s">
        <v>9</v>
      </c>
    </row>
    <row r="249" spans="1:12" x14ac:dyDescent="0.2">
      <c r="A249" s="9" t="s">
        <v>11</v>
      </c>
      <c r="B249" s="31">
        <v>45080</v>
      </c>
      <c r="C249" s="10" t="s">
        <v>12</v>
      </c>
      <c r="D249" s="5">
        <v>50.71</v>
      </c>
      <c r="E249" s="5">
        <v>2234.29</v>
      </c>
      <c r="F249" s="17" t="s">
        <v>96</v>
      </c>
    </row>
    <row r="250" spans="1:12" x14ac:dyDescent="0.2">
      <c r="A250" s="9" t="s">
        <v>11</v>
      </c>
      <c r="B250" s="31">
        <v>45079</v>
      </c>
      <c r="C250" s="10" t="s">
        <v>12</v>
      </c>
      <c r="D250" s="5">
        <v>49.18</v>
      </c>
      <c r="E250" s="5">
        <v>2690.49</v>
      </c>
      <c r="F250" s="32" t="s">
        <v>215</v>
      </c>
      <c r="G250" s="13">
        <f>AVERAGE(E250:E251)</f>
        <v>2690.89</v>
      </c>
      <c r="H250" s="18">
        <f>STDEV(E250:E251)</f>
        <v>0.56568542494936658</v>
      </c>
      <c r="K250" s="5">
        <f>G250+$J$207</f>
        <v>2680</v>
      </c>
    </row>
    <row r="251" spans="1:12" x14ac:dyDescent="0.2">
      <c r="A251" s="9" t="s">
        <v>11</v>
      </c>
      <c r="B251" s="31">
        <v>45079</v>
      </c>
      <c r="C251" s="10" t="s">
        <v>12</v>
      </c>
      <c r="D251" s="5">
        <v>51.14</v>
      </c>
      <c r="E251" s="5">
        <v>2691.29</v>
      </c>
      <c r="F251" s="32" t="s">
        <v>216</v>
      </c>
    </row>
    <row r="252" spans="1:12" x14ac:dyDescent="0.2">
      <c r="A252" s="9" t="s">
        <v>11</v>
      </c>
      <c r="B252" s="31">
        <v>45079</v>
      </c>
      <c r="C252" s="10" t="s">
        <v>12</v>
      </c>
      <c r="D252" s="5">
        <v>50.77</v>
      </c>
      <c r="E252" s="14">
        <v>2851.54</v>
      </c>
      <c r="F252" s="32" t="s">
        <v>217</v>
      </c>
      <c r="G252" s="13">
        <f>AVERAGE(E253:E254)</f>
        <v>2834.8150000000001</v>
      </c>
      <c r="H252" s="18">
        <f>STDEV(E253:E254)</f>
        <v>4.3345645686736134</v>
      </c>
      <c r="K252" s="5">
        <f>G252+$J$207</f>
        <v>2823.9250000000002</v>
      </c>
    </row>
    <row r="253" spans="1:12" x14ac:dyDescent="0.2">
      <c r="A253" s="9" t="s">
        <v>11</v>
      </c>
      <c r="B253" s="31">
        <v>45079</v>
      </c>
      <c r="C253" s="10" t="s">
        <v>12</v>
      </c>
      <c r="D253" s="5">
        <v>49.14</v>
      </c>
      <c r="E253" s="5">
        <v>2837.88</v>
      </c>
      <c r="F253" s="32" t="s">
        <v>218</v>
      </c>
    </row>
    <row r="254" spans="1:12" x14ac:dyDescent="0.2">
      <c r="A254" s="9" t="s">
        <v>11</v>
      </c>
      <c r="B254" s="31">
        <v>45079</v>
      </c>
      <c r="C254" s="10" t="s">
        <v>12</v>
      </c>
      <c r="D254" s="5">
        <v>49.79</v>
      </c>
      <c r="E254" s="5">
        <v>2831.75</v>
      </c>
      <c r="F254" s="32" t="s">
        <v>219</v>
      </c>
    </row>
    <row r="255" spans="1:12" x14ac:dyDescent="0.2">
      <c r="A255" s="9" t="s">
        <v>11</v>
      </c>
      <c r="B255" s="31">
        <v>45080</v>
      </c>
      <c r="C255" s="10" t="s">
        <v>12</v>
      </c>
      <c r="D255" s="5">
        <v>50.99</v>
      </c>
      <c r="E255" s="14">
        <v>2690.59</v>
      </c>
      <c r="F255" s="32" t="s">
        <v>220</v>
      </c>
      <c r="G255" s="13">
        <f>AVERAGE(E256:E257)</f>
        <v>2704.4399999999996</v>
      </c>
      <c r="H255" s="18">
        <f>STDEV(E256:E257)</f>
        <v>2.842569260369908</v>
      </c>
      <c r="K255" s="5">
        <f>G255+$J$247</f>
        <v>2693.895</v>
      </c>
    </row>
    <row r="256" spans="1:12" x14ac:dyDescent="0.2">
      <c r="A256" s="9" t="s">
        <v>11</v>
      </c>
      <c r="B256" s="31">
        <v>45080</v>
      </c>
      <c r="C256" s="10" t="s">
        <v>12</v>
      </c>
      <c r="D256" s="5">
        <v>51.23</v>
      </c>
      <c r="E256" s="5">
        <v>2702.43</v>
      </c>
      <c r="F256" s="32" t="s">
        <v>221</v>
      </c>
    </row>
    <row r="257" spans="1:11" x14ac:dyDescent="0.2">
      <c r="A257" s="9" t="s">
        <v>11</v>
      </c>
      <c r="B257" s="31">
        <v>45080</v>
      </c>
      <c r="C257" s="10" t="s">
        <v>12</v>
      </c>
      <c r="D257" s="5">
        <v>49.15</v>
      </c>
      <c r="E257" s="5">
        <v>2706.45</v>
      </c>
      <c r="F257" s="32" t="s">
        <v>222</v>
      </c>
    </row>
    <row r="258" spans="1:11" x14ac:dyDescent="0.2">
      <c r="A258" s="9" t="s">
        <v>11</v>
      </c>
      <c r="B258" s="31">
        <v>45080</v>
      </c>
      <c r="C258" s="10" t="s">
        <v>12</v>
      </c>
      <c r="D258" s="5">
        <v>49.81</v>
      </c>
      <c r="E258" s="5">
        <v>2605.6</v>
      </c>
      <c r="F258" s="32" t="s">
        <v>223</v>
      </c>
      <c r="G258" s="13">
        <f>AVERAGE(E258,E260)</f>
        <v>2603.0149999999999</v>
      </c>
      <c r="H258" s="18">
        <f>STDEV(E258,E260)</f>
        <v>3.6557420587345022</v>
      </c>
      <c r="K258" s="5">
        <f>G258+$J$247</f>
        <v>2592.4700000000003</v>
      </c>
    </row>
    <row r="259" spans="1:11" x14ac:dyDescent="0.2">
      <c r="A259" s="9" t="s">
        <v>11</v>
      </c>
      <c r="B259" s="31">
        <v>45080</v>
      </c>
      <c r="C259" s="10" t="s">
        <v>12</v>
      </c>
      <c r="D259" s="5">
        <v>48.54</v>
      </c>
      <c r="E259" s="14">
        <v>2623.87</v>
      </c>
      <c r="F259" s="32" t="s">
        <v>224</v>
      </c>
    </row>
    <row r="260" spans="1:11" x14ac:dyDescent="0.2">
      <c r="A260" s="9" t="s">
        <v>11</v>
      </c>
      <c r="B260" s="31">
        <v>45080</v>
      </c>
      <c r="C260" s="10" t="s">
        <v>12</v>
      </c>
      <c r="D260" s="5">
        <v>49.29</v>
      </c>
      <c r="E260" s="5">
        <v>2600.4299999999998</v>
      </c>
      <c r="F260" s="32" t="s">
        <v>225</v>
      </c>
    </row>
    <row r="261" spans="1:11" x14ac:dyDescent="0.2">
      <c r="A261" s="9" t="s">
        <v>11</v>
      </c>
      <c r="B261" s="31">
        <v>45080</v>
      </c>
      <c r="C261" s="10" t="s">
        <v>12</v>
      </c>
      <c r="D261" s="5">
        <v>51.84</v>
      </c>
      <c r="E261" s="14">
        <v>3045.93</v>
      </c>
      <c r="F261" s="32" t="s">
        <v>233</v>
      </c>
      <c r="G261" s="13">
        <f>AVERAGE(E262:E263)</f>
        <v>2970.4549999999999</v>
      </c>
      <c r="H261" s="18">
        <f>STDEV(E262:E263)</f>
        <v>2.3122391744799975</v>
      </c>
      <c r="K261" s="5">
        <f>G261+$J$247</f>
        <v>2959.9100000000003</v>
      </c>
    </row>
    <row r="262" spans="1:11" x14ac:dyDescent="0.2">
      <c r="A262" s="9" t="s">
        <v>11</v>
      </c>
      <c r="B262" s="31">
        <v>45080</v>
      </c>
      <c r="C262" s="10" t="s">
        <v>12</v>
      </c>
      <c r="D262" s="5">
        <v>49.31</v>
      </c>
      <c r="E262" s="5">
        <v>2972.09</v>
      </c>
      <c r="F262" s="32" t="s">
        <v>234</v>
      </c>
    </row>
    <row r="263" spans="1:11" x14ac:dyDescent="0.2">
      <c r="A263" s="9" t="s">
        <v>11</v>
      </c>
      <c r="B263" s="31">
        <v>45080</v>
      </c>
      <c r="C263" s="10" t="s">
        <v>12</v>
      </c>
      <c r="D263" s="5">
        <v>49.67</v>
      </c>
      <c r="E263" s="5">
        <v>2968.82</v>
      </c>
      <c r="F263" s="32" t="s">
        <v>261</v>
      </c>
    </row>
    <row r="264" spans="1:11" x14ac:dyDescent="0.2">
      <c r="A264" s="9" t="s">
        <v>11</v>
      </c>
      <c r="B264" s="31">
        <v>45080</v>
      </c>
      <c r="C264" s="10" t="s">
        <v>12</v>
      </c>
      <c r="D264" s="5">
        <v>48.84</v>
      </c>
      <c r="E264" s="5">
        <v>2879.28</v>
      </c>
      <c r="F264" s="32" t="s">
        <v>235</v>
      </c>
      <c r="G264" s="13">
        <f>AVERAGE(E264:E265)</f>
        <v>2880.085</v>
      </c>
      <c r="H264" s="18">
        <f>STDEV(E264:E265)</f>
        <v>1.1384419177101099</v>
      </c>
      <c r="K264" s="5">
        <f>G264+$J$247</f>
        <v>2869.5400000000004</v>
      </c>
    </row>
    <row r="265" spans="1:11" x14ac:dyDescent="0.2">
      <c r="A265" s="9" t="s">
        <v>11</v>
      </c>
      <c r="B265" s="31">
        <v>45080</v>
      </c>
      <c r="C265" s="10" t="s">
        <v>12</v>
      </c>
      <c r="D265" s="5">
        <v>49.22</v>
      </c>
      <c r="E265" s="5">
        <v>2880.89</v>
      </c>
      <c r="F265" s="32" t="s">
        <v>236</v>
      </c>
    </row>
    <row r="266" spans="1:11" x14ac:dyDescent="0.2">
      <c r="A266" s="9" t="s">
        <v>11</v>
      </c>
      <c r="B266" s="31">
        <v>45080</v>
      </c>
      <c r="C266" s="10" t="s">
        <v>12</v>
      </c>
      <c r="D266" s="5">
        <v>49.01</v>
      </c>
      <c r="E266" s="14">
        <v>2725.15</v>
      </c>
      <c r="F266" s="32" t="s">
        <v>237</v>
      </c>
      <c r="G266" s="13">
        <f>AVERAGE(E267,E268)</f>
        <v>2886.1800000000003</v>
      </c>
      <c r="H266" s="13">
        <f>STDEV(E267,E268)</f>
        <v>4.9073210614346783</v>
      </c>
      <c r="K266" s="5">
        <f>G266+$J$247</f>
        <v>2875.6350000000007</v>
      </c>
    </row>
    <row r="267" spans="1:11" x14ac:dyDescent="0.2">
      <c r="A267" s="9" t="s">
        <v>11</v>
      </c>
      <c r="B267" s="31">
        <v>45080</v>
      </c>
      <c r="C267" s="10" t="s">
        <v>12</v>
      </c>
      <c r="D267" s="5">
        <v>50.67</v>
      </c>
      <c r="E267" s="5">
        <v>2882.71</v>
      </c>
      <c r="F267" s="32" t="s">
        <v>238</v>
      </c>
    </row>
    <row r="268" spans="1:11" x14ac:dyDescent="0.2">
      <c r="A268" s="9" t="s">
        <v>11</v>
      </c>
      <c r="B268" s="31">
        <v>45080</v>
      </c>
      <c r="C268" s="10" t="s">
        <v>12</v>
      </c>
      <c r="D268" s="5">
        <v>49.95</v>
      </c>
      <c r="E268" s="5">
        <v>2889.65</v>
      </c>
      <c r="F268" s="32" t="s">
        <v>393</v>
      </c>
    </row>
    <row r="269" spans="1:11" x14ac:dyDescent="0.2">
      <c r="A269" s="9" t="s">
        <v>11</v>
      </c>
      <c r="B269" s="31">
        <v>45080</v>
      </c>
      <c r="C269" s="10" t="s">
        <v>12</v>
      </c>
      <c r="D269" s="5">
        <v>49.71</v>
      </c>
      <c r="E269" s="5">
        <v>2879.81</v>
      </c>
      <c r="F269" s="32" t="s">
        <v>239</v>
      </c>
      <c r="G269" s="13">
        <f>AVERAGE(E269:E270)</f>
        <v>2877.66</v>
      </c>
      <c r="H269" s="18">
        <f>STDEV(E269:E270)</f>
        <v>3.0405591591019614</v>
      </c>
      <c r="K269" s="5">
        <f>G269+$J$247</f>
        <v>2867.1150000000002</v>
      </c>
    </row>
    <row r="270" spans="1:11" x14ac:dyDescent="0.2">
      <c r="A270" s="9" t="s">
        <v>11</v>
      </c>
      <c r="B270" s="31">
        <v>45080</v>
      </c>
      <c r="C270" s="10" t="s">
        <v>12</v>
      </c>
      <c r="D270" s="5">
        <v>49.14</v>
      </c>
      <c r="E270" s="5">
        <v>2875.51</v>
      </c>
      <c r="F270" s="32" t="s">
        <v>240</v>
      </c>
    </row>
    <row r="271" spans="1:11" x14ac:dyDescent="0.2">
      <c r="A271" s="9" t="s">
        <v>11</v>
      </c>
      <c r="B271" s="31">
        <v>45080</v>
      </c>
      <c r="C271" s="10" t="s">
        <v>12</v>
      </c>
      <c r="D271" s="5">
        <v>50.9</v>
      </c>
      <c r="E271" s="5">
        <v>2876.26</v>
      </c>
      <c r="F271" s="32" t="s">
        <v>241</v>
      </c>
      <c r="G271" s="13">
        <f>AVERAGE(E271:E272)</f>
        <v>2876.4700000000003</v>
      </c>
      <c r="H271" s="18">
        <f>STDEV(E271:E272)</f>
        <v>0.29698484809807985</v>
      </c>
      <c r="K271" s="5">
        <f>G271+$J$247</f>
        <v>2865.9250000000006</v>
      </c>
    </row>
    <row r="272" spans="1:11" x14ac:dyDescent="0.2">
      <c r="A272" s="9" t="s">
        <v>11</v>
      </c>
      <c r="B272" s="31">
        <v>45080</v>
      </c>
      <c r="C272" s="10" t="s">
        <v>12</v>
      </c>
      <c r="D272" s="5">
        <v>49.12</v>
      </c>
      <c r="E272" s="5">
        <v>2876.68</v>
      </c>
      <c r="F272" s="32" t="s">
        <v>242</v>
      </c>
    </row>
    <row r="273" spans="1:12" x14ac:dyDescent="0.2">
      <c r="A273" s="9" t="s">
        <v>11</v>
      </c>
      <c r="B273" s="31">
        <v>45080</v>
      </c>
      <c r="C273" s="10" t="s">
        <v>12</v>
      </c>
      <c r="D273" s="5">
        <v>50.67</v>
      </c>
      <c r="E273" s="14">
        <v>2687.18</v>
      </c>
      <c r="F273" s="32" t="s">
        <v>243</v>
      </c>
      <c r="G273" s="13">
        <f>AVERAGE(E274:E275)</f>
        <v>2678.01</v>
      </c>
      <c r="H273" s="18">
        <f>STDEV(E274:E275)</f>
        <v>0.55154328932564856</v>
      </c>
      <c r="K273" s="5">
        <f>G273+$J$247</f>
        <v>2667.4650000000006</v>
      </c>
    </row>
    <row r="274" spans="1:12" x14ac:dyDescent="0.2">
      <c r="A274" s="9" t="s">
        <v>11</v>
      </c>
      <c r="B274" s="31">
        <v>45080</v>
      </c>
      <c r="C274" s="10" t="s">
        <v>12</v>
      </c>
      <c r="D274" s="5">
        <v>51.89</v>
      </c>
      <c r="E274" s="5">
        <v>2678.4</v>
      </c>
      <c r="F274" s="32" t="s">
        <v>244</v>
      </c>
    </row>
    <row r="275" spans="1:12" x14ac:dyDescent="0.2">
      <c r="A275" s="9" t="s">
        <v>11</v>
      </c>
      <c r="B275" s="31">
        <v>45080</v>
      </c>
      <c r="C275" s="10" t="s">
        <v>12</v>
      </c>
      <c r="D275" s="5">
        <v>49.27</v>
      </c>
      <c r="E275" s="5">
        <v>2677.62</v>
      </c>
      <c r="F275" s="32" t="s">
        <v>245</v>
      </c>
    </row>
    <row r="276" spans="1:12" x14ac:dyDescent="0.2">
      <c r="A276" s="9" t="s">
        <v>11</v>
      </c>
      <c r="B276" s="31">
        <v>45080</v>
      </c>
      <c r="C276" s="10" t="s">
        <v>12</v>
      </c>
      <c r="D276" s="5">
        <v>48.93</v>
      </c>
      <c r="E276" s="14">
        <v>2825.04</v>
      </c>
      <c r="F276" s="32" t="s">
        <v>246</v>
      </c>
      <c r="G276" s="13">
        <f>AVERAGE(E277:E278)</f>
        <v>2802.2249999999999</v>
      </c>
      <c r="H276" s="18">
        <f>STDEV(E277:E278)</f>
        <v>3.5001785668732817</v>
      </c>
      <c r="K276" s="5">
        <f>G276+$J$247</f>
        <v>2791.6800000000003</v>
      </c>
    </row>
    <row r="277" spans="1:12" x14ac:dyDescent="0.2">
      <c r="A277" s="9" t="s">
        <v>11</v>
      </c>
      <c r="B277" s="31">
        <v>45080</v>
      </c>
      <c r="C277" s="10" t="s">
        <v>12</v>
      </c>
      <c r="D277" s="5">
        <v>49.89</v>
      </c>
      <c r="E277" s="5">
        <v>2799.75</v>
      </c>
      <c r="F277" s="32" t="s">
        <v>247</v>
      </c>
    </row>
    <row r="278" spans="1:12" x14ac:dyDescent="0.2">
      <c r="A278" s="9" t="s">
        <v>11</v>
      </c>
      <c r="B278" s="31">
        <v>45080</v>
      </c>
      <c r="C278" s="10" t="s">
        <v>12</v>
      </c>
      <c r="D278" s="5">
        <v>50.5</v>
      </c>
      <c r="E278" s="5">
        <v>2804.7</v>
      </c>
      <c r="F278" s="33" t="s">
        <v>262</v>
      </c>
    </row>
    <row r="279" spans="1:12" x14ac:dyDescent="0.2">
      <c r="A279" s="9" t="s">
        <v>11</v>
      </c>
      <c r="B279" s="31">
        <v>45080</v>
      </c>
      <c r="C279" s="10" t="s">
        <v>12</v>
      </c>
      <c r="D279" s="5" t="s">
        <v>153</v>
      </c>
      <c r="E279" s="5" t="s">
        <v>153</v>
      </c>
      <c r="F279" s="32" t="s">
        <v>248</v>
      </c>
      <c r="G279" s="13" t="s">
        <v>153</v>
      </c>
      <c r="H279" s="18" t="s">
        <v>153</v>
      </c>
      <c r="K279" s="5" t="s">
        <v>153</v>
      </c>
      <c r="L279" s="1" t="s">
        <v>182</v>
      </c>
    </row>
    <row r="280" spans="1:12" x14ac:dyDescent="0.2">
      <c r="A280" s="9" t="s">
        <v>11</v>
      </c>
      <c r="B280" s="31">
        <v>45080</v>
      </c>
      <c r="C280" s="10" t="s">
        <v>12</v>
      </c>
      <c r="D280" s="5" t="s">
        <v>153</v>
      </c>
      <c r="E280" s="5" t="s">
        <v>153</v>
      </c>
      <c r="F280" s="32" t="s">
        <v>249</v>
      </c>
    </row>
    <row r="281" spans="1:12" x14ac:dyDescent="0.2">
      <c r="A281" s="9" t="s">
        <v>11</v>
      </c>
      <c r="B281" s="31">
        <v>45080</v>
      </c>
      <c r="C281" s="10" t="s">
        <v>12</v>
      </c>
      <c r="D281" s="5" t="s">
        <v>153</v>
      </c>
      <c r="E281" s="5" t="s">
        <v>153</v>
      </c>
      <c r="F281" s="32" t="s">
        <v>250</v>
      </c>
    </row>
    <row r="282" spans="1:12" x14ac:dyDescent="0.2">
      <c r="A282" s="9" t="s">
        <v>11</v>
      </c>
      <c r="B282" s="31">
        <v>45080</v>
      </c>
      <c r="C282" s="10" t="s">
        <v>12</v>
      </c>
      <c r="D282" s="5">
        <v>50.52</v>
      </c>
      <c r="E282" s="14">
        <v>2648.96</v>
      </c>
      <c r="F282" s="32" t="s">
        <v>251</v>
      </c>
      <c r="G282" s="13">
        <f>AVERAGE(E283:E284)</f>
        <v>2675.6950000000002</v>
      </c>
      <c r="H282" s="18">
        <f>STDEV(E283:E284)</f>
        <v>3.9810111780803399</v>
      </c>
      <c r="K282" s="5">
        <f>G282+$J$247</f>
        <v>2665.1500000000005</v>
      </c>
    </row>
    <row r="283" spans="1:12" x14ac:dyDescent="0.2">
      <c r="A283" s="9" t="s">
        <v>11</v>
      </c>
      <c r="B283" s="31">
        <v>45080</v>
      </c>
      <c r="C283" s="10" t="s">
        <v>12</v>
      </c>
      <c r="D283" s="5">
        <v>48.45</v>
      </c>
      <c r="E283" s="5">
        <v>2672.88</v>
      </c>
      <c r="F283" s="32" t="s">
        <v>252</v>
      </c>
    </row>
    <row r="284" spans="1:12" x14ac:dyDescent="0.2">
      <c r="A284" s="9" t="s">
        <v>11</v>
      </c>
      <c r="B284" s="31">
        <v>45080</v>
      </c>
      <c r="C284" s="10" t="s">
        <v>12</v>
      </c>
      <c r="D284" s="15">
        <v>50.23</v>
      </c>
      <c r="E284" s="15">
        <v>2678.51</v>
      </c>
      <c r="F284" s="32" t="s">
        <v>394</v>
      </c>
    </row>
    <row r="285" spans="1:12" x14ac:dyDescent="0.2">
      <c r="A285" s="9" t="s">
        <v>11</v>
      </c>
      <c r="B285" s="31">
        <v>45082</v>
      </c>
      <c r="C285" s="25" t="s">
        <v>12</v>
      </c>
      <c r="D285" s="5">
        <v>50.09</v>
      </c>
      <c r="E285" s="14">
        <v>2229.2600000000002</v>
      </c>
      <c r="F285" s="16" t="s">
        <v>8</v>
      </c>
      <c r="G285" s="13">
        <f>AVERAGE(E286,E287)</f>
        <v>2221.9949999999999</v>
      </c>
      <c r="H285" s="18">
        <f>STDEV(E286,E287)</f>
        <v>1.0111626970966472</v>
      </c>
      <c r="I285" s="3">
        <v>2226.44</v>
      </c>
      <c r="J285" s="4">
        <f>I285-G285</f>
        <v>4.4450000000001637</v>
      </c>
      <c r="K285" s="5">
        <f>G285+J285</f>
        <v>2226.44</v>
      </c>
      <c r="L285" s="2" t="s">
        <v>94</v>
      </c>
    </row>
    <row r="286" spans="1:12" x14ac:dyDescent="0.2">
      <c r="A286" s="9" t="s">
        <v>11</v>
      </c>
      <c r="B286" s="31">
        <v>45082</v>
      </c>
      <c r="C286" s="10" t="s">
        <v>12</v>
      </c>
      <c r="D286" s="5">
        <v>50.52</v>
      </c>
      <c r="E286" s="5">
        <v>2221.2800000000002</v>
      </c>
      <c r="F286" s="16" t="s">
        <v>9</v>
      </c>
    </row>
    <row r="287" spans="1:12" x14ac:dyDescent="0.2">
      <c r="A287" s="9" t="s">
        <v>11</v>
      </c>
      <c r="B287" s="31">
        <v>45082</v>
      </c>
      <c r="C287" s="10" t="s">
        <v>12</v>
      </c>
      <c r="D287" s="5">
        <v>50.23</v>
      </c>
      <c r="E287" s="5">
        <v>2222.71</v>
      </c>
      <c r="F287" s="17" t="s">
        <v>96</v>
      </c>
    </row>
    <row r="288" spans="1:12" x14ac:dyDescent="0.2">
      <c r="A288" s="9" t="s">
        <v>11</v>
      </c>
      <c r="B288" s="31">
        <v>45082</v>
      </c>
      <c r="C288" s="10" t="s">
        <v>12</v>
      </c>
      <c r="D288" s="5">
        <v>50.19</v>
      </c>
      <c r="E288" s="5">
        <v>2675.99</v>
      </c>
      <c r="F288" s="32" t="s">
        <v>253</v>
      </c>
      <c r="G288" s="13">
        <f>AVERAGE(E288,E290)</f>
        <v>2678.7150000000001</v>
      </c>
      <c r="H288" s="18">
        <f>STDEV(E288,E290)</f>
        <v>3.8537319574668771</v>
      </c>
      <c r="K288" s="5">
        <f>G288+$J$285</f>
        <v>2683.1600000000003</v>
      </c>
    </row>
    <row r="289" spans="1:11" x14ac:dyDescent="0.2">
      <c r="A289" s="9" t="s">
        <v>11</v>
      </c>
      <c r="B289" s="31">
        <v>45082</v>
      </c>
      <c r="C289" s="10" t="s">
        <v>12</v>
      </c>
      <c r="D289" s="5">
        <v>49.27</v>
      </c>
      <c r="E289" s="14">
        <v>2689.84</v>
      </c>
      <c r="F289" s="32" t="s">
        <v>254</v>
      </c>
    </row>
    <row r="290" spans="1:11" x14ac:dyDescent="0.2">
      <c r="A290" s="9" t="s">
        <v>11</v>
      </c>
      <c r="B290" s="31">
        <v>45082</v>
      </c>
      <c r="C290" s="10" t="s">
        <v>12</v>
      </c>
      <c r="D290" s="5">
        <v>50.54</v>
      </c>
      <c r="E290" s="5">
        <v>2681.44</v>
      </c>
      <c r="F290" s="32" t="s">
        <v>263</v>
      </c>
    </row>
    <row r="291" spans="1:11" x14ac:dyDescent="0.2">
      <c r="A291" s="9" t="s">
        <v>11</v>
      </c>
      <c r="B291" s="31">
        <v>45082</v>
      </c>
      <c r="C291" s="10" t="s">
        <v>12</v>
      </c>
      <c r="D291" s="5">
        <v>50.97</v>
      </c>
      <c r="E291" s="5">
        <v>2763.97</v>
      </c>
      <c r="F291" s="32" t="s">
        <v>255</v>
      </c>
      <c r="G291" s="13">
        <f>AVERAGE(E291,E293)</f>
        <v>2763.52</v>
      </c>
      <c r="H291" s="18">
        <f>STDEV(E291,E293)</f>
        <v>0.6363961030676355</v>
      </c>
      <c r="K291" s="5">
        <f>G291+$J$285</f>
        <v>2767.9650000000001</v>
      </c>
    </row>
    <row r="292" spans="1:11" x14ac:dyDescent="0.2">
      <c r="A292" s="9" t="s">
        <v>11</v>
      </c>
      <c r="B292" s="31">
        <v>45082</v>
      </c>
      <c r="C292" s="10" t="s">
        <v>12</v>
      </c>
      <c r="D292" s="5">
        <v>51.25</v>
      </c>
      <c r="E292" s="14">
        <v>2775.93</v>
      </c>
      <c r="F292" s="32" t="s">
        <v>256</v>
      </c>
    </row>
    <row r="293" spans="1:11" x14ac:dyDescent="0.2">
      <c r="A293" s="9" t="s">
        <v>11</v>
      </c>
      <c r="B293" s="31">
        <v>45082</v>
      </c>
      <c r="C293" s="10" t="s">
        <v>12</v>
      </c>
      <c r="D293" s="5">
        <v>50.53</v>
      </c>
      <c r="E293" s="5">
        <v>2763.07</v>
      </c>
      <c r="F293" s="32" t="s">
        <v>257</v>
      </c>
    </row>
    <row r="294" spans="1:11" x14ac:dyDescent="0.2">
      <c r="A294" s="9" t="s">
        <v>11</v>
      </c>
      <c r="B294" s="31">
        <v>45082</v>
      </c>
      <c r="C294" s="10" t="s">
        <v>12</v>
      </c>
      <c r="D294" s="5">
        <v>50.84</v>
      </c>
      <c r="E294" s="14">
        <v>2677.87</v>
      </c>
      <c r="F294" s="32" t="s">
        <v>258</v>
      </c>
      <c r="G294" s="13">
        <f>AVERAGE(E295:E296)</f>
        <v>2660.46</v>
      </c>
      <c r="H294" s="18">
        <f>STDEV(E295:E296)</f>
        <v>0.4525483399596219</v>
      </c>
      <c r="K294" s="5">
        <f>G294+$J$285</f>
        <v>2664.9050000000002</v>
      </c>
    </row>
    <row r="295" spans="1:11" x14ac:dyDescent="0.2">
      <c r="A295" s="9" t="s">
        <v>11</v>
      </c>
      <c r="B295" s="31">
        <v>45082</v>
      </c>
      <c r="C295" s="10" t="s">
        <v>12</v>
      </c>
      <c r="D295" s="5">
        <v>51.25</v>
      </c>
      <c r="E295" s="5">
        <v>2660.78</v>
      </c>
      <c r="F295" s="32" t="s">
        <v>259</v>
      </c>
    </row>
    <row r="296" spans="1:11" x14ac:dyDescent="0.2">
      <c r="A296" s="9" t="s">
        <v>11</v>
      </c>
      <c r="B296" s="31">
        <v>45082</v>
      </c>
      <c r="C296" s="10" t="s">
        <v>12</v>
      </c>
      <c r="D296" s="5">
        <v>50.59</v>
      </c>
      <c r="E296" s="5">
        <v>2660.14</v>
      </c>
      <c r="F296" s="32" t="s">
        <v>260</v>
      </c>
    </row>
    <row r="297" spans="1:11" x14ac:dyDescent="0.2">
      <c r="A297" s="9" t="s">
        <v>11</v>
      </c>
      <c r="B297" s="31">
        <v>45082</v>
      </c>
      <c r="C297" s="10" t="s">
        <v>12</v>
      </c>
      <c r="D297" s="5">
        <v>48.28</v>
      </c>
      <c r="E297" s="14">
        <v>2519.1799999999998</v>
      </c>
      <c r="F297" s="32" t="s">
        <v>264</v>
      </c>
      <c r="G297" s="13">
        <f>AVERAGE(E298:E299)</f>
        <v>2502.665</v>
      </c>
      <c r="H297" s="18">
        <f>STDEV(E298:E299)</f>
        <v>0.27577164466298504</v>
      </c>
      <c r="K297" s="5">
        <f>G297+$J$285</f>
        <v>2507.11</v>
      </c>
    </row>
    <row r="298" spans="1:11" x14ac:dyDescent="0.2">
      <c r="A298" s="9" t="s">
        <v>11</v>
      </c>
      <c r="B298" s="31">
        <v>45082</v>
      </c>
      <c r="C298" s="10" t="s">
        <v>12</v>
      </c>
      <c r="D298" s="5">
        <v>50.97</v>
      </c>
      <c r="E298" s="5">
        <v>2502.86</v>
      </c>
      <c r="F298" s="32" t="s">
        <v>265</v>
      </c>
    </row>
    <row r="299" spans="1:11" x14ac:dyDescent="0.2">
      <c r="A299" s="9" t="s">
        <v>11</v>
      </c>
      <c r="B299" s="31">
        <v>45082</v>
      </c>
      <c r="C299" s="10" t="s">
        <v>12</v>
      </c>
      <c r="D299" s="5">
        <v>50.3</v>
      </c>
      <c r="E299" s="5">
        <v>2502.4699999999998</v>
      </c>
      <c r="F299" s="32" t="s">
        <v>266</v>
      </c>
    </row>
    <row r="300" spans="1:11" x14ac:dyDescent="0.2">
      <c r="A300" s="9" t="s">
        <v>11</v>
      </c>
      <c r="B300" s="31">
        <v>45082</v>
      </c>
      <c r="C300" s="10" t="s">
        <v>12</v>
      </c>
      <c r="D300" s="5">
        <v>50.71</v>
      </c>
      <c r="E300" s="14">
        <v>2568.89</v>
      </c>
      <c r="F300" s="32" t="s">
        <v>267</v>
      </c>
      <c r="G300" s="13">
        <f>AVERAGE(E301:E302)</f>
        <v>2556.1350000000002</v>
      </c>
      <c r="H300" s="18">
        <f>STDEV(E301:E302)</f>
        <v>0.91216774773094211</v>
      </c>
      <c r="K300" s="5">
        <f>G300+$J$285</f>
        <v>2560.5800000000004</v>
      </c>
    </row>
    <row r="301" spans="1:11" x14ac:dyDescent="0.2">
      <c r="A301" s="9" t="s">
        <v>11</v>
      </c>
      <c r="B301" s="31">
        <v>45082</v>
      </c>
      <c r="C301" s="10" t="s">
        <v>12</v>
      </c>
      <c r="D301" s="5">
        <v>51.81</v>
      </c>
      <c r="E301" s="5">
        <v>2555.4899999999998</v>
      </c>
      <c r="F301" s="32" t="s">
        <v>268</v>
      </c>
    </row>
    <row r="302" spans="1:11" x14ac:dyDescent="0.2">
      <c r="A302" s="9" t="s">
        <v>11</v>
      </c>
      <c r="B302" s="31">
        <v>45082</v>
      </c>
      <c r="C302" s="10" t="s">
        <v>12</v>
      </c>
      <c r="D302" s="5">
        <v>50</v>
      </c>
      <c r="E302" s="5">
        <v>2556.7800000000002</v>
      </c>
      <c r="F302" s="32" t="s">
        <v>269</v>
      </c>
    </row>
    <row r="303" spans="1:11" x14ac:dyDescent="0.2">
      <c r="A303" s="9" t="s">
        <v>11</v>
      </c>
      <c r="B303" s="31">
        <v>45082</v>
      </c>
      <c r="C303" s="10" t="s">
        <v>12</v>
      </c>
      <c r="D303" s="5">
        <v>48.63</v>
      </c>
      <c r="E303" s="14">
        <v>2560.79</v>
      </c>
      <c r="F303" s="32" t="s">
        <v>270</v>
      </c>
      <c r="G303" s="13">
        <f>AVERAGE(E304,E305)</f>
        <v>2547.31</v>
      </c>
      <c r="H303" s="13">
        <f>STDEV(E304,E305)</f>
        <v>1.8809040379561135</v>
      </c>
      <c r="K303" s="5">
        <f>G303+$J$285</f>
        <v>2551.7550000000001</v>
      </c>
    </row>
    <row r="304" spans="1:11" x14ac:dyDescent="0.2">
      <c r="A304" s="9" t="s">
        <v>11</v>
      </c>
      <c r="B304" s="31">
        <v>45082</v>
      </c>
      <c r="C304" s="10" t="s">
        <v>12</v>
      </c>
      <c r="D304" s="5">
        <v>51.07</v>
      </c>
      <c r="E304" s="5">
        <v>2545.98</v>
      </c>
      <c r="F304" s="32" t="s">
        <v>271</v>
      </c>
    </row>
    <row r="305" spans="1:11" x14ac:dyDescent="0.2">
      <c r="A305" s="9" t="s">
        <v>11</v>
      </c>
      <c r="B305" s="31">
        <v>45082</v>
      </c>
      <c r="C305" s="10" t="s">
        <v>12</v>
      </c>
      <c r="D305" s="5">
        <v>50.71</v>
      </c>
      <c r="E305" s="5">
        <v>2548.64</v>
      </c>
      <c r="F305" s="32" t="s">
        <v>395</v>
      </c>
    </row>
    <row r="306" spans="1:11" x14ac:dyDescent="0.2">
      <c r="A306" s="9" t="s">
        <v>11</v>
      </c>
      <c r="B306" s="31">
        <v>45082</v>
      </c>
      <c r="C306" s="10" t="s">
        <v>12</v>
      </c>
      <c r="D306" s="5">
        <v>51.27</v>
      </c>
      <c r="E306" s="14">
        <v>2585.0100000000002</v>
      </c>
      <c r="F306" s="32" t="s">
        <v>272</v>
      </c>
      <c r="G306" s="13">
        <f>AVERAGE(E307:E308)</f>
        <v>2604.0349999999999</v>
      </c>
      <c r="H306" s="18">
        <f>STDEV(E307:E308)</f>
        <v>6.3639610306892178E-2</v>
      </c>
      <c r="K306" s="5">
        <f>G306+$J$285</f>
        <v>2608.48</v>
      </c>
    </row>
    <row r="307" spans="1:11" x14ac:dyDescent="0.2">
      <c r="A307" s="9" t="s">
        <v>11</v>
      </c>
      <c r="B307" s="31">
        <v>45082</v>
      </c>
      <c r="C307" s="10" t="s">
        <v>12</v>
      </c>
      <c r="D307" s="5">
        <v>49.07</v>
      </c>
      <c r="E307" s="5">
        <v>2603.9899999999998</v>
      </c>
      <c r="F307" s="32" t="s">
        <v>273</v>
      </c>
    </row>
    <row r="308" spans="1:11" x14ac:dyDescent="0.2">
      <c r="A308" s="9" t="s">
        <v>11</v>
      </c>
      <c r="B308" s="31">
        <v>45082</v>
      </c>
      <c r="C308" s="10" t="s">
        <v>12</v>
      </c>
      <c r="D308" s="5">
        <v>48.74</v>
      </c>
      <c r="E308" s="5">
        <v>2604.08</v>
      </c>
      <c r="F308" s="32" t="s">
        <v>274</v>
      </c>
    </row>
    <row r="309" spans="1:11" x14ac:dyDescent="0.2">
      <c r="A309" s="9" t="s">
        <v>11</v>
      </c>
      <c r="B309" s="31">
        <v>45082</v>
      </c>
      <c r="C309" s="10" t="s">
        <v>12</v>
      </c>
      <c r="D309" s="5">
        <v>50.99</v>
      </c>
      <c r="E309" s="14">
        <v>2658.15</v>
      </c>
      <c r="F309" s="32" t="s">
        <v>275</v>
      </c>
      <c r="G309" s="13">
        <f>AVERAGE(E310:E311)</f>
        <v>2646.86</v>
      </c>
      <c r="H309" s="18">
        <f>STDEV(E310:E311)</f>
        <v>2.3617366491631717</v>
      </c>
      <c r="K309" s="5">
        <f>G309+$J$285</f>
        <v>2651.3050000000003</v>
      </c>
    </row>
    <row r="310" spans="1:11" x14ac:dyDescent="0.2">
      <c r="A310" s="9" t="s">
        <v>11</v>
      </c>
      <c r="B310" s="31">
        <v>45082</v>
      </c>
      <c r="C310" s="10" t="s">
        <v>12</v>
      </c>
      <c r="D310" s="5">
        <v>50.89</v>
      </c>
      <c r="E310" s="5">
        <v>2645.19</v>
      </c>
      <c r="F310" s="32" t="s">
        <v>276</v>
      </c>
    </row>
    <row r="311" spans="1:11" x14ac:dyDescent="0.2">
      <c r="A311" s="9" t="s">
        <v>11</v>
      </c>
      <c r="B311" s="31">
        <v>45082</v>
      </c>
      <c r="C311" s="10" t="s">
        <v>12</v>
      </c>
      <c r="D311" s="5">
        <v>49.61</v>
      </c>
      <c r="E311" s="5">
        <v>2648.53</v>
      </c>
      <c r="F311" s="32" t="s">
        <v>277</v>
      </c>
    </row>
    <row r="312" spans="1:11" x14ac:dyDescent="0.2">
      <c r="A312" s="9" t="s">
        <v>11</v>
      </c>
      <c r="B312" s="31">
        <v>45082</v>
      </c>
      <c r="C312" s="10" t="s">
        <v>12</v>
      </c>
      <c r="D312" s="5">
        <v>48.94</v>
      </c>
      <c r="E312" s="5">
        <v>2614.2199999999998</v>
      </c>
      <c r="F312" s="32" t="s">
        <v>278</v>
      </c>
      <c r="G312" s="13">
        <f>AVERAGE(E312:E313)</f>
        <v>2612.37</v>
      </c>
      <c r="H312" s="18">
        <f>STDEV(E312:E313)</f>
        <v>2.6162950903900972</v>
      </c>
      <c r="K312" s="5">
        <f>G312+$J$285</f>
        <v>2616.8150000000001</v>
      </c>
    </row>
    <row r="313" spans="1:11" x14ac:dyDescent="0.2">
      <c r="A313" s="9" t="s">
        <v>11</v>
      </c>
      <c r="B313" s="31">
        <v>45082</v>
      </c>
      <c r="C313" s="10" t="s">
        <v>12</v>
      </c>
      <c r="D313" s="5">
        <v>50.77</v>
      </c>
      <c r="E313" s="5">
        <v>2610.52</v>
      </c>
      <c r="F313" s="32" t="s">
        <v>279</v>
      </c>
    </row>
    <row r="314" spans="1:11" x14ac:dyDescent="0.2">
      <c r="A314" s="9" t="s">
        <v>11</v>
      </c>
      <c r="B314" s="31">
        <v>45082</v>
      </c>
      <c r="C314" s="10" t="s">
        <v>12</v>
      </c>
      <c r="D314" s="5">
        <v>52.43</v>
      </c>
      <c r="E314" s="5">
        <v>2530.13</v>
      </c>
      <c r="F314" s="32" t="s">
        <v>280</v>
      </c>
      <c r="G314" s="13">
        <f>AVERAGE(E314:E315)</f>
        <v>2528.3500000000004</v>
      </c>
      <c r="H314" s="18">
        <f>STDEV(E314:E315)</f>
        <v>2.5173001410240707</v>
      </c>
      <c r="K314" s="5">
        <f>G314+$J$285</f>
        <v>2532.7950000000005</v>
      </c>
    </row>
    <row r="315" spans="1:11" x14ac:dyDescent="0.2">
      <c r="A315" s="9" t="s">
        <v>11</v>
      </c>
      <c r="B315" s="31">
        <v>45082</v>
      </c>
      <c r="C315" s="10" t="s">
        <v>12</v>
      </c>
      <c r="D315" s="5">
        <v>49.17</v>
      </c>
      <c r="E315" s="5">
        <v>2526.5700000000002</v>
      </c>
      <c r="F315" s="32" t="s">
        <v>281</v>
      </c>
    </row>
    <row r="316" spans="1:11" x14ac:dyDescent="0.2">
      <c r="A316" s="9" t="s">
        <v>11</v>
      </c>
      <c r="B316" s="31">
        <v>45082</v>
      </c>
      <c r="C316" s="10" t="s">
        <v>12</v>
      </c>
      <c r="D316" s="5">
        <v>50.31</v>
      </c>
      <c r="E316" s="5">
        <v>2623.15</v>
      </c>
      <c r="F316" s="32" t="s">
        <v>282</v>
      </c>
      <c r="G316" s="13">
        <f>AVERAGE(E316:E317)</f>
        <v>2622.16</v>
      </c>
      <c r="H316" s="18">
        <f>STDEV(E316:E317)</f>
        <v>1.400071426749377</v>
      </c>
      <c r="K316" s="5">
        <f>G316+$J$285</f>
        <v>2626.605</v>
      </c>
    </row>
    <row r="317" spans="1:11" x14ac:dyDescent="0.2">
      <c r="A317" s="9" t="s">
        <v>11</v>
      </c>
      <c r="B317" s="31">
        <v>45082</v>
      </c>
      <c r="C317" s="10" t="s">
        <v>12</v>
      </c>
      <c r="D317" s="5">
        <v>51.67</v>
      </c>
      <c r="E317" s="5">
        <v>2621.17</v>
      </c>
      <c r="F317" s="32" t="s">
        <v>283</v>
      </c>
    </row>
    <row r="318" spans="1:11" x14ac:dyDescent="0.2">
      <c r="A318" s="9" t="s">
        <v>11</v>
      </c>
      <c r="B318" s="31">
        <v>45082</v>
      </c>
      <c r="C318" s="10" t="s">
        <v>12</v>
      </c>
      <c r="D318" s="5">
        <v>50.42</v>
      </c>
      <c r="E318" s="14">
        <v>2585.75</v>
      </c>
      <c r="F318" s="32" t="s">
        <v>284</v>
      </c>
      <c r="G318" s="13">
        <f>AVERAGE(E319:E320)</f>
        <v>2575.38</v>
      </c>
      <c r="H318" s="18">
        <f>STDEV(E319:E320)</f>
        <v>4.2426406871192848</v>
      </c>
      <c r="K318" s="5">
        <f>G318+$J$285</f>
        <v>2579.8250000000003</v>
      </c>
    </row>
    <row r="319" spans="1:11" x14ac:dyDescent="0.2">
      <c r="A319" s="9" t="s">
        <v>11</v>
      </c>
      <c r="B319" s="31">
        <v>45082</v>
      </c>
      <c r="C319" s="10" t="s">
        <v>12</v>
      </c>
      <c r="D319" s="5">
        <v>50.63</v>
      </c>
      <c r="E319" s="5">
        <v>2572.38</v>
      </c>
      <c r="F319" s="32" t="s">
        <v>285</v>
      </c>
    </row>
    <row r="320" spans="1:11" x14ac:dyDescent="0.2">
      <c r="A320" s="9" t="s">
        <v>11</v>
      </c>
      <c r="B320" s="31">
        <v>45082</v>
      </c>
      <c r="C320" s="10" t="s">
        <v>12</v>
      </c>
      <c r="D320" s="5">
        <v>49.19</v>
      </c>
      <c r="E320" s="5">
        <v>2578.38</v>
      </c>
      <c r="F320" s="32" t="s">
        <v>286</v>
      </c>
    </row>
    <row r="321" spans="1:12" x14ac:dyDescent="0.2">
      <c r="A321" s="9" t="s">
        <v>11</v>
      </c>
      <c r="B321" s="31">
        <v>45083</v>
      </c>
      <c r="C321" s="25" t="s">
        <v>12</v>
      </c>
      <c r="D321" s="5">
        <v>50.52</v>
      </c>
      <c r="E321" s="14">
        <v>2219.19</v>
      </c>
      <c r="F321" s="16" t="s">
        <v>8</v>
      </c>
      <c r="G321" s="13">
        <f>AVERAGE(E322:E323)</f>
        <v>2238.3050000000003</v>
      </c>
      <c r="H321" s="18">
        <f>STDEV(E322:E323)</f>
        <v>2.8637824638053244</v>
      </c>
      <c r="I321" s="3">
        <v>2226.44</v>
      </c>
      <c r="J321" s="4">
        <f>I321-G321</f>
        <v>-11.865000000000236</v>
      </c>
      <c r="K321" s="5">
        <f>G321+J321</f>
        <v>2226.44</v>
      </c>
      <c r="L321" s="2" t="s">
        <v>94</v>
      </c>
    </row>
    <row r="322" spans="1:12" x14ac:dyDescent="0.2">
      <c r="A322" s="9" t="s">
        <v>11</v>
      </c>
      <c r="B322" s="31">
        <v>45083</v>
      </c>
      <c r="C322" s="10" t="s">
        <v>12</v>
      </c>
      <c r="D322" s="5">
        <v>48.27</v>
      </c>
      <c r="E322" s="5">
        <v>2236.2800000000002</v>
      </c>
      <c r="F322" s="16" t="s">
        <v>9</v>
      </c>
    </row>
    <row r="323" spans="1:12" x14ac:dyDescent="0.2">
      <c r="A323" s="9" t="s">
        <v>11</v>
      </c>
      <c r="B323" s="31">
        <v>45083</v>
      </c>
      <c r="C323" s="10" t="s">
        <v>12</v>
      </c>
      <c r="D323" s="5">
        <v>50.04</v>
      </c>
      <c r="E323" s="5">
        <v>2240.33</v>
      </c>
      <c r="F323" s="17" t="s">
        <v>96</v>
      </c>
    </row>
    <row r="324" spans="1:12" x14ac:dyDescent="0.2">
      <c r="A324" s="9" t="s">
        <v>11</v>
      </c>
      <c r="B324" s="31">
        <v>45082</v>
      </c>
      <c r="C324" s="10" t="s">
        <v>12</v>
      </c>
      <c r="D324" s="5">
        <v>48.96</v>
      </c>
      <c r="E324" s="5">
        <v>2601.0100000000002</v>
      </c>
      <c r="F324" s="32" t="s">
        <v>287</v>
      </c>
      <c r="G324" s="13">
        <f>AVERAGE(E324:E325)</f>
        <v>2601.6750000000002</v>
      </c>
      <c r="H324" s="18">
        <f>STDEV(E324:E325)</f>
        <v>0.94045201897805675</v>
      </c>
      <c r="K324" s="5">
        <f>G324+$J$285</f>
        <v>2606.1200000000003</v>
      </c>
    </row>
    <row r="325" spans="1:12" x14ac:dyDescent="0.2">
      <c r="A325" s="9" t="s">
        <v>11</v>
      </c>
      <c r="B325" s="31">
        <v>45082</v>
      </c>
      <c r="C325" s="10" t="s">
        <v>12</v>
      </c>
      <c r="D325" s="5">
        <v>52.01</v>
      </c>
      <c r="E325" s="5">
        <v>2602.34</v>
      </c>
      <c r="F325" s="32" t="s">
        <v>288</v>
      </c>
    </row>
    <row r="326" spans="1:12" x14ac:dyDescent="0.2">
      <c r="A326" s="9" t="s">
        <v>11</v>
      </c>
      <c r="B326" s="31">
        <v>45082</v>
      </c>
      <c r="C326" s="10" t="s">
        <v>12</v>
      </c>
      <c r="D326" s="5">
        <v>50.22</v>
      </c>
      <c r="E326" s="14">
        <v>2534.11</v>
      </c>
      <c r="F326" s="32" t="s">
        <v>289</v>
      </c>
      <c r="G326" s="18">
        <f>AVERAGE(E327:E328)</f>
        <v>2582.8850000000002</v>
      </c>
      <c r="H326" s="18">
        <f>STDEV(E327:E328)</f>
        <v>9.1923881554006784E-2</v>
      </c>
      <c r="K326" s="5">
        <f>G326+$J$285</f>
        <v>2587.3300000000004</v>
      </c>
    </row>
    <row r="327" spans="1:12" x14ac:dyDescent="0.2">
      <c r="A327" s="9" t="s">
        <v>11</v>
      </c>
      <c r="B327" s="31">
        <v>45082</v>
      </c>
      <c r="C327" s="10" t="s">
        <v>12</v>
      </c>
      <c r="D327" s="5">
        <v>49.96</v>
      </c>
      <c r="E327" s="5">
        <v>2582.9499999999998</v>
      </c>
      <c r="F327" s="32" t="s">
        <v>290</v>
      </c>
    </row>
    <row r="328" spans="1:12" x14ac:dyDescent="0.2">
      <c r="A328" s="9" t="s">
        <v>11</v>
      </c>
      <c r="B328" s="31">
        <v>45082</v>
      </c>
      <c r="C328" s="10" t="s">
        <v>12</v>
      </c>
      <c r="D328" s="5">
        <v>49.71</v>
      </c>
      <c r="E328" s="5">
        <v>2582.8200000000002</v>
      </c>
      <c r="F328" s="32" t="s">
        <v>396</v>
      </c>
    </row>
    <row r="329" spans="1:12" x14ac:dyDescent="0.2">
      <c r="A329" s="9" t="s">
        <v>11</v>
      </c>
      <c r="B329" s="31">
        <v>45082</v>
      </c>
      <c r="C329" s="10" t="s">
        <v>12</v>
      </c>
      <c r="D329" s="5">
        <v>49.6</v>
      </c>
      <c r="E329" s="5">
        <v>2562.94</v>
      </c>
      <c r="F329" s="32" t="s">
        <v>291</v>
      </c>
      <c r="G329" s="13">
        <f>AVERAGE(E329:E330)</f>
        <v>2555.1149999999998</v>
      </c>
      <c r="H329" s="18">
        <f>STDEV(E329,E331)</f>
        <v>2.9698484809833712</v>
      </c>
      <c r="K329" s="5">
        <f>G329+$J$285</f>
        <v>2559.56</v>
      </c>
    </row>
    <row r="330" spans="1:12" x14ac:dyDescent="0.2">
      <c r="A330" s="9" t="s">
        <v>11</v>
      </c>
      <c r="B330" s="31">
        <v>45082</v>
      </c>
      <c r="C330" s="10" t="s">
        <v>12</v>
      </c>
      <c r="D330" s="5">
        <v>52</v>
      </c>
      <c r="E330" s="14">
        <v>2547.29</v>
      </c>
      <c r="F330" s="32" t="s">
        <v>292</v>
      </c>
    </row>
    <row r="331" spans="1:12" x14ac:dyDescent="0.2">
      <c r="A331" s="9" t="s">
        <v>11</v>
      </c>
      <c r="B331" s="31">
        <v>45082</v>
      </c>
      <c r="C331" s="10" t="s">
        <v>12</v>
      </c>
      <c r="D331" s="5">
        <v>49.79</v>
      </c>
      <c r="E331" s="5">
        <v>2567.14</v>
      </c>
      <c r="F331" s="32" t="s">
        <v>293</v>
      </c>
    </row>
    <row r="332" spans="1:12" x14ac:dyDescent="0.2">
      <c r="A332" s="9" t="s">
        <v>11</v>
      </c>
      <c r="B332" s="31">
        <v>45082</v>
      </c>
      <c r="C332" s="10" t="s">
        <v>12</v>
      </c>
      <c r="D332" s="5">
        <v>51.18</v>
      </c>
      <c r="E332" s="14">
        <v>2589.9299999999998</v>
      </c>
      <c r="F332" s="32" t="s">
        <v>294</v>
      </c>
      <c r="G332" s="13">
        <f>AVERAGE(E333:E334)</f>
        <v>2580.4549999999999</v>
      </c>
      <c r="H332" s="18">
        <f>STDEV(E333:E334)</f>
        <v>1.3788582233136391</v>
      </c>
      <c r="K332" s="5">
        <f>G332+$J$285</f>
        <v>2584.9</v>
      </c>
    </row>
    <row r="333" spans="1:12" x14ac:dyDescent="0.2">
      <c r="A333" s="9" t="s">
        <v>11</v>
      </c>
      <c r="B333" s="31">
        <v>45082</v>
      </c>
      <c r="C333" s="10" t="s">
        <v>12</v>
      </c>
      <c r="D333" s="5">
        <v>50.87</v>
      </c>
      <c r="E333" s="5">
        <v>2581.4299999999998</v>
      </c>
      <c r="F333" s="32" t="s">
        <v>295</v>
      </c>
    </row>
    <row r="334" spans="1:12" x14ac:dyDescent="0.2">
      <c r="A334" s="9" t="s">
        <v>11</v>
      </c>
      <c r="B334" s="31">
        <v>45082</v>
      </c>
      <c r="C334" s="10" t="s">
        <v>12</v>
      </c>
      <c r="D334" s="5">
        <v>49.3</v>
      </c>
      <c r="E334" s="5">
        <v>2579.48</v>
      </c>
      <c r="F334" s="32" t="s">
        <v>296</v>
      </c>
    </row>
    <row r="335" spans="1:12" x14ac:dyDescent="0.2">
      <c r="A335" s="9" t="s">
        <v>11</v>
      </c>
      <c r="B335" s="31">
        <v>45083</v>
      </c>
      <c r="C335" s="10" t="s">
        <v>12</v>
      </c>
      <c r="D335" s="5">
        <v>51.48</v>
      </c>
      <c r="E335" s="5">
        <v>2583.7800000000002</v>
      </c>
      <c r="F335" s="32" t="s">
        <v>297</v>
      </c>
      <c r="G335" s="13">
        <f>AVERAGE(E335:E336)</f>
        <v>2581.6000000000004</v>
      </c>
      <c r="H335" s="18">
        <f>STDEV(E335:E336)</f>
        <v>3.0829855659734373</v>
      </c>
      <c r="K335" s="5">
        <f>G335+$J$321</f>
        <v>2569.7350000000001</v>
      </c>
    </row>
    <row r="336" spans="1:12" x14ac:dyDescent="0.2">
      <c r="A336" s="9" t="s">
        <v>11</v>
      </c>
      <c r="B336" s="31">
        <v>45083</v>
      </c>
      <c r="C336" s="10" t="s">
        <v>12</v>
      </c>
      <c r="D336" s="5">
        <v>50.77</v>
      </c>
      <c r="E336" s="5">
        <v>2579.42</v>
      </c>
      <c r="F336" s="32" t="s">
        <v>298</v>
      </c>
    </row>
    <row r="337" spans="1:11" x14ac:dyDescent="0.2">
      <c r="A337" s="9" t="s">
        <v>11</v>
      </c>
      <c r="B337" s="31">
        <v>45083</v>
      </c>
      <c r="C337" s="10" t="s">
        <v>12</v>
      </c>
      <c r="D337" s="5">
        <v>50.57</v>
      </c>
      <c r="E337" s="5">
        <v>2526.5100000000002</v>
      </c>
      <c r="F337" s="32" t="s">
        <v>299</v>
      </c>
      <c r="G337" s="13">
        <f>AVERAGE(E337:E338)</f>
        <v>2524.2700000000004</v>
      </c>
      <c r="H337" s="18">
        <f>STDEV(E337:E338)</f>
        <v>3.1678383797157457</v>
      </c>
      <c r="K337" s="5">
        <f>G337+$J$321</f>
        <v>2512.4050000000002</v>
      </c>
    </row>
    <row r="338" spans="1:11" x14ac:dyDescent="0.2">
      <c r="A338" s="9" t="s">
        <v>11</v>
      </c>
      <c r="B338" s="31">
        <v>45083</v>
      </c>
      <c r="C338" s="10" t="s">
        <v>12</v>
      </c>
      <c r="D338" s="5">
        <v>50.2</v>
      </c>
      <c r="E338" s="5">
        <v>2522.0300000000002</v>
      </c>
      <c r="F338" s="32" t="s">
        <v>300</v>
      </c>
    </row>
    <row r="339" spans="1:11" x14ac:dyDescent="0.2">
      <c r="A339" s="9" t="s">
        <v>11</v>
      </c>
      <c r="B339" s="31">
        <v>45083</v>
      </c>
      <c r="C339" s="10" t="s">
        <v>12</v>
      </c>
      <c r="D339" s="5">
        <v>51.23</v>
      </c>
      <c r="E339" s="5">
        <v>2528.85</v>
      </c>
      <c r="F339" s="32" t="s">
        <v>301</v>
      </c>
      <c r="G339" s="13">
        <f>AVERAGE(E339,E341)</f>
        <v>2527.4899999999998</v>
      </c>
      <c r="H339" s="18">
        <f>STDEV(E339,E341)</f>
        <v>1.9233304448272679</v>
      </c>
      <c r="K339" s="5">
        <f>G339+$J$321</f>
        <v>2515.6249999999995</v>
      </c>
    </row>
    <row r="340" spans="1:11" x14ac:dyDescent="0.2">
      <c r="A340" s="9" t="s">
        <v>11</v>
      </c>
      <c r="B340" s="31">
        <v>45083</v>
      </c>
      <c r="C340" s="10" t="s">
        <v>12</v>
      </c>
      <c r="D340" s="5">
        <v>50.45</v>
      </c>
      <c r="E340" s="14">
        <v>2487.25</v>
      </c>
      <c r="F340" s="32" t="s">
        <v>302</v>
      </c>
    </row>
    <row r="341" spans="1:11" x14ac:dyDescent="0.2">
      <c r="A341" s="9" t="s">
        <v>11</v>
      </c>
      <c r="B341" s="31">
        <v>45083</v>
      </c>
      <c r="C341" s="10" t="s">
        <v>12</v>
      </c>
      <c r="D341" s="5">
        <v>50.72</v>
      </c>
      <c r="E341" s="5">
        <v>2526.13</v>
      </c>
      <c r="F341" s="32" t="s">
        <v>397</v>
      </c>
    </row>
    <row r="342" spans="1:11" x14ac:dyDescent="0.2">
      <c r="A342" s="9" t="s">
        <v>11</v>
      </c>
      <c r="B342" s="31">
        <v>45083</v>
      </c>
      <c r="C342" s="10" t="s">
        <v>12</v>
      </c>
      <c r="D342" s="5">
        <v>49.24</v>
      </c>
      <c r="E342" s="5">
        <v>2442.25</v>
      </c>
      <c r="F342" s="32" t="s">
        <v>303</v>
      </c>
      <c r="G342" s="13">
        <f>AVERAGE(E342:E343)</f>
        <v>2443.69</v>
      </c>
      <c r="H342" s="18">
        <f>STDEV(E342:E343)</f>
        <v>2.036467529817334</v>
      </c>
      <c r="K342" s="5">
        <f>G342+$J$321</f>
        <v>2431.8249999999998</v>
      </c>
    </row>
    <row r="343" spans="1:11" x14ac:dyDescent="0.2">
      <c r="A343" s="9" t="s">
        <v>11</v>
      </c>
      <c r="B343" s="31">
        <v>45083</v>
      </c>
      <c r="C343" s="10" t="s">
        <v>12</v>
      </c>
      <c r="D343" s="5">
        <v>50.38</v>
      </c>
      <c r="E343" s="5">
        <v>2445.13</v>
      </c>
      <c r="F343" s="32" t="s">
        <v>304</v>
      </c>
    </row>
    <row r="344" spans="1:11" x14ac:dyDescent="0.2">
      <c r="A344" s="9" t="s">
        <v>11</v>
      </c>
      <c r="B344" s="31">
        <v>45083</v>
      </c>
      <c r="C344" s="10" t="s">
        <v>12</v>
      </c>
      <c r="D344" s="5">
        <v>50.66</v>
      </c>
      <c r="E344" s="5">
        <v>2465.79</v>
      </c>
      <c r="F344" s="32" t="s">
        <v>305</v>
      </c>
      <c r="G344" s="13">
        <f>AVERAGE(E344,E346)</f>
        <v>2464.0450000000001</v>
      </c>
      <c r="H344" s="18">
        <f>STDEV(E344,E346)</f>
        <v>2.4678026663408965</v>
      </c>
      <c r="K344" s="5">
        <f>G344+$J$321</f>
        <v>2452.1799999999998</v>
      </c>
    </row>
    <row r="345" spans="1:11" x14ac:dyDescent="0.2">
      <c r="A345" s="9" t="s">
        <v>11</v>
      </c>
      <c r="B345" s="31">
        <v>45083</v>
      </c>
      <c r="C345" s="10" t="s">
        <v>12</v>
      </c>
      <c r="D345" s="5">
        <v>50.38</v>
      </c>
      <c r="E345" s="14">
        <v>2473.2600000000002</v>
      </c>
      <c r="F345" s="32" t="s">
        <v>306</v>
      </c>
    </row>
    <row r="346" spans="1:11" x14ac:dyDescent="0.2">
      <c r="A346" s="9" t="s">
        <v>11</v>
      </c>
      <c r="B346" s="31">
        <v>45083</v>
      </c>
      <c r="C346" s="10" t="s">
        <v>12</v>
      </c>
      <c r="D346" s="5">
        <v>49.58</v>
      </c>
      <c r="E346" s="5">
        <v>2462.3000000000002</v>
      </c>
      <c r="F346" s="32" t="s">
        <v>307</v>
      </c>
    </row>
    <row r="347" spans="1:11" x14ac:dyDescent="0.2">
      <c r="A347" s="9" t="s">
        <v>11</v>
      </c>
      <c r="B347" s="31">
        <v>45083</v>
      </c>
      <c r="C347" s="10" t="s">
        <v>12</v>
      </c>
      <c r="D347" s="5">
        <v>48.57</v>
      </c>
      <c r="E347" s="5">
        <v>2592.0100000000002</v>
      </c>
      <c r="F347" s="32" t="s">
        <v>308</v>
      </c>
      <c r="G347" s="13">
        <f>AVERAGE(E348,E349)</f>
        <v>2479.8000000000002</v>
      </c>
      <c r="H347" s="18">
        <f>STDEV(E348,E349)</f>
        <v>3.2385490578343363</v>
      </c>
      <c r="K347" s="5">
        <f>G347+$J$321</f>
        <v>2467.9349999999999</v>
      </c>
    </row>
    <row r="348" spans="1:11" x14ac:dyDescent="0.2">
      <c r="A348" s="9" t="s">
        <v>11</v>
      </c>
      <c r="B348" s="31">
        <v>45083</v>
      </c>
      <c r="C348" s="10" t="s">
        <v>12</v>
      </c>
      <c r="D348" s="5">
        <v>48.07</v>
      </c>
      <c r="E348" s="5">
        <v>2477.5100000000002</v>
      </c>
      <c r="F348" s="32" t="s">
        <v>309</v>
      </c>
    </row>
    <row r="349" spans="1:11" x14ac:dyDescent="0.2">
      <c r="A349" s="9" t="s">
        <v>11</v>
      </c>
      <c r="B349" s="31">
        <v>45083</v>
      </c>
      <c r="C349" s="10" t="s">
        <v>12</v>
      </c>
      <c r="D349" s="5">
        <v>51.58</v>
      </c>
      <c r="E349" s="5">
        <v>2482.09</v>
      </c>
      <c r="F349" s="32" t="s">
        <v>398</v>
      </c>
    </row>
    <row r="350" spans="1:11" x14ac:dyDescent="0.2">
      <c r="A350" s="9" t="s">
        <v>11</v>
      </c>
      <c r="B350" s="31">
        <v>45083</v>
      </c>
      <c r="C350" s="10" t="s">
        <v>12</v>
      </c>
      <c r="D350" s="5">
        <v>49.59</v>
      </c>
      <c r="E350" s="5">
        <v>2471.12</v>
      </c>
      <c r="F350" s="32" t="s">
        <v>310</v>
      </c>
      <c r="G350" s="13">
        <f>AVERAGE(E350,E352)</f>
        <v>2473.2049999999999</v>
      </c>
      <c r="H350" s="18">
        <f>STDEV(E350,E352)</f>
        <v>2.9486352775479547</v>
      </c>
      <c r="K350" s="5">
        <f>G350+$J$321</f>
        <v>2461.3399999999997</v>
      </c>
    </row>
    <row r="351" spans="1:11" x14ac:dyDescent="0.2">
      <c r="A351" s="9" t="s">
        <v>11</v>
      </c>
      <c r="B351" s="31">
        <v>45083</v>
      </c>
      <c r="C351" s="10" t="s">
        <v>12</v>
      </c>
      <c r="D351" s="5">
        <v>49.61</v>
      </c>
      <c r="E351" s="14">
        <v>2442.16</v>
      </c>
      <c r="F351" s="32" t="s">
        <v>311</v>
      </c>
    </row>
    <row r="352" spans="1:11" x14ac:dyDescent="0.2">
      <c r="A352" s="9" t="s">
        <v>11</v>
      </c>
      <c r="B352" s="31">
        <v>45083</v>
      </c>
      <c r="C352" s="10" t="s">
        <v>12</v>
      </c>
      <c r="D352" s="5">
        <v>50.11</v>
      </c>
      <c r="E352" s="5">
        <v>2475.29</v>
      </c>
      <c r="F352" s="33" t="s">
        <v>312</v>
      </c>
    </row>
    <row r="353" spans="1:11" x14ac:dyDescent="0.2">
      <c r="A353" s="9" t="s">
        <v>11</v>
      </c>
      <c r="B353" s="31">
        <v>45083</v>
      </c>
      <c r="C353" s="10" t="s">
        <v>12</v>
      </c>
      <c r="D353" s="5">
        <v>50.48</v>
      </c>
      <c r="E353" s="14">
        <v>2497.66</v>
      </c>
      <c r="F353" s="32" t="s">
        <v>313</v>
      </c>
      <c r="G353" s="13">
        <f>AVERAGE(E354:E355)</f>
        <v>2475.91</v>
      </c>
      <c r="H353" s="18">
        <f>STDEV(E354:E355)</f>
        <v>1.5980613254814302</v>
      </c>
      <c r="K353" s="5">
        <f>G353+$J$321</f>
        <v>2464.0449999999996</v>
      </c>
    </row>
    <row r="354" spans="1:11" x14ac:dyDescent="0.2">
      <c r="A354" s="9" t="s">
        <v>11</v>
      </c>
      <c r="B354" s="31">
        <v>45083</v>
      </c>
      <c r="C354" s="10" t="s">
        <v>12</v>
      </c>
      <c r="D354" s="5">
        <v>51.38</v>
      </c>
      <c r="E354" s="5">
        <v>2474.7800000000002</v>
      </c>
      <c r="F354" s="32" t="s">
        <v>314</v>
      </c>
    </row>
    <row r="355" spans="1:11" x14ac:dyDescent="0.2">
      <c r="A355" s="9" t="s">
        <v>11</v>
      </c>
      <c r="B355" s="31">
        <v>45083</v>
      </c>
      <c r="C355" s="10" t="s">
        <v>12</v>
      </c>
      <c r="D355" s="5">
        <v>50.49</v>
      </c>
      <c r="E355" s="5">
        <v>2477.04</v>
      </c>
      <c r="F355" s="32" t="s">
        <v>399</v>
      </c>
    </row>
    <row r="356" spans="1:11" x14ac:dyDescent="0.2">
      <c r="A356" s="9" t="s">
        <v>11</v>
      </c>
      <c r="B356" s="31">
        <v>45083</v>
      </c>
      <c r="C356" s="10" t="s">
        <v>12</v>
      </c>
      <c r="D356" s="5">
        <v>50.73</v>
      </c>
      <c r="E356" s="5">
        <v>2478.58</v>
      </c>
      <c r="F356" s="32" t="s">
        <v>315</v>
      </c>
      <c r="G356" s="13">
        <f>AVERAGE(E356,E358)</f>
        <v>2481.125</v>
      </c>
      <c r="H356" s="18">
        <f>STDEV(E356,E358)</f>
        <v>3.5991735162396297</v>
      </c>
      <c r="K356" s="5">
        <f>G356+$J$321</f>
        <v>2469.2599999999998</v>
      </c>
    </row>
    <row r="357" spans="1:11" x14ac:dyDescent="0.2">
      <c r="A357" s="9" t="s">
        <v>11</v>
      </c>
      <c r="B357" s="31">
        <v>45083</v>
      </c>
      <c r="C357" s="10" t="s">
        <v>12</v>
      </c>
      <c r="D357" s="5">
        <v>48.76</v>
      </c>
      <c r="E357" s="14">
        <v>2462.1799999999998</v>
      </c>
      <c r="F357" s="32" t="s">
        <v>316</v>
      </c>
    </row>
    <row r="358" spans="1:11" x14ac:dyDescent="0.2">
      <c r="A358" s="9" t="s">
        <v>11</v>
      </c>
      <c r="B358" s="31">
        <v>45083</v>
      </c>
      <c r="C358" s="10" t="s">
        <v>12</v>
      </c>
      <c r="D358" s="5">
        <v>49.49</v>
      </c>
      <c r="E358" s="5">
        <v>2483.67</v>
      </c>
      <c r="F358" s="32" t="s">
        <v>317</v>
      </c>
    </row>
    <row r="359" spans="1:11" x14ac:dyDescent="0.2">
      <c r="A359" s="9" t="s">
        <v>11</v>
      </c>
      <c r="B359" s="31">
        <v>45083</v>
      </c>
      <c r="C359" s="10" t="s">
        <v>12</v>
      </c>
      <c r="D359" s="5">
        <v>49.57</v>
      </c>
      <c r="E359" s="5">
        <v>2419.6799999999998</v>
      </c>
      <c r="F359" s="32" t="s">
        <v>318</v>
      </c>
      <c r="G359" s="13">
        <f>AVERAGE(E359:E360)</f>
        <v>2421.96</v>
      </c>
      <c r="H359" s="18">
        <f>STDEV(E359:E360)</f>
        <v>3.2244069222106182</v>
      </c>
      <c r="K359" s="5">
        <f>G359+$J$321</f>
        <v>2410.0949999999998</v>
      </c>
    </row>
    <row r="360" spans="1:11" x14ac:dyDescent="0.2">
      <c r="A360" s="9" t="s">
        <v>11</v>
      </c>
      <c r="B360" s="31">
        <v>45083</v>
      </c>
      <c r="C360" s="10" t="s">
        <v>12</v>
      </c>
      <c r="D360" s="5">
        <v>49.37</v>
      </c>
      <c r="E360" s="5">
        <v>2424.2399999999998</v>
      </c>
      <c r="F360" s="32" t="s">
        <v>319</v>
      </c>
    </row>
    <row r="361" spans="1:11" x14ac:dyDescent="0.2">
      <c r="A361" s="9" t="s">
        <v>11</v>
      </c>
      <c r="B361" s="31">
        <v>45083</v>
      </c>
      <c r="C361" s="10" t="s">
        <v>12</v>
      </c>
      <c r="D361" s="5">
        <v>48.39</v>
      </c>
      <c r="E361" s="5">
        <v>2487.91</v>
      </c>
      <c r="F361" s="32" t="s">
        <v>320</v>
      </c>
      <c r="G361" s="13">
        <f>AVERAGE(E361,E363)</f>
        <v>2488.9749999999999</v>
      </c>
      <c r="H361" s="18">
        <f>STDEV(E361,E363)</f>
        <v>1.5061374439274233</v>
      </c>
      <c r="K361" s="5">
        <f>G361+$J$321</f>
        <v>2477.1099999999997</v>
      </c>
    </row>
    <row r="362" spans="1:11" x14ac:dyDescent="0.2">
      <c r="A362" s="9" t="s">
        <v>11</v>
      </c>
      <c r="B362" s="31">
        <v>45083</v>
      </c>
      <c r="C362" s="10" t="s">
        <v>12</v>
      </c>
      <c r="D362" s="5">
        <v>50.53</v>
      </c>
      <c r="E362" s="14">
        <v>2498.6999999999998</v>
      </c>
      <c r="F362" s="32" t="s">
        <v>321</v>
      </c>
    </row>
    <row r="363" spans="1:11" x14ac:dyDescent="0.2">
      <c r="A363" s="9" t="s">
        <v>11</v>
      </c>
      <c r="B363" s="31">
        <v>45083</v>
      </c>
      <c r="C363" s="10" t="s">
        <v>12</v>
      </c>
      <c r="D363" s="5">
        <v>50.24</v>
      </c>
      <c r="E363" s="5">
        <v>2490.04</v>
      </c>
      <c r="F363" s="32" t="s">
        <v>322</v>
      </c>
    </row>
    <row r="364" spans="1:11" x14ac:dyDescent="0.2">
      <c r="A364" s="9" t="s">
        <v>11</v>
      </c>
      <c r="B364" s="31">
        <v>45083</v>
      </c>
      <c r="C364" s="10" t="s">
        <v>12</v>
      </c>
      <c r="D364" s="5">
        <v>48.99</v>
      </c>
      <c r="E364" s="14">
        <v>2472.96</v>
      </c>
      <c r="F364" s="32" t="s">
        <v>323</v>
      </c>
      <c r="G364" s="13">
        <f>AVERAGE(E365:E366)</f>
        <v>2465.23</v>
      </c>
      <c r="H364" s="18">
        <f>STDEV(E365:E366)</f>
        <v>2.6587214972615731</v>
      </c>
      <c r="K364" s="5">
        <f>G364+$J$321</f>
        <v>2453.3649999999998</v>
      </c>
    </row>
    <row r="365" spans="1:11" x14ac:dyDescent="0.2">
      <c r="A365" s="9" t="s">
        <v>11</v>
      </c>
      <c r="B365" s="31">
        <v>45083</v>
      </c>
      <c r="C365" s="10" t="s">
        <v>12</v>
      </c>
      <c r="D365" s="5">
        <v>49.26</v>
      </c>
      <c r="E365" s="5">
        <v>2463.35</v>
      </c>
      <c r="F365" s="32" t="s">
        <v>324</v>
      </c>
    </row>
    <row r="366" spans="1:11" x14ac:dyDescent="0.2">
      <c r="A366" s="9" t="s">
        <v>11</v>
      </c>
      <c r="B366" s="31">
        <v>45083</v>
      </c>
      <c r="C366" s="10" t="s">
        <v>12</v>
      </c>
      <c r="D366" s="5">
        <v>49.75</v>
      </c>
      <c r="E366" s="5">
        <v>2467.11</v>
      </c>
      <c r="F366" s="32" t="s">
        <v>325</v>
      </c>
    </row>
    <row r="367" spans="1:11" x14ac:dyDescent="0.2">
      <c r="A367" s="9" t="s">
        <v>11</v>
      </c>
      <c r="B367" s="31">
        <v>45084</v>
      </c>
      <c r="C367" s="10" t="s">
        <v>12</v>
      </c>
      <c r="D367" s="5">
        <v>49.88</v>
      </c>
      <c r="E367" s="5">
        <v>2557.1799999999998</v>
      </c>
      <c r="F367" s="32" t="s">
        <v>326</v>
      </c>
      <c r="G367" s="13">
        <f>AVERAGE(E367,E369)</f>
        <v>2554.3850000000002</v>
      </c>
      <c r="H367" s="18">
        <f>STDEV(E367,E369)</f>
        <v>3.9527269068325821</v>
      </c>
      <c r="K367" s="5">
        <f>G367+$J$383</f>
        <v>2557.395</v>
      </c>
    </row>
    <row r="368" spans="1:11" x14ac:dyDescent="0.2">
      <c r="A368" s="9" t="s">
        <v>11</v>
      </c>
      <c r="B368" s="31">
        <v>45084</v>
      </c>
      <c r="C368" s="10" t="s">
        <v>12</v>
      </c>
      <c r="D368" s="5">
        <v>49.71</v>
      </c>
      <c r="E368" s="14">
        <v>2569.42</v>
      </c>
      <c r="F368" s="32" t="s">
        <v>327</v>
      </c>
    </row>
    <row r="369" spans="1:12" x14ac:dyDescent="0.2">
      <c r="A369" s="9" t="s">
        <v>11</v>
      </c>
      <c r="B369" s="31">
        <v>45084</v>
      </c>
      <c r="C369" s="10" t="s">
        <v>12</v>
      </c>
      <c r="D369" s="5">
        <v>50.58</v>
      </c>
      <c r="E369" s="5">
        <v>2551.59</v>
      </c>
      <c r="F369" s="32" t="s">
        <v>328</v>
      </c>
    </row>
    <row r="370" spans="1:12" x14ac:dyDescent="0.2">
      <c r="A370" s="9" t="s">
        <v>11</v>
      </c>
      <c r="B370" s="31">
        <v>45084</v>
      </c>
      <c r="C370" s="10" t="s">
        <v>12</v>
      </c>
      <c r="D370" s="5">
        <v>49.55</v>
      </c>
      <c r="E370" s="5">
        <v>2526.6799999999998</v>
      </c>
      <c r="F370" s="32" t="s">
        <v>329</v>
      </c>
      <c r="G370" s="13">
        <f>AVERAGE(E370:E371)</f>
        <v>2528.5249999999996</v>
      </c>
      <c r="H370" s="18">
        <f>STDEV(E370:E371)</f>
        <v>2.6092240225783989</v>
      </c>
      <c r="K370" s="5">
        <f>G370+$J$383</f>
        <v>2531.5349999999994</v>
      </c>
    </row>
    <row r="371" spans="1:12" x14ac:dyDescent="0.2">
      <c r="A371" s="9" t="s">
        <v>11</v>
      </c>
      <c r="B371" s="31">
        <v>45084</v>
      </c>
      <c r="C371" s="10" t="s">
        <v>12</v>
      </c>
      <c r="D371" s="5">
        <v>50.17</v>
      </c>
      <c r="E371" s="5">
        <v>2530.37</v>
      </c>
      <c r="F371" s="32" t="s">
        <v>330</v>
      </c>
    </row>
    <row r="372" spans="1:12" x14ac:dyDescent="0.2">
      <c r="A372" s="9" t="s">
        <v>11</v>
      </c>
      <c r="B372" s="31">
        <v>45084</v>
      </c>
      <c r="C372" s="10" t="s">
        <v>12</v>
      </c>
      <c r="D372" s="5">
        <v>50.25</v>
      </c>
      <c r="E372" s="14">
        <v>2551.3000000000002</v>
      </c>
      <c r="F372" s="32" t="s">
        <v>331</v>
      </c>
      <c r="G372" s="13">
        <f>AVERAGE(E373:E374)</f>
        <v>2560.7350000000001</v>
      </c>
      <c r="H372" s="18">
        <f>STDEV(E373:E374)</f>
        <v>1.7041273426594767</v>
      </c>
      <c r="K372" s="5">
        <f>G372+$J$383</f>
        <v>2563.7449999999999</v>
      </c>
    </row>
    <row r="373" spans="1:12" x14ac:dyDescent="0.2">
      <c r="A373" s="9" t="s">
        <v>11</v>
      </c>
      <c r="B373" s="31">
        <v>45084</v>
      </c>
      <c r="C373" s="10" t="s">
        <v>12</v>
      </c>
      <c r="D373" s="5">
        <v>50.42</v>
      </c>
      <c r="E373" s="5">
        <v>2559.5300000000002</v>
      </c>
      <c r="F373" s="32" t="s">
        <v>332</v>
      </c>
    </row>
    <row r="374" spans="1:12" x14ac:dyDescent="0.2">
      <c r="A374" s="9" t="s">
        <v>11</v>
      </c>
      <c r="B374" s="31">
        <v>45084</v>
      </c>
      <c r="C374" s="10" t="s">
        <v>12</v>
      </c>
      <c r="D374" s="5">
        <v>51.75</v>
      </c>
      <c r="E374" s="5">
        <v>2561.94</v>
      </c>
      <c r="F374" s="32" t="s">
        <v>333</v>
      </c>
    </row>
    <row r="375" spans="1:12" x14ac:dyDescent="0.2">
      <c r="A375" s="9" t="s">
        <v>11</v>
      </c>
      <c r="B375" s="31">
        <v>45084</v>
      </c>
      <c r="C375" s="10" t="s">
        <v>12</v>
      </c>
      <c r="D375" s="5">
        <v>50.52</v>
      </c>
      <c r="E375" s="5">
        <v>2550.35</v>
      </c>
      <c r="F375" s="32" t="s">
        <v>334</v>
      </c>
      <c r="G375" s="13">
        <f>AVERAGE(E376:E376)</f>
        <v>2547.5500000000002</v>
      </c>
      <c r="H375" s="18">
        <f>STDEV(E375:E376)</f>
        <v>1.9798989873221402</v>
      </c>
      <c r="K375" s="5">
        <f>G375+$J$383</f>
        <v>2550.56</v>
      </c>
    </row>
    <row r="376" spans="1:12" x14ac:dyDescent="0.2">
      <c r="A376" s="9" t="s">
        <v>11</v>
      </c>
      <c r="B376" s="31">
        <v>45084</v>
      </c>
      <c r="C376" s="10" t="s">
        <v>12</v>
      </c>
      <c r="D376" s="5">
        <v>50.42</v>
      </c>
      <c r="E376" s="5">
        <v>2547.5500000000002</v>
      </c>
      <c r="F376" s="32" t="s">
        <v>335</v>
      </c>
    </row>
    <row r="377" spans="1:12" x14ac:dyDescent="0.2">
      <c r="A377" s="9" t="s">
        <v>11</v>
      </c>
      <c r="B377" s="31">
        <v>45084</v>
      </c>
      <c r="C377" s="10" t="s">
        <v>12</v>
      </c>
      <c r="D377" s="5">
        <v>49.88</v>
      </c>
      <c r="E377" s="14" t="s">
        <v>153</v>
      </c>
      <c r="F377" s="32" t="s">
        <v>336</v>
      </c>
      <c r="G377" s="13">
        <f>AVERAGE(E378:E379)</f>
        <v>2530.77</v>
      </c>
      <c r="H377" s="18">
        <f>STDEV(E378:E379)</f>
        <v>1.2869343417593107</v>
      </c>
      <c r="K377" s="5">
        <f>G377+$J$383</f>
        <v>2533.7799999999997</v>
      </c>
    </row>
    <row r="378" spans="1:12" x14ac:dyDescent="0.2">
      <c r="A378" s="9" t="s">
        <v>11</v>
      </c>
      <c r="B378" s="31">
        <v>45084</v>
      </c>
      <c r="C378" s="10" t="s">
        <v>12</v>
      </c>
      <c r="D378" s="5">
        <v>50.59</v>
      </c>
      <c r="E378" s="5">
        <v>2529.86</v>
      </c>
      <c r="F378" s="32" t="s">
        <v>337</v>
      </c>
    </row>
    <row r="379" spans="1:12" x14ac:dyDescent="0.2">
      <c r="A379" s="9" t="s">
        <v>11</v>
      </c>
      <c r="B379" s="31">
        <v>45084</v>
      </c>
      <c r="C379" s="10" t="s">
        <v>12</v>
      </c>
      <c r="D379" s="5">
        <v>50.92</v>
      </c>
      <c r="E379" s="5">
        <v>2531.6799999999998</v>
      </c>
      <c r="F379" s="32" t="s">
        <v>338</v>
      </c>
    </row>
    <row r="380" spans="1:12" x14ac:dyDescent="0.2">
      <c r="A380" s="9" t="s">
        <v>11</v>
      </c>
      <c r="B380" s="31">
        <v>45084</v>
      </c>
      <c r="C380" s="10" t="s">
        <v>12</v>
      </c>
      <c r="D380" s="5">
        <v>49.68</v>
      </c>
      <c r="E380" s="5">
        <v>2544.84</v>
      </c>
      <c r="F380" s="32" t="s">
        <v>339</v>
      </c>
      <c r="G380" s="13">
        <f>AVERAGE(E380,E382)</f>
        <v>2546.91</v>
      </c>
      <c r="H380" s="18">
        <f>STDEV(E380,E382)</f>
        <v>2.9274220741122168</v>
      </c>
      <c r="K380" s="5">
        <f>G380+$J$383</f>
        <v>2549.9199999999996</v>
      </c>
    </row>
    <row r="381" spans="1:12" x14ac:dyDescent="0.2">
      <c r="A381" s="9" t="s">
        <v>11</v>
      </c>
      <c r="B381" s="31">
        <v>45084</v>
      </c>
      <c r="C381" s="10" t="s">
        <v>12</v>
      </c>
      <c r="D381" s="5">
        <v>50.52</v>
      </c>
      <c r="E381" s="14">
        <v>2560.81</v>
      </c>
      <c r="F381" s="32" t="s">
        <v>340</v>
      </c>
    </row>
    <row r="382" spans="1:12" x14ac:dyDescent="0.2">
      <c r="A382" s="9" t="s">
        <v>11</v>
      </c>
      <c r="B382" s="31">
        <v>45084</v>
      </c>
      <c r="C382" s="10" t="s">
        <v>12</v>
      </c>
      <c r="D382" s="5">
        <v>51.62</v>
      </c>
      <c r="E382" s="5">
        <v>2548.98</v>
      </c>
      <c r="F382" s="32" t="s">
        <v>341</v>
      </c>
    </row>
    <row r="383" spans="1:12" x14ac:dyDescent="0.2">
      <c r="A383" s="9" t="s">
        <v>11</v>
      </c>
      <c r="B383" s="31">
        <v>45084</v>
      </c>
      <c r="C383" s="25" t="s">
        <v>12</v>
      </c>
      <c r="D383" s="14">
        <v>50.58</v>
      </c>
      <c r="E383" s="14">
        <v>2251.12</v>
      </c>
      <c r="F383" s="16" t="s">
        <v>8</v>
      </c>
      <c r="G383" s="13">
        <f>AVERAGE(E384:E385)</f>
        <v>2223.4300000000003</v>
      </c>
      <c r="H383" s="18">
        <f>STDEV(E384:E385)</f>
        <v>0.22627416997981095</v>
      </c>
      <c r="I383" s="3">
        <v>2226.44</v>
      </c>
      <c r="J383" s="4">
        <f>I383-G383</f>
        <v>3.0099999999997635</v>
      </c>
      <c r="K383" s="5">
        <f>G383+J383</f>
        <v>2226.44</v>
      </c>
      <c r="L383" s="2" t="s">
        <v>94</v>
      </c>
    </row>
    <row r="384" spans="1:12" x14ac:dyDescent="0.2">
      <c r="A384" s="9" t="s">
        <v>11</v>
      </c>
      <c r="B384" s="31">
        <v>45084</v>
      </c>
      <c r="C384" s="10" t="s">
        <v>12</v>
      </c>
      <c r="D384" s="5">
        <v>49.7</v>
      </c>
      <c r="E384" s="5">
        <v>2223.27</v>
      </c>
      <c r="F384" s="16" t="s">
        <v>9</v>
      </c>
    </row>
    <row r="385" spans="1:11" x14ac:dyDescent="0.2">
      <c r="A385" s="9" t="s">
        <v>11</v>
      </c>
      <c r="B385" s="31">
        <v>45084</v>
      </c>
      <c r="C385" s="10" t="s">
        <v>12</v>
      </c>
      <c r="D385" s="5">
        <v>48.62</v>
      </c>
      <c r="E385" s="5">
        <v>2223.59</v>
      </c>
      <c r="F385" s="17" t="s">
        <v>96</v>
      </c>
    </row>
    <row r="386" spans="1:11" x14ac:dyDescent="0.2">
      <c r="A386" s="9" t="s">
        <v>11</v>
      </c>
      <c r="B386" s="31">
        <v>45084</v>
      </c>
      <c r="C386" s="10" t="s">
        <v>12</v>
      </c>
      <c r="D386" s="5">
        <v>50.21</v>
      </c>
      <c r="E386" s="5">
        <v>2556.63</v>
      </c>
      <c r="F386" s="32" t="s">
        <v>342</v>
      </c>
      <c r="G386" s="13">
        <f>AVERAGE(E386:E387)</f>
        <v>2556.88</v>
      </c>
      <c r="H386" s="18">
        <f>STDEV(E386:E387)</f>
        <v>0.35355339059327379</v>
      </c>
      <c r="K386" s="5">
        <f>G386+$J$383</f>
        <v>2559.89</v>
      </c>
    </row>
    <row r="387" spans="1:11" x14ac:dyDescent="0.2">
      <c r="A387" s="9" t="s">
        <v>11</v>
      </c>
      <c r="B387" s="31">
        <v>45084</v>
      </c>
      <c r="C387" s="10" t="s">
        <v>12</v>
      </c>
      <c r="D387" s="5">
        <v>51.83</v>
      </c>
      <c r="E387" s="5">
        <v>2557.13</v>
      </c>
      <c r="F387" s="32" t="s">
        <v>343</v>
      </c>
    </row>
    <row r="388" spans="1:11" x14ac:dyDescent="0.2">
      <c r="A388" s="9" t="s">
        <v>11</v>
      </c>
      <c r="B388" s="31">
        <v>45084</v>
      </c>
      <c r="C388" s="10" t="s">
        <v>12</v>
      </c>
      <c r="D388" s="5">
        <v>49.33</v>
      </c>
      <c r="E388" s="5">
        <v>2576.39</v>
      </c>
      <c r="F388" s="32" t="s">
        <v>344</v>
      </c>
      <c r="G388" s="13">
        <f>AVERAGE(E388:E389)</f>
        <v>2575.5500000000002</v>
      </c>
      <c r="H388" s="18">
        <f>STDEV(E388:E389)</f>
        <v>1.1879393923932842</v>
      </c>
      <c r="K388" s="5">
        <f>G388+$J$383</f>
        <v>2578.56</v>
      </c>
    </row>
    <row r="389" spans="1:11" x14ac:dyDescent="0.2">
      <c r="A389" s="9" t="s">
        <v>11</v>
      </c>
      <c r="B389" s="31">
        <v>45084</v>
      </c>
      <c r="C389" s="10" t="s">
        <v>12</v>
      </c>
      <c r="D389" s="5">
        <v>51.19</v>
      </c>
      <c r="E389" s="5">
        <v>2574.71</v>
      </c>
      <c r="F389" s="32" t="s">
        <v>345</v>
      </c>
    </row>
    <row r="390" spans="1:11" x14ac:dyDescent="0.2">
      <c r="A390" s="9" t="s">
        <v>11</v>
      </c>
      <c r="B390" s="31">
        <v>45084</v>
      </c>
      <c r="C390" s="10" t="s">
        <v>12</v>
      </c>
      <c r="D390" s="5">
        <v>50.11</v>
      </c>
      <c r="E390" s="5">
        <v>2584.3000000000002</v>
      </c>
      <c r="F390" s="32" t="s">
        <v>346</v>
      </c>
      <c r="G390" s="13">
        <f>AVERAGE(E390:E391)</f>
        <v>2586.9949999999999</v>
      </c>
      <c r="H390" s="18">
        <f>STDEV(E390:E391)</f>
        <v>3.8113055505954012</v>
      </c>
      <c r="K390" s="5">
        <f>G390+$J$383</f>
        <v>2590.0049999999997</v>
      </c>
    </row>
    <row r="391" spans="1:11" x14ac:dyDescent="0.2">
      <c r="A391" s="9" t="s">
        <v>11</v>
      </c>
      <c r="B391" s="31">
        <v>45084</v>
      </c>
      <c r="C391" s="10" t="s">
        <v>12</v>
      </c>
      <c r="D391" s="5">
        <v>51.16</v>
      </c>
      <c r="E391" s="5">
        <v>2589.69</v>
      </c>
      <c r="F391" s="32" t="s">
        <v>347</v>
      </c>
    </row>
    <row r="392" spans="1:11" x14ac:dyDescent="0.2">
      <c r="A392" s="9" t="s">
        <v>11</v>
      </c>
      <c r="B392" s="31">
        <v>45084</v>
      </c>
      <c r="C392" s="10" t="s">
        <v>12</v>
      </c>
      <c r="D392" s="5">
        <v>51.03</v>
      </c>
      <c r="E392" s="14">
        <v>2580.5300000000002</v>
      </c>
      <c r="F392" s="32" t="s">
        <v>348</v>
      </c>
      <c r="G392" s="13">
        <f>AVERAGE(E393:E394)</f>
        <v>2592.87</v>
      </c>
      <c r="H392" s="18">
        <f>STDEV(E393:E394)</f>
        <v>4.2426406871192848</v>
      </c>
      <c r="K392" s="5">
        <f>G392+$J$383</f>
        <v>2595.8799999999997</v>
      </c>
    </row>
    <row r="393" spans="1:11" x14ac:dyDescent="0.2">
      <c r="A393" s="9" t="s">
        <v>11</v>
      </c>
      <c r="B393" s="31">
        <v>45084</v>
      </c>
      <c r="C393" s="10" t="s">
        <v>12</v>
      </c>
      <c r="D393" s="5">
        <v>49.23</v>
      </c>
      <c r="E393" s="5">
        <v>2595.87</v>
      </c>
      <c r="F393" s="32" t="s">
        <v>349</v>
      </c>
    </row>
    <row r="394" spans="1:11" x14ac:dyDescent="0.2">
      <c r="A394" s="9" t="s">
        <v>11</v>
      </c>
      <c r="B394" s="31">
        <v>45084</v>
      </c>
      <c r="C394" s="10" t="s">
        <v>12</v>
      </c>
      <c r="D394" s="5">
        <v>51.58</v>
      </c>
      <c r="E394" s="5">
        <v>2589.87</v>
      </c>
      <c r="F394" s="32" t="s">
        <v>350</v>
      </c>
    </row>
    <row r="395" spans="1:11" x14ac:dyDescent="0.2">
      <c r="A395" s="9" t="s">
        <v>11</v>
      </c>
      <c r="B395" s="31">
        <v>45084</v>
      </c>
      <c r="C395" s="10" t="s">
        <v>12</v>
      </c>
      <c r="D395" s="5">
        <v>51.53</v>
      </c>
      <c r="E395" s="14">
        <v>2539.8200000000002</v>
      </c>
      <c r="F395" s="32" t="s">
        <v>351</v>
      </c>
      <c r="G395" s="13">
        <f>AVERAGE(E396:E397)</f>
        <v>2556.105</v>
      </c>
      <c r="H395" s="18">
        <f>STDEV(E396:E397)</f>
        <v>1.2374368670764582</v>
      </c>
      <c r="K395" s="5">
        <f>G395+$J$383</f>
        <v>2559.1149999999998</v>
      </c>
    </row>
    <row r="396" spans="1:11" x14ac:dyDescent="0.2">
      <c r="A396" s="9" t="s">
        <v>11</v>
      </c>
      <c r="B396" s="31">
        <v>45084</v>
      </c>
      <c r="C396" s="10" t="s">
        <v>12</v>
      </c>
      <c r="D396" s="5">
        <v>51.05</v>
      </c>
      <c r="E396" s="5">
        <v>2555.23</v>
      </c>
      <c r="F396" s="32" t="s">
        <v>352</v>
      </c>
    </row>
    <row r="397" spans="1:11" x14ac:dyDescent="0.2">
      <c r="A397" s="9" t="s">
        <v>11</v>
      </c>
      <c r="B397" s="31">
        <v>45084</v>
      </c>
      <c r="C397" s="10" t="s">
        <v>12</v>
      </c>
      <c r="D397" s="5">
        <v>49.5</v>
      </c>
      <c r="E397" s="5">
        <v>2556.98</v>
      </c>
      <c r="F397" s="32" t="s">
        <v>353</v>
      </c>
    </row>
    <row r="398" spans="1:11" x14ac:dyDescent="0.2">
      <c r="A398" s="9" t="s">
        <v>11</v>
      </c>
      <c r="B398" s="31">
        <v>45084</v>
      </c>
      <c r="C398" s="10" t="s">
        <v>12</v>
      </c>
      <c r="D398" s="5">
        <v>50.5</v>
      </c>
      <c r="E398" s="5">
        <v>2573.62</v>
      </c>
      <c r="F398" s="32" t="s">
        <v>354</v>
      </c>
      <c r="G398" s="13">
        <f>AVERAGE(E398:E399)</f>
        <v>2571.7150000000001</v>
      </c>
      <c r="H398" s="18">
        <f>STDEV(E398:E399)</f>
        <v>2.6940768363207073</v>
      </c>
      <c r="K398" s="5">
        <f>G398+$J$416</f>
        <v>2568.17</v>
      </c>
    </row>
    <row r="399" spans="1:11" x14ac:dyDescent="0.2">
      <c r="A399" s="9" t="s">
        <v>11</v>
      </c>
      <c r="B399" s="31">
        <v>45084</v>
      </c>
      <c r="C399" s="10" t="s">
        <v>12</v>
      </c>
      <c r="D399" s="5">
        <v>50.84</v>
      </c>
      <c r="E399" s="5">
        <v>2569.81</v>
      </c>
      <c r="F399" s="32" t="s">
        <v>355</v>
      </c>
    </row>
    <row r="400" spans="1:11" x14ac:dyDescent="0.2">
      <c r="A400" s="9" t="s">
        <v>11</v>
      </c>
      <c r="B400" s="31">
        <v>45084</v>
      </c>
      <c r="C400" s="10" t="s">
        <v>12</v>
      </c>
      <c r="D400" s="5">
        <v>50.26</v>
      </c>
      <c r="E400" s="5">
        <v>2594.35</v>
      </c>
      <c r="F400" s="32" t="s">
        <v>356</v>
      </c>
      <c r="G400" s="13">
        <f>AVERAGE(E400:E401)</f>
        <v>2591.81</v>
      </c>
      <c r="H400" s="18">
        <f>STDEV(E400:E401)</f>
        <v>3.5921024484276098</v>
      </c>
      <c r="K400" s="5">
        <f>G400+$J$416</f>
        <v>2588.2649999999999</v>
      </c>
    </row>
    <row r="401" spans="1:12" x14ac:dyDescent="0.2">
      <c r="A401" s="9" t="s">
        <v>11</v>
      </c>
      <c r="B401" s="31">
        <v>45084</v>
      </c>
      <c r="C401" s="10" t="s">
        <v>12</v>
      </c>
      <c r="D401" s="5">
        <v>49.6</v>
      </c>
      <c r="E401" s="5">
        <v>2589.27</v>
      </c>
      <c r="F401" s="32" t="s">
        <v>357</v>
      </c>
    </row>
    <row r="402" spans="1:12" x14ac:dyDescent="0.2">
      <c r="A402" s="9" t="s">
        <v>11</v>
      </c>
      <c r="B402" s="31">
        <v>45084</v>
      </c>
      <c r="C402" s="10" t="s">
        <v>12</v>
      </c>
      <c r="D402" s="5">
        <v>51.72</v>
      </c>
      <c r="E402" s="5">
        <v>2514.4699999999998</v>
      </c>
      <c r="F402" s="32" t="s">
        <v>358</v>
      </c>
      <c r="G402" s="13">
        <f>AVERAGE(E402:E403)</f>
        <v>2516.3199999999997</v>
      </c>
      <c r="H402" s="18">
        <f>STDEV(E402:E403)</f>
        <v>2.6162950903904187</v>
      </c>
      <c r="K402" s="5">
        <f>G402+$J$416</f>
        <v>2512.7749999999996</v>
      </c>
    </row>
    <row r="403" spans="1:12" x14ac:dyDescent="0.2">
      <c r="A403" s="9" t="s">
        <v>11</v>
      </c>
      <c r="B403" s="31">
        <v>45084</v>
      </c>
      <c r="C403" s="10" t="s">
        <v>12</v>
      </c>
      <c r="D403" s="5">
        <v>51.74</v>
      </c>
      <c r="E403" s="5">
        <v>2518.17</v>
      </c>
      <c r="F403" s="32" t="s">
        <v>359</v>
      </c>
    </row>
    <row r="404" spans="1:12" x14ac:dyDescent="0.2">
      <c r="A404" s="9" t="s">
        <v>11</v>
      </c>
      <c r="B404" s="31">
        <v>45084</v>
      </c>
      <c r="C404" s="10" t="s">
        <v>12</v>
      </c>
      <c r="D404" s="5">
        <v>49.45</v>
      </c>
      <c r="E404" s="5">
        <v>2490.7600000000002</v>
      </c>
      <c r="F404" s="32" t="s">
        <v>360</v>
      </c>
      <c r="G404" s="13">
        <f>AVERAGE(E404:E405)</f>
        <v>2488.5450000000001</v>
      </c>
      <c r="H404" s="18">
        <f>STDEV(E404:E405)</f>
        <v>3.1324830406566115</v>
      </c>
      <c r="K404" s="5">
        <f>G404+$J$416</f>
        <v>2485</v>
      </c>
    </row>
    <row r="405" spans="1:12" x14ac:dyDescent="0.2">
      <c r="A405" s="9" t="s">
        <v>11</v>
      </c>
      <c r="B405" s="31">
        <v>45084</v>
      </c>
      <c r="C405" s="10" t="s">
        <v>12</v>
      </c>
      <c r="D405" s="5">
        <v>48.52</v>
      </c>
      <c r="E405" s="5">
        <v>2486.33</v>
      </c>
      <c r="F405" s="32" t="s">
        <v>361</v>
      </c>
    </row>
    <row r="406" spans="1:12" x14ac:dyDescent="0.2">
      <c r="A406" s="9" t="s">
        <v>11</v>
      </c>
      <c r="B406" s="31">
        <v>45084</v>
      </c>
      <c r="C406" s="10" t="s">
        <v>12</v>
      </c>
      <c r="D406" s="5">
        <v>49.99</v>
      </c>
      <c r="E406" s="5">
        <v>2513.06</v>
      </c>
      <c r="F406" s="32" t="s">
        <v>362</v>
      </c>
      <c r="G406" s="13">
        <f>AVERAGE(E406,E408)</f>
        <v>2511.98</v>
      </c>
      <c r="H406" s="18">
        <f>STDEV(E406,E408)</f>
        <v>1.5273506473628398</v>
      </c>
      <c r="K406" s="5">
        <f>G406+$J$416</f>
        <v>2508.4349999999999</v>
      </c>
    </row>
    <row r="407" spans="1:12" x14ac:dyDescent="0.2">
      <c r="A407" s="9" t="s">
        <v>11</v>
      </c>
      <c r="B407" s="31">
        <v>45084</v>
      </c>
      <c r="C407" s="10" t="s">
        <v>12</v>
      </c>
      <c r="D407" s="5">
        <v>50.87</v>
      </c>
      <c r="E407" s="14">
        <v>2533.81</v>
      </c>
      <c r="F407" s="32" t="s">
        <v>363</v>
      </c>
    </row>
    <row r="408" spans="1:12" x14ac:dyDescent="0.2">
      <c r="A408" s="9" t="s">
        <v>11</v>
      </c>
      <c r="B408" s="31">
        <v>45084</v>
      </c>
      <c r="C408" s="10" t="s">
        <v>12</v>
      </c>
      <c r="D408" s="5">
        <v>51.54</v>
      </c>
      <c r="E408" s="5">
        <v>2510.9</v>
      </c>
      <c r="F408" s="32" t="s">
        <v>364</v>
      </c>
    </row>
    <row r="409" spans="1:12" x14ac:dyDescent="0.2">
      <c r="A409" s="9" t="s">
        <v>11</v>
      </c>
      <c r="B409" s="31">
        <v>45084</v>
      </c>
      <c r="C409" s="10" t="s">
        <v>12</v>
      </c>
      <c r="D409" s="5">
        <v>50.5</v>
      </c>
      <c r="E409" s="5">
        <v>2499.86</v>
      </c>
      <c r="F409" s="32" t="s">
        <v>365</v>
      </c>
      <c r="G409" s="13">
        <f>AVERAGE(E409:E410)</f>
        <v>2497.8200000000002</v>
      </c>
      <c r="H409" s="18">
        <f>STDEV(E409:E410)</f>
        <v>2.8849956672410624</v>
      </c>
      <c r="K409" s="5">
        <f>G409+$J$416</f>
        <v>2494.2750000000001</v>
      </c>
    </row>
    <row r="410" spans="1:12" x14ac:dyDescent="0.2">
      <c r="A410" s="9" t="s">
        <v>11</v>
      </c>
      <c r="B410" s="31">
        <v>45084</v>
      </c>
      <c r="C410" s="10" t="s">
        <v>12</v>
      </c>
      <c r="D410" s="5">
        <v>50.06</v>
      </c>
      <c r="E410" s="5">
        <v>2495.7800000000002</v>
      </c>
      <c r="F410" s="32" t="s">
        <v>366</v>
      </c>
    </row>
    <row r="411" spans="1:12" x14ac:dyDescent="0.2">
      <c r="A411" s="9" t="s">
        <v>11</v>
      </c>
      <c r="B411" s="31">
        <v>45084</v>
      </c>
      <c r="C411" s="10" t="s">
        <v>12</v>
      </c>
      <c r="D411" s="5">
        <v>48.51</v>
      </c>
      <c r="E411" s="5">
        <v>2479.17</v>
      </c>
      <c r="F411" s="32" t="s">
        <v>367</v>
      </c>
      <c r="G411" s="13">
        <f>AVERAGE(E411,E413)</f>
        <v>2478.7849999999999</v>
      </c>
      <c r="H411" s="18">
        <f>STDEV(E411,E413)</f>
        <v>0.54447222151362873</v>
      </c>
      <c r="K411" s="5">
        <f>G411+$J$416</f>
        <v>2475.2399999999998</v>
      </c>
    </row>
    <row r="412" spans="1:12" x14ac:dyDescent="0.2">
      <c r="A412" s="9" t="s">
        <v>11</v>
      </c>
      <c r="B412" s="31">
        <v>45084</v>
      </c>
      <c r="C412" s="10" t="s">
        <v>12</v>
      </c>
      <c r="D412" s="5">
        <v>51.31</v>
      </c>
      <c r="E412" s="14">
        <v>2468.9299999999998</v>
      </c>
      <c r="F412" s="32" t="s">
        <v>368</v>
      </c>
    </row>
    <row r="413" spans="1:12" x14ac:dyDescent="0.2">
      <c r="A413" s="9" t="s">
        <v>11</v>
      </c>
      <c r="B413" s="31">
        <v>45084</v>
      </c>
      <c r="C413" s="10" t="s">
        <v>12</v>
      </c>
      <c r="D413" s="5">
        <v>50.57</v>
      </c>
      <c r="E413" s="5">
        <v>2478.4</v>
      </c>
      <c r="F413" s="32" t="s">
        <v>369</v>
      </c>
    </row>
    <row r="414" spans="1:12" x14ac:dyDescent="0.2">
      <c r="A414" s="9" t="s">
        <v>11</v>
      </c>
      <c r="B414" s="31">
        <v>45084</v>
      </c>
      <c r="C414" s="10" t="s">
        <v>12</v>
      </c>
      <c r="D414" s="5">
        <v>49.44</v>
      </c>
      <c r="E414" s="5">
        <v>2491.2600000000002</v>
      </c>
      <c r="F414" s="32" t="s">
        <v>370</v>
      </c>
      <c r="G414" s="13">
        <f>AVERAGE(E414:E415)</f>
        <v>2489.59</v>
      </c>
      <c r="H414" s="18">
        <f>STDEV(E414:E415)</f>
        <v>2.3617366491631717</v>
      </c>
      <c r="K414" s="5">
        <f>G414+$J$416</f>
        <v>2486.0450000000001</v>
      </c>
    </row>
    <row r="415" spans="1:12" x14ac:dyDescent="0.2">
      <c r="A415" s="9" t="s">
        <v>11</v>
      </c>
      <c r="B415" s="31">
        <v>45084</v>
      </c>
      <c r="C415" s="25" t="s">
        <v>12</v>
      </c>
      <c r="D415" s="5">
        <v>49.95</v>
      </c>
      <c r="E415" s="5">
        <v>2487.92</v>
      </c>
      <c r="F415" s="32" t="s">
        <v>371</v>
      </c>
    </row>
    <row r="416" spans="1:12" x14ac:dyDescent="0.2">
      <c r="A416" s="9" t="s">
        <v>11</v>
      </c>
      <c r="B416" s="31">
        <v>45084</v>
      </c>
      <c r="C416" s="10" t="s">
        <v>12</v>
      </c>
      <c r="D416" s="5">
        <v>49.82</v>
      </c>
      <c r="E416" s="5">
        <v>2228.86</v>
      </c>
      <c r="F416" s="16" t="s">
        <v>8</v>
      </c>
      <c r="G416" s="13">
        <f>AVERAGE(E416:E417)</f>
        <v>2229.9850000000001</v>
      </c>
      <c r="H416" s="18">
        <f>STDEV(E416:E417)</f>
        <v>1.5909902576697319</v>
      </c>
      <c r="I416" s="3">
        <v>2226.44</v>
      </c>
      <c r="J416" s="4">
        <f>I416-G416</f>
        <v>-3.5450000000000728</v>
      </c>
      <c r="K416" s="5">
        <f>G416+J416</f>
        <v>2226.44</v>
      </c>
      <c r="L416" s="2" t="s">
        <v>94</v>
      </c>
    </row>
    <row r="417" spans="1:11" x14ac:dyDescent="0.2">
      <c r="A417" s="9" t="s">
        <v>11</v>
      </c>
      <c r="B417" s="31">
        <v>45084</v>
      </c>
      <c r="C417" s="10" t="s">
        <v>12</v>
      </c>
      <c r="D417" s="5">
        <v>49.88</v>
      </c>
      <c r="E417" s="5">
        <v>2231.11</v>
      </c>
      <c r="F417" s="16" t="s">
        <v>9</v>
      </c>
    </row>
    <row r="418" spans="1:11" x14ac:dyDescent="0.2">
      <c r="A418" s="9" t="s">
        <v>11</v>
      </c>
      <c r="B418" s="31">
        <v>45084</v>
      </c>
      <c r="C418" s="10" t="s">
        <v>12</v>
      </c>
      <c r="D418" s="5">
        <v>51.7</v>
      </c>
      <c r="E418" s="5">
        <v>2515.06</v>
      </c>
      <c r="F418" s="32" t="s">
        <v>372</v>
      </c>
      <c r="G418" s="13">
        <f>AVERAGE(E418:E419)</f>
        <v>2516.9949999999999</v>
      </c>
      <c r="H418" s="18">
        <f>STDEV(E418:E419)</f>
        <v>2.7365032431918617</v>
      </c>
      <c r="K418" s="5">
        <f>G418+$J$416</f>
        <v>2513.4499999999998</v>
      </c>
    </row>
    <row r="419" spans="1:11" x14ac:dyDescent="0.2">
      <c r="A419" s="9" t="s">
        <v>11</v>
      </c>
      <c r="B419" s="31">
        <v>45084</v>
      </c>
      <c r="C419" s="10" t="s">
        <v>12</v>
      </c>
      <c r="D419" s="5">
        <v>48.83</v>
      </c>
      <c r="E419" s="5">
        <v>2518.9299999999998</v>
      </c>
      <c r="F419" s="32" t="s">
        <v>373</v>
      </c>
    </row>
    <row r="420" spans="1:11" x14ac:dyDescent="0.2">
      <c r="A420" s="9" t="s">
        <v>11</v>
      </c>
      <c r="B420" s="31">
        <v>45084</v>
      </c>
      <c r="C420" s="10" t="s">
        <v>12</v>
      </c>
      <c r="D420" s="5">
        <v>51.1</v>
      </c>
      <c r="E420" s="5">
        <v>2466.9699999999998</v>
      </c>
      <c r="F420" s="32" t="s">
        <v>374</v>
      </c>
      <c r="G420" s="13">
        <f>AVERAGE(E421:E421)</f>
        <v>2462.84</v>
      </c>
      <c r="H420" s="18">
        <f>STDEV(E420:E421)</f>
        <v>2.9203510063001969</v>
      </c>
      <c r="K420" s="5">
        <f>G420+$J$416</f>
        <v>2459.2950000000001</v>
      </c>
    </row>
    <row r="421" spans="1:11" x14ac:dyDescent="0.2">
      <c r="A421" s="9" t="s">
        <v>11</v>
      </c>
      <c r="B421" s="31">
        <v>45084</v>
      </c>
      <c r="C421" s="10" t="s">
        <v>12</v>
      </c>
      <c r="D421" s="5">
        <v>51.15</v>
      </c>
      <c r="E421" s="5">
        <v>2462.84</v>
      </c>
      <c r="F421" s="32" t="s">
        <v>375</v>
      </c>
    </row>
    <row r="422" spans="1:11" x14ac:dyDescent="0.2">
      <c r="A422" s="9" t="s">
        <v>11</v>
      </c>
      <c r="B422" s="31">
        <v>45084</v>
      </c>
      <c r="C422" s="10" t="s">
        <v>12</v>
      </c>
      <c r="D422" s="5">
        <v>51.92</v>
      </c>
      <c r="E422" s="14">
        <v>2482.7199999999998</v>
      </c>
      <c r="F422" s="32" t="s">
        <v>376</v>
      </c>
      <c r="G422" s="13">
        <f>AVERAGE(E423,E424)</f>
        <v>2469.04</v>
      </c>
      <c r="H422" s="18">
        <f>STDEV(E423,E424)</f>
        <v>0.93338095116603692</v>
      </c>
      <c r="K422" s="5">
        <f>G422+$J$416</f>
        <v>2465.4949999999999</v>
      </c>
    </row>
    <row r="423" spans="1:11" x14ac:dyDescent="0.2">
      <c r="A423" s="9" t="s">
        <v>11</v>
      </c>
      <c r="B423" s="31">
        <v>45084</v>
      </c>
      <c r="C423" s="10" t="s">
        <v>12</v>
      </c>
      <c r="D423" s="5">
        <v>50.84</v>
      </c>
      <c r="E423" s="5">
        <v>2469.6999999999998</v>
      </c>
      <c r="F423" s="32" t="s">
        <v>377</v>
      </c>
    </row>
    <row r="424" spans="1:11" x14ac:dyDescent="0.2">
      <c r="A424" s="9" t="s">
        <v>11</v>
      </c>
      <c r="B424" s="31">
        <v>45084</v>
      </c>
      <c r="C424" s="10" t="s">
        <v>12</v>
      </c>
      <c r="D424" s="5">
        <v>50.31</v>
      </c>
      <c r="E424" s="5">
        <v>2468.38</v>
      </c>
      <c r="F424" s="32" t="s">
        <v>548</v>
      </c>
    </row>
    <row r="425" spans="1:11" x14ac:dyDescent="0.2">
      <c r="A425" s="9" t="s">
        <v>11</v>
      </c>
      <c r="B425" s="31">
        <v>45084</v>
      </c>
      <c r="C425" s="10" t="s">
        <v>12</v>
      </c>
      <c r="D425" s="5">
        <v>50.21</v>
      </c>
      <c r="E425" s="5">
        <v>2531.21</v>
      </c>
      <c r="F425" s="32" t="s">
        <v>378</v>
      </c>
      <c r="G425" s="13">
        <f>AVERAGE(E425:E426)</f>
        <v>2530.1999999999998</v>
      </c>
      <c r="H425" s="18">
        <f>STDEV(E425:E426)</f>
        <v>1.4283556979968131</v>
      </c>
      <c r="K425" s="5">
        <f>G425+$J$416</f>
        <v>2526.6549999999997</v>
      </c>
    </row>
    <row r="426" spans="1:11" x14ac:dyDescent="0.2">
      <c r="A426" s="9" t="s">
        <v>11</v>
      </c>
      <c r="B426" s="31">
        <v>45084</v>
      </c>
      <c r="C426" s="10" t="s">
        <v>12</v>
      </c>
      <c r="D426" s="5">
        <v>49</v>
      </c>
      <c r="E426" s="5">
        <v>2529.19</v>
      </c>
      <c r="F426" s="32" t="s">
        <v>379</v>
      </c>
    </row>
    <row r="427" spans="1:11" x14ac:dyDescent="0.2">
      <c r="A427" s="9" t="s">
        <v>11</v>
      </c>
      <c r="B427" s="31">
        <v>45084</v>
      </c>
      <c r="C427" s="10" t="s">
        <v>12</v>
      </c>
      <c r="D427" s="5">
        <v>50.45</v>
      </c>
      <c r="E427" s="14">
        <v>2532.96</v>
      </c>
      <c r="F427" s="32" t="s">
        <v>380</v>
      </c>
      <c r="G427" s="13">
        <f>AVERAGE(E428:E429)</f>
        <v>2524.16</v>
      </c>
      <c r="H427" s="18">
        <f>STDEV(E428:E429)</f>
        <v>0.77781745930513801</v>
      </c>
      <c r="K427" s="5">
        <f>G427+$J$416</f>
        <v>2520.6149999999998</v>
      </c>
    </row>
    <row r="428" spans="1:11" x14ac:dyDescent="0.2">
      <c r="A428" s="9" t="s">
        <v>11</v>
      </c>
      <c r="B428" s="31">
        <v>45084</v>
      </c>
      <c r="C428" s="10" t="s">
        <v>12</v>
      </c>
      <c r="D428" s="5">
        <v>50.65</v>
      </c>
      <c r="E428" s="5">
        <v>2523.61</v>
      </c>
      <c r="F428" s="32" t="s">
        <v>381</v>
      </c>
    </row>
    <row r="429" spans="1:11" x14ac:dyDescent="0.2">
      <c r="A429" s="9" t="s">
        <v>11</v>
      </c>
      <c r="B429" s="31">
        <v>45084</v>
      </c>
      <c r="C429" s="10" t="s">
        <v>12</v>
      </c>
      <c r="D429" s="5">
        <v>50.46</v>
      </c>
      <c r="E429" s="5">
        <v>2524.71</v>
      </c>
      <c r="F429" s="32" t="s">
        <v>382</v>
      </c>
    </row>
    <row r="430" spans="1:11" x14ac:dyDescent="0.2">
      <c r="A430" s="9" t="s">
        <v>11</v>
      </c>
      <c r="B430" s="31">
        <v>45084</v>
      </c>
      <c r="C430" s="10" t="s">
        <v>12</v>
      </c>
      <c r="D430" s="5">
        <v>50.39</v>
      </c>
      <c r="E430" s="14">
        <v>2520.41</v>
      </c>
      <c r="F430" s="32" t="s">
        <v>383</v>
      </c>
      <c r="G430" s="13">
        <f>AVERAGE(E431:E432)</f>
        <v>2533.335</v>
      </c>
      <c r="H430" s="18">
        <f>STDEV(E431:E432)</f>
        <v>3.5284628381207179</v>
      </c>
      <c r="K430" s="5">
        <f>G430+$J$416</f>
        <v>2529.79</v>
      </c>
    </row>
    <row r="431" spans="1:11" x14ac:dyDescent="0.2">
      <c r="A431" s="9" t="s">
        <v>11</v>
      </c>
      <c r="B431" s="31">
        <v>45084</v>
      </c>
      <c r="C431" s="10" t="s">
        <v>12</v>
      </c>
      <c r="D431" s="5">
        <v>51.18</v>
      </c>
      <c r="E431" s="5">
        <v>2535.83</v>
      </c>
      <c r="F431" s="32" t="s">
        <v>384</v>
      </c>
    </row>
    <row r="432" spans="1:11" x14ac:dyDescent="0.2">
      <c r="A432" s="9" t="s">
        <v>11</v>
      </c>
      <c r="B432" s="31">
        <v>45084</v>
      </c>
      <c r="C432" s="10" t="s">
        <v>12</v>
      </c>
      <c r="D432" s="5">
        <v>51.83</v>
      </c>
      <c r="E432" s="5">
        <v>2530.84</v>
      </c>
      <c r="F432" s="32" t="s">
        <v>549</v>
      </c>
    </row>
    <row r="433" spans="1:12" x14ac:dyDescent="0.2">
      <c r="A433" s="9" t="s">
        <v>11</v>
      </c>
      <c r="B433" s="31">
        <v>45084</v>
      </c>
      <c r="C433" s="10" t="s">
        <v>12</v>
      </c>
      <c r="D433" s="5">
        <v>49.91</v>
      </c>
      <c r="E433" s="5">
        <v>2534.2199999999998</v>
      </c>
      <c r="F433" s="32" t="s">
        <v>385</v>
      </c>
      <c r="G433" s="13">
        <f>AVERAGE(E434:E435)</f>
        <v>2544.9250000000002</v>
      </c>
      <c r="H433" s="18">
        <f>STDEV(E434:E435)</f>
        <v>3.0759144981614175</v>
      </c>
      <c r="K433" s="5">
        <f>G433+$J$416</f>
        <v>2541.38</v>
      </c>
    </row>
    <row r="434" spans="1:12" x14ac:dyDescent="0.2">
      <c r="A434" s="9" t="s">
        <v>11</v>
      </c>
      <c r="B434" s="31">
        <v>45084</v>
      </c>
      <c r="C434" s="10" t="s">
        <v>12</v>
      </c>
      <c r="D434" s="5">
        <v>51.17</v>
      </c>
      <c r="E434" s="5">
        <v>2542.75</v>
      </c>
      <c r="F434" s="32" t="s">
        <v>386</v>
      </c>
    </row>
    <row r="435" spans="1:12" x14ac:dyDescent="0.2">
      <c r="A435" s="9" t="s">
        <v>11</v>
      </c>
      <c r="B435" s="31">
        <v>45084</v>
      </c>
      <c r="C435" s="10" t="s">
        <v>12</v>
      </c>
      <c r="D435" s="5">
        <v>49.69</v>
      </c>
      <c r="E435" s="5">
        <v>2547.1</v>
      </c>
      <c r="F435" s="32" t="s">
        <v>387</v>
      </c>
    </row>
    <row r="436" spans="1:12" x14ac:dyDescent="0.2">
      <c r="A436" s="9" t="s">
        <v>11</v>
      </c>
      <c r="B436" s="31">
        <v>45084</v>
      </c>
      <c r="C436" s="10" t="s">
        <v>12</v>
      </c>
      <c r="D436" s="5">
        <v>50.1</v>
      </c>
      <c r="E436" s="5">
        <v>2569.34</v>
      </c>
      <c r="F436" s="32" t="s">
        <v>388</v>
      </c>
      <c r="G436" s="13">
        <f>AVERAGE(E436:E437)</f>
        <v>2566.46</v>
      </c>
      <c r="H436" s="18">
        <f>STDEV(E436:E437)</f>
        <v>4.0729350596346681</v>
      </c>
      <c r="K436" s="5">
        <f>G436+$J$416</f>
        <v>2562.915</v>
      </c>
    </row>
    <row r="437" spans="1:12" x14ac:dyDescent="0.2">
      <c r="A437" s="9" t="s">
        <v>11</v>
      </c>
      <c r="B437" s="31">
        <v>45084</v>
      </c>
      <c r="C437" s="10" t="s">
        <v>12</v>
      </c>
      <c r="D437" s="5">
        <v>49.88</v>
      </c>
      <c r="E437" s="5">
        <v>2563.58</v>
      </c>
      <c r="F437" s="32" t="s">
        <v>389</v>
      </c>
    </row>
    <row r="438" spans="1:12" x14ac:dyDescent="0.2">
      <c r="A438" s="9" t="s">
        <v>11</v>
      </c>
      <c r="B438" s="31">
        <v>45084</v>
      </c>
      <c r="C438" s="10" t="s">
        <v>12</v>
      </c>
      <c r="D438" s="5">
        <v>51.1</v>
      </c>
      <c r="E438" s="5">
        <v>2561.7600000000002</v>
      </c>
      <c r="F438" s="32" t="s">
        <v>390</v>
      </c>
      <c r="G438" s="13">
        <f>AVERAGE(E438,E440)</f>
        <v>2560.17</v>
      </c>
      <c r="H438" s="18">
        <f>STDEV(E438,E440)</f>
        <v>2.2485995641734267</v>
      </c>
      <c r="K438" s="5">
        <f>G438+$J$416</f>
        <v>2556.625</v>
      </c>
    </row>
    <row r="439" spans="1:12" x14ac:dyDescent="0.2">
      <c r="A439" s="9" t="s">
        <v>11</v>
      </c>
      <c r="B439" s="31">
        <v>45084</v>
      </c>
      <c r="C439" s="10" t="s">
        <v>12</v>
      </c>
      <c r="D439" s="5">
        <v>49.35</v>
      </c>
      <c r="E439" s="14">
        <v>2571.4699999999998</v>
      </c>
      <c r="F439" s="32" t="s">
        <v>391</v>
      </c>
    </row>
    <row r="440" spans="1:12" x14ac:dyDescent="0.2">
      <c r="A440" s="9" t="s">
        <v>11</v>
      </c>
      <c r="B440" s="31">
        <v>45084</v>
      </c>
      <c r="C440" s="10" t="s">
        <v>12</v>
      </c>
      <c r="D440" s="5">
        <v>50.39</v>
      </c>
      <c r="E440" s="5">
        <v>2558.58</v>
      </c>
      <c r="F440" s="32" t="s">
        <v>392</v>
      </c>
    </row>
    <row r="441" spans="1:12" x14ac:dyDescent="0.2">
      <c r="A441" s="9" t="s">
        <v>11</v>
      </c>
      <c r="B441" s="31">
        <v>45090</v>
      </c>
      <c r="C441" s="10" t="s">
        <v>12</v>
      </c>
      <c r="D441" s="5">
        <v>50.05</v>
      </c>
      <c r="E441" s="14">
        <v>2312.7800000000002</v>
      </c>
      <c r="F441" s="16" t="s">
        <v>8</v>
      </c>
      <c r="G441" s="13">
        <f>AVERAGE(E442,E443)</f>
        <v>2232.69</v>
      </c>
      <c r="H441" s="18">
        <f>STDEV(E442,E443)</f>
        <v>2.9698484809833712</v>
      </c>
      <c r="I441" s="3">
        <v>2226.44</v>
      </c>
      <c r="J441" s="4">
        <f>I441-G441</f>
        <v>-6.25</v>
      </c>
      <c r="K441" s="5">
        <f>G441+J441</f>
        <v>2226.44</v>
      </c>
      <c r="L441" s="2" t="s">
        <v>94</v>
      </c>
    </row>
    <row r="442" spans="1:12" x14ac:dyDescent="0.2">
      <c r="A442" s="9" t="s">
        <v>11</v>
      </c>
      <c r="B442" s="31">
        <v>45090</v>
      </c>
      <c r="C442" s="10" t="s">
        <v>12</v>
      </c>
      <c r="D442" s="5">
        <v>48.78</v>
      </c>
      <c r="E442" s="5">
        <v>2230.59</v>
      </c>
      <c r="F442" s="16" t="s">
        <v>9</v>
      </c>
    </row>
    <row r="443" spans="1:12" x14ac:dyDescent="0.2">
      <c r="A443" s="9" t="s">
        <v>11</v>
      </c>
      <c r="B443" s="31">
        <v>45090</v>
      </c>
      <c r="C443" s="10" t="s">
        <v>12</v>
      </c>
      <c r="D443" s="5">
        <v>51.78</v>
      </c>
      <c r="E443" s="5">
        <v>2234.79</v>
      </c>
      <c r="F443" s="16" t="s">
        <v>96</v>
      </c>
    </row>
    <row r="444" spans="1:12" x14ac:dyDescent="0.2">
      <c r="A444" s="9" t="s">
        <v>11</v>
      </c>
      <c r="B444" s="31">
        <v>45090</v>
      </c>
      <c r="C444" s="10" t="s">
        <v>12</v>
      </c>
      <c r="D444" s="5">
        <v>49.72</v>
      </c>
      <c r="E444" s="5">
        <v>2797.88</v>
      </c>
      <c r="F444" s="16" t="s">
        <v>461</v>
      </c>
      <c r="G444" s="13">
        <f>AVERAGE(E444,E446)</f>
        <v>2794.82</v>
      </c>
      <c r="H444" s="18">
        <f>STDEV(E444,E446)</f>
        <v>4.3274935008615936</v>
      </c>
      <c r="K444" s="5">
        <f>G444+$J$416</f>
        <v>2791.2750000000001</v>
      </c>
    </row>
    <row r="445" spans="1:12" x14ac:dyDescent="0.2">
      <c r="A445" s="9" t="s">
        <v>11</v>
      </c>
      <c r="B445" s="31">
        <v>45090</v>
      </c>
      <c r="C445" s="10" t="s">
        <v>12</v>
      </c>
      <c r="D445" s="5">
        <v>48.28</v>
      </c>
      <c r="E445" s="14">
        <v>2892.7</v>
      </c>
      <c r="F445" s="16" t="s">
        <v>462</v>
      </c>
    </row>
    <row r="446" spans="1:12" x14ac:dyDescent="0.2">
      <c r="A446" s="9" t="s">
        <v>11</v>
      </c>
      <c r="B446" s="31">
        <v>45090</v>
      </c>
      <c r="C446" s="10" t="s">
        <v>12</v>
      </c>
      <c r="D446" s="5">
        <v>50.26</v>
      </c>
      <c r="E446" s="5">
        <v>2791.76</v>
      </c>
      <c r="F446" s="16" t="s">
        <v>463</v>
      </c>
    </row>
    <row r="447" spans="1:12" x14ac:dyDescent="0.2">
      <c r="A447" s="9" t="s">
        <v>11</v>
      </c>
      <c r="B447" s="31">
        <v>45090</v>
      </c>
      <c r="C447" s="10" t="s">
        <v>12</v>
      </c>
      <c r="D447" s="5">
        <v>50.21</v>
      </c>
      <c r="E447" s="14">
        <v>2776.09</v>
      </c>
      <c r="F447" s="16" t="s">
        <v>464</v>
      </c>
      <c r="G447" s="13">
        <f>AVERAGE(E448,E449)</f>
        <v>2792.2950000000001</v>
      </c>
      <c r="H447" s="18">
        <f>STDEV(E448,E449)</f>
        <v>3.995153313704058</v>
      </c>
      <c r="K447" s="5">
        <f>G447+$J$416</f>
        <v>2788.75</v>
      </c>
    </row>
    <row r="448" spans="1:12" x14ac:dyDescent="0.2">
      <c r="A448" s="9" t="s">
        <v>11</v>
      </c>
      <c r="B448" s="31">
        <v>45090</v>
      </c>
      <c r="C448" s="10" t="s">
        <v>12</v>
      </c>
      <c r="D448" s="5">
        <v>48.31</v>
      </c>
      <c r="E448" s="5">
        <v>2789.47</v>
      </c>
      <c r="F448" s="16" t="s">
        <v>465</v>
      </c>
    </row>
    <row r="449" spans="1:11" x14ac:dyDescent="0.2">
      <c r="A449" s="9" t="s">
        <v>11</v>
      </c>
      <c r="B449" s="31">
        <v>45090</v>
      </c>
      <c r="C449" s="10" t="s">
        <v>12</v>
      </c>
      <c r="D449" s="5">
        <v>51.2</v>
      </c>
      <c r="E449" s="5">
        <v>2795.12</v>
      </c>
      <c r="F449" s="16" t="s">
        <v>466</v>
      </c>
    </row>
    <row r="450" spans="1:11" x14ac:dyDescent="0.2">
      <c r="A450" s="9" t="s">
        <v>11</v>
      </c>
      <c r="B450" s="31">
        <v>45090</v>
      </c>
      <c r="C450" s="10" t="s">
        <v>12</v>
      </c>
      <c r="D450" s="5">
        <v>50.61</v>
      </c>
      <c r="E450" s="5">
        <v>2738.11</v>
      </c>
      <c r="F450" s="16" t="s">
        <v>400</v>
      </c>
      <c r="G450" s="13">
        <f>AVERAGE(E451,E450)</f>
        <v>2736.45</v>
      </c>
      <c r="H450" s="18">
        <f>STDEV(E451,E450)</f>
        <v>2.3475945135394536</v>
      </c>
      <c r="K450" s="5">
        <f>G450+$J$416</f>
        <v>2732.9049999999997</v>
      </c>
    </row>
    <row r="451" spans="1:11" x14ac:dyDescent="0.2">
      <c r="A451" s="9" t="s">
        <v>11</v>
      </c>
      <c r="B451" s="31">
        <v>45090</v>
      </c>
      <c r="C451" s="10" t="s">
        <v>12</v>
      </c>
      <c r="D451" s="5">
        <v>50.35</v>
      </c>
      <c r="E451" s="5">
        <v>2734.79</v>
      </c>
      <c r="F451" s="16" t="s">
        <v>401</v>
      </c>
    </row>
    <row r="452" spans="1:11" x14ac:dyDescent="0.2">
      <c r="A452" s="9" t="s">
        <v>11</v>
      </c>
      <c r="B452" s="31">
        <v>45090</v>
      </c>
      <c r="C452" s="10" t="s">
        <v>12</v>
      </c>
      <c r="D452" s="5">
        <v>51.43</v>
      </c>
      <c r="E452" s="5">
        <v>2773.66</v>
      </c>
      <c r="F452" s="16" t="s">
        <v>402</v>
      </c>
      <c r="G452" s="13">
        <f>AVERAGE(E452:E453)</f>
        <v>2775.7049999999999</v>
      </c>
      <c r="H452" s="18">
        <f>STDEV(E452:E453)</f>
        <v>2.8920667350530822</v>
      </c>
      <c r="K452" s="5">
        <f>G452+$J$416</f>
        <v>2772.16</v>
      </c>
    </row>
    <row r="453" spans="1:11" x14ac:dyDescent="0.2">
      <c r="A453" s="9" t="s">
        <v>11</v>
      </c>
      <c r="B453" s="31">
        <v>45090</v>
      </c>
      <c r="C453" s="10" t="s">
        <v>12</v>
      </c>
      <c r="D453" s="5">
        <v>51.73</v>
      </c>
      <c r="E453" s="5">
        <v>2777.75</v>
      </c>
      <c r="F453" s="16" t="s">
        <v>403</v>
      </c>
    </row>
    <row r="454" spans="1:11" x14ac:dyDescent="0.2">
      <c r="A454" s="9" t="s">
        <v>152</v>
      </c>
      <c r="B454" s="31">
        <v>45091</v>
      </c>
      <c r="C454" s="10" t="s">
        <v>12</v>
      </c>
      <c r="D454" s="5">
        <v>53.38</v>
      </c>
      <c r="E454" s="14">
        <v>2759.05</v>
      </c>
      <c r="F454" s="16" t="s">
        <v>404</v>
      </c>
      <c r="G454" s="13">
        <f>AVERAGE(E455,E456)</f>
        <v>2765.8450000000003</v>
      </c>
      <c r="H454" s="18">
        <f>STDEV(E455,E456)</f>
        <v>1.8879751057678118</v>
      </c>
      <c r="K454" s="5">
        <f>G454+$J$472</f>
        <v>2756.5550000000003</v>
      </c>
    </row>
    <row r="455" spans="1:11" x14ac:dyDescent="0.2">
      <c r="A455" s="9" t="s">
        <v>152</v>
      </c>
      <c r="B455" s="31">
        <v>45091</v>
      </c>
      <c r="C455" s="10" t="s">
        <v>12</v>
      </c>
      <c r="D455" s="5">
        <v>54.79</v>
      </c>
      <c r="E455" s="5">
        <v>2764.51</v>
      </c>
      <c r="F455" s="16" t="s">
        <v>405</v>
      </c>
    </row>
    <row r="456" spans="1:11" x14ac:dyDescent="0.2">
      <c r="A456" s="9" t="s">
        <v>152</v>
      </c>
      <c r="B456" s="31">
        <v>45091</v>
      </c>
      <c r="C456" s="10" t="s">
        <v>12</v>
      </c>
      <c r="D456" s="5">
        <v>50.74</v>
      </c>
      <c r="E456" s="5">
        <v>2767.18</v>
      </c>
      <c r="F456" s="16" t="s">
        <v>406</v>
      </c>
    </row>
    <row r="457" spans="1:11" x14ac:dyDescent="0.2">
      <c r="A457" s="9" t="s">
        <v>152</v>
      </c>
      <c r="B457" s="31">
        <v>45091</v>
      </c>
      <c r="C457" s="10" t="s">
        <v>12</v>
      </c>
      <c r="D457" s="5">
        <v>52.02</v>
      </c>
      <c r="E457" s="5">
        <v>2799.11</v>
      </c>
      <c r="F457" s="16" t="s">
        <v>407</v>
      </c>
      <c r="G457" s="13">
        <f>AVERAGE(E457,E459)</f>
        <v>2795.8500000000004</v>
      </c>
      <c r="H457" s="18">
        <f>STDEV(E457,E459)</f>
        <v>4.6103362133362769</v>
      </c>
      <c r="K457" s="5">
        <f>G457+$J$472</f>
        <v>2786.5600000000004</v>
      </c>
    </row>
    <row r="458" spans="1:11" x14ac:dyDescent="0.2">
      <c r="A458" s="9" t="s">
        <v>152</v>
      </c>
      <c r="B458" s="31">
        <v>45091</v>
      </c>
      <c r="C458" s="10" t="s">
        <v>12</v>
      </c>
      <c r="D458" s="5">
        <v>49.72</v>
      </c>
      <c r="E458" s="14">
        <v>2776.97</v>
      </c>
      <c r="F458" s="16" t="s">
        <v>408</v>
      </c>
    </row>
    <row r="459" spans="1:11" x14ac:dyDescent="0.2">
      <c r="A459" s="9" t="s">
        <v>152</v>
      </c>
      <c r="B459" s="31">
        <v>45091</v>
      </c>
      <c r="C459" s="10" t="s">
        <v>12</v>
      </c>
      <c r="D459" s="5">
        <v>52.05</v>
      </c>
      <c r="E459" s="5">
        <v>2792.59</v>
      </c>
      <c r="F459" s="16" t="s">
        <v>409</v>
      </c>
    </row>
    <row r="460" spans="1:11" x14ac:dyDescent="0.2">
      <c r="A460" s="9" t="s">
        <v>152</v>
      </c>
      <c r="B460" s="31">
        <v>45091</v>
      </c>
      <c r="C460" s="10" t="s">
        <v>12</v>
      </c>
      <c r="D460" s="5">
        <v>49.12</v>
      </c>
      <c r="E460" s="5">
        <v>2820.28</v>
      </c>
      <c r="F460" s="16" t="s">
        <v>410</v>
      </c>
      <c r="G460" s="13">
        <f>AVERAGE(E460,E462)</f>
        <v>2816.7449999999999</v>
      </c>
      <c r="H460" s="18">
        <f>STDEV(E460,E462)</f>
        <v>4.9992449429890069</v>
      </c>
      <c r="K460" s="5">
        <f>G460+$J$472</f>
        <v>2807.4549999999999</v>
      </c>
    </row>
    <row r="461" spans="1:11" x14ac:dyDescent="0.2">
      <c r="A461" s="9" t="s">
        <v>152</v>
      </c>
      <c r="B461" s="31">
        <v>45091</v>
      </c>
      <c r="C461" s="10" t="s">
        <v>12</v>
      </c>
      <c r="D461" s="5">
        <v>50.75</v>
      </c>
      <c r="E461" s="14">
        <v>2805.14</v>
      </c>
      <c r="F461" s="16" t="s">
        <v>411</v>
      </c>
    </row>
    <row r="462" spans="1:11" x14ac:dyDescent="0.2">
      <c r="A462" s="9" t="s">
        <v>152</v>
      </c>
      <c r="B462" s="31">
        <v>45091</v>
      </c>
      <c r="C462" s="10" t="s">
        <v>12</v>
      </c>
      <c r="D462" s="5">
        <v>53.14</v>
      </c>
      <c r="E462" s="5">
        <v>2813.21</v>
      </c>
      <c r="F462" s="16" t="s">
        <v>412</v>
      </c>
    </row>
    <row r="463" spans="1:11" x14ac:dyDescent="0.2">
      <c r="A463" s="9" t="s">
        <v>152</v>
      </c>
      <c r="B463" s="31">
        <v>45091</v>
      </c>
      <c r="C463" s="10" t="s">
        <v>12</v>
      </c>
      <c r="D463" s="5">
        <v>47.87</v>
      </c>
      <c r="E463" s="5">
        <v>2834.96</v>
      </c>
      <c r="F463" s="16" t="s">
        <v>413</v>
      </c>
      <c r="G463" s="13">
        <f>AVERAGE(E463,E464,E465)</f>
        <v>2835.0566666666668</v>
      </c>
      <c r="H463" s="18">
        <f>STDEV(E463,E464,E465)</f>
        <v>4.4457882690626178</v>
      </c>
      <c r="K463" s="5">
        <f>G463+$J$472</f>
        <v>2825.7666666666669</v>
      </c>
    </row>
    <row r="464" spans="1:11" x14ac:dyDescent="0.2">
      <c r="A464" s="9" t="s">
        <v>152</v>
      </c>
      <c r="B464" s="31">
        <v>45091</v>
      </c>
      <c r="C464" s="10" t="s">
        <v>12</v>
      </c>
      <c r="D464" s="5">
        <v>52.1</v>
      </c>
      <c r="E464" s="5">
        <v>2830.66</v>
      </c>
      <c r="F464" s="16" t="s">
        <v>414</v>
      </c>
    </row>
    <row r="465" spans="1:12" x14ac:dyDescent="0.2">
      <c r="A465" s="9" t="s">
        <v>152</v>
      </c>
      <c r="B465" s="31">
        <v>45091</v>
      </c>
      <c r="C465" s="10" t="s">
        <v>12</v>
      </c>
      <c r="D465" s="5">
        <v>49.24</v>
      </c>
      <c r="E465" s="5">
        <v>2839.55</v>
      </c>
      <c r="F465" s="16" t="s">
        <v>415</v>
      </c>
    </row>
    <row r="466" spans="1:12" x14ac:dyDescent="0.2">
      <c r="A466" s="9" t="s">
        <v>152</v>
      </c>
      <c r="B466" s="31">
        <v>45091</v>
      </c>
      <c r="C466" s="10" t="s">
        <v>12</v>
      </c>
      <c r="D466" s="5">
        <v>53.72</v>
      </c>
      <c r="E466" s="5">
        <v>2817.37</v>
      </c>
      <c r="F466" s="16" t="s">
        <v>416</v>
      </c>
      <c r="G466" s="13">
        <f>AVERAGE(E466,E468)</f>
        <v>2818.42</v>
      </c>
      <c r="H466" s="18">
        <f>STDEV(E466,E468)</f>
        <v>1.4849242404916856</v>
      </c>
      <c r="K466" s="5">
        <f>G466+$J$472</f>
        <v>2809.13</v>
      </c>
    </row>
    <row r="467" spans="1:12" x14ac:dyDescent="0.2">
      <c r="A467" s="9" t="s">
        <v>152</v>
      </c>
      <c r="B467" s="31">
        <v>45091</v>
      </c>
      <c r="C467" s="10" t="s">
        <v>12</v>
      </c>
      <c r="D467" s="5">
        <v>50.92</v>
      </c>
      <c r="E467" s="14">
        <v>2802.53</v>
      </c>
      <c r="F467" s="16" t="s">
        <v>417</v>
      </c>
    </row>
    <row r="468" spans="1:12" x14ac:dyDescent="0.2">
      <c r="A468" s="9" t="s">
        <v>152</v>
      </c>
      <c r="B468" s="31">
        <v>45091</v>
      </c>
      <c r="C468" s="10" t="s">
        <v>12</v>
      </c>
      <c r="D468" s="5">
        <v>52.46</v>
      </c>
      <c r="E468" s="5">
        <v>2819.47</v>
      </c>
      <c r="F468" s="16" t="s">
        <v>418</v>
      </c>
    </row>
    <row r="469" spans="1:12" x14ac:dyDescent="0.2">
      <c r="A469" s="9" t="s">
        <v>152</v>
      </c>
      <c r="B469" s="31">
        <v>45091</v>
      </c>
      <c r="C469" s="10" t="s">
        <v>12</v>
      </c>
      <c r="D469" s="5">
        <v>54.89</v>
      </c>
      <c r="E469" s="5">
        <v>2796.16</v>
      </c>
      <c r="F469" s="16" t="s">
        <v>419</v>
      </c>
      <c r="G469" s="13">
        <f>AVERAGE(E469,E471)</f>
        <v>2797.2049999999999</v>
      </c>
      <c r="H469" s="18">
        <f>STDEV(E469,E471)</f>
        <v>1.4778531726799873</v>
      </c>
      <c r="K469" s="5">
        <f>G469+$J$472</f>
        <v>2787.915</v>
      </c>
    </row>
    <row r="470" spans="1:12" x14ac:dyDescent="0.2">
      <c r="A470" s="9" t="s">
        <v>152</v>
      </c>
      <c r="B470" s="31">
        <v>45091</v>
      </c>
      <c r="C470" s="10" t="s">
        <v>12</v>
      </c>
      <c r="D470" s="5">
        <v>53.11</v>
      </c>
      <c r="E470" s="14">
        <v>2788.74</v>
      </c>
      <c r="F470" s="16" t="s">
        <v>420</v>
      </c>
    </row>
    <row r="471" spans="1:12" x14ac:dyDescent="0.2">
      <c r="A471" s="9" t="s">
        <v>152</v>
      </c>
      <c r="B471" s="31">
        <v>45091</v>
      </c>
      <c r="C471" s="10" t="s">
        <v>12</v>
      </c>
      <c r="D471" s="5">
        <v>48.88</v>
      </c>
      <c r="E471" s="5">
        <v>2798.25</v>
      </c>
      <c r="F471" s="16" t="s">
        <v>421</v>
      </c>
    </row>
    <row r="472" spans="1:12" x14ac:dyDescent="0.2">
      <c r="A472" s="9" t="s">
        <v>152</v>
      </c>
      <c r="B472" s="31">
        <v>45091</v>
      </c>
      <c r="C472" s="10" t="s">
        <v>12</v>
      </c>
      <c r="D472" s="5">
        <v>54.11</v>
      </c>
      <c r="E472" s="5">
        <v>2234.58</v>
      </c>
      <c r="F472" s="16" t="s">
        <v>8</v>
      </c>
      <c r="G472" s="13">
        <f>AVERAGE(E472,E474)</f>
        <v>2235.73</v>
      </c>
      <c r="H472" s="18">
        <f>STDEV(E472,E474)</f>
        <v>1.626345596729188</v>
      </c>
      <c r="I472" s="3">
        <v>2226.44</v>
      </c>
      <c r="J472" s="4">
        <f>I472-G472</f>
        <v>-9.2899999999999636</v>
      </c>
      <c r="K472" s="5">
        <f>G472+J472</f>
        <v>2226.44</v>
      </c>
      <c r="L472" s="2" t="s">
        <v>94</v>
      </c>
    </row>
    <row r="473" spans="1:12" x14ac:dyDescent="0.2">
      <c r="A473" s="9" t="s">
        <v>152</v>
      </c>
      <c r="B473" s="31">
        <v>45091</v>
      </c>
      <c r="C473" s="10" t="s">
        <v>12</v>
      </c>
      <c r="D473" s="5">
        <v>51.07</v>
      </c>
      <c r="E473" s="5">
        <v>2230.42</v>
      </c>
      <c r="F473" s="16" t="s">
        <v>9</v>
      </c>
    </row>
    <row r="474" spans="1:12" x14ac:dyDescent="0.2">
      <c r="A474" s="9" t="s">
        <v>152</v>
      </c>
      <c r="B474" s="31">
        <v>45091</v>
      </c>
      <c r="C474" s="10" t="s">
        <v>12</v>
      </c>
      <c r="D474" s="5">
        <v>55.91</v>
      </c>
      <c r="E474" s="5">
        <v>2236.88</v>
      </c>
      <c r="F474" s="16" t="s">
        <v>96</v>
      </c>
    </row>
    <row r="475" spans="1:12" x14ac:dyDescent="0.2">
      <c r="A475" s="9" t="s">
        <v>11</v>
      </c>
      <c r="B475" s="31">
        <v>45091</v>
      </c>
      <c r="C475" s="10" t="s">
        <v>12</v>
      </c>
      <c r="D475" s="5">
        <v>50.54</v>
      </c>
      <c r="E475" s="5">
        <v>2724.69</v>
      </c>
      <c r="F475" s="16" t="s">
        <v>467</v>
      </c>
      <c r="G475" s="13">
        <f>AVERAGE(E475:E476)</f>
        <v>2723.1849999999999</v>
      </c>
      <c r="H475" s="18">
        <f>STDEV(E475,E476)</f>
        <v>2.1283914113716627</v>
      </c>
      <c r="K475" s="5">
        <f>G475+$J$472</f>
        <v>2713.895</v>
      </c>
    </row>
    <row r="476" spans="1:12" x14ac:dyDescent="0.2">
      <c r="A476" s="9" t="s">
        <v>11</v>
      </c>
      <c r="B476" s="31">
        <v>45091</v>
      </c>
      <c r="C476" s="10" t="s">
        <v>12</v>
      </c>
      <c r="D476" s="5">
        <v>48.78</v>
      </c>
      <c r="E476" s="5">
        <v>2721.68</v>
      </c>
      <c r="F476" s="16" t="s">
        <v>468</v>
      </c>
    </row>
    <row r="477" spans="1:12" x14ac:dyDescent="0.2">
      <c r="A477" s="9" t="s">
        <v>11</v>
      </c>
      <c r="B477" s="31">
        <v>45091</v>
      </c>
      <c r="C477" s="10" t="s">
        <v>12</v>
      </c>
      <c r="D477" s="5">
        <v>49.21</v>
      </c>
      <c r="E477" s="5">
        <v>2703.56</v>
      </c>
      <c r="F477" s="16" t="s">
        <v>469</v>
      </c>
      <c r="G477" s="13">
        <f>AVERAGE(E477,E479)</f>
        <v>2680.0749999999998</v>
      </c>
      <c r="H477" s="18">
        <f>STDEV(E477,E478)</f>
        <v>4.0305086527631921</v>
      </c>
      <c r="K477" s="5">
        <f>G477+$J$472</f>
        <v>2670.7849999999999</v>
      </c>
    </row>
    <row r="478" spans="1:12" x14ac:dyDescent="0.2">
      <c r="A478" s="9" t="s">
        <v>11</v>
      </c>
      <c r="B478" s="31">
        <v>45091</v>
      </c>
      <c r="C478" s="10" t="s">
        <v>12</v>
      </c>
      <c r="D478" s="5">
        <v>49.8</v>
      </c>
      <c r="E478" s="5">
        <v>2697.86</v>
      </c>
      <c r="F478" s="16" t="s">
        <v>470</v>
      </c>
    </row>
    <row r="479" spans="1:12" x14ac:dyDescent="0.2">
      <c r="A479" s="9" t="s">
        <v>11</v>
      </c>
      <c r="B479" s="31">
        <v>45091</v>
      </c>
      <c r="C479" s="10" t="s">
        <v>12</v>
      </c>
      <c r="D479" s="5">
        <v>51.62</v>
      </c>
      <c r="E479" s="14">
        <v>2656.59</v>
      </c>
      <c r="F479" s="16" t="s">
        <v>422</v>
      </c>
      <c r="G479" s="13">
        <f>AVERAGE(E480,E481)</f>
        <v>2647.81</v>
      </c>
      <c r="H479" s="18">
        <f>STDEV(E480,E481)</f>
        <v>0.82024386617629219</v>
      </c>
      <c r="K479" s="5">
        <f>G479+$J$472</f>
        <v>2638.52</v>
      </c>
    </row>
    <row r="480" spans="1:12" x14ac:dyDescent="0.2">
      <c r="A480" s="9" t="s">
        <v>11</v>
      </c>
      <c r="B480" s="31">
        <v>45091</v>
      </c>
      <c r="C480" s="10" t="s">
        <v>12</v>
      </c>
      <c r="D480" s="5">
        <v>49.21</v>
      </c>
      <c r="E480" s="5">
        <v>2647.23</v>
      </c>
      <c r="F480" s="16" t="s">
        <v>423</v>
      </c>
    </row>
    <row r="481" spans="1:12" x14ac:dyDescent="0.2">
      <c r="A481" s="9" t="s">
        <v>11</v>
      </c>
      <c r="B481" s="31">
        <v>45091</v>
      </c>
      <c r="C481" s="10" t="s">
        <v>12</v>
      </c>
      <c r="D481" s="5">
        <v>48.69</v>
      </c>
      <c r="E481" s="5">
        <v>2648.39</v>
      </c>
      <c r="F481" s="16" t="s">
        <v>424</v>
      </c>
    </row>
    <row r="482" spans="1:12" x14ac:dyDescent="0.2">
      <c r="A482" s="9" t="s">
        <v>11</v>
      </c>
      <c r="B482" s="31">
        <v>45091</v>
      </c>
      <c r="C482" s="10" t="s">
        <v>12</v>
      </c>
      <c r="D482" s="5">
        <v>51.12</v>
      </c>
      <c r="E482" s="5">
        <v>2656.91</v>
      </c>
      <c r="F482" s="16" t="s">
        <v>425</v>
      </c>
      <c r="G482" s="13">
        <f>AVERAGE(E482,E483)</f>
        <v>2656.1099999999997</v>
      </c>
      <c r="H482" s="18">
        <f>STDEV(E482,E483)</f>
        <v>1.1313708498984119</v>
      </c>
      <c r="K482" s="5">
        <f>G482+$J$472</f>
        <v>2646.8199999999997</v>
      </c>
    </row>
    <row r="483" spans="1:12" x14ac:dyDescent="0.2">
      <c r="A483" s="9" t="s">
        <v>11</v>
      </c>
      <c r="B483" s="31">
        <v>45091</v>
      </c>
      <c r="C483" s="10" t="s">
        <v>12</v>
      </c>
      <c r="D483" s="5">
        <v>51.4</v>
      </c>
      <c r="E483" s="5">
        <v>2655.31</v>
      </c>
      <c r="F483" s="16" t="s">
        <v>426</v>
      </c>
    </row>
    <row r="484" spans="1:12" x14ac:dyDescent="0.2">
      <c r="A484" s="9" t="s">
        <v>11</v>
      </c>
      <c r="B484" s="31">
        <v>45091</v>
      </c>
      <c r="C484" s="10" t="s">
        <v>12</v>
      </c>
      <c r="D484" s="5">
        <v>49.41</v>
      </c>
      <c r="E484" s="5">
        <v>2684.74</v>
      </c>
      <c r="F484" s="16" t="s">
        <v>427</v>
      </c>
      <c r="G484" s="13">
        <f>AVERAGE(E484,E485)</f>
        <v>2684.2649999999999</v>
      </c>
      <c r="H484" s="18">
        <f>STDEV(E484,E485)</f>
        <v>0.67175144212709148</v>
      </c>
      <c r="K484" s="5">
        <f>G484+$J$472</f>
        <v>2674.9749999999999</v>
      </c>
    </row>
    <row r="485" spans="1:12" x14ac:dyDescent="0.2">
      <c r="A485" s="9" t="s">
        <v>11</v>
      </c>
      <c r="B485" s="31">
        <v>45091</v>
      </c>
      <c r="C485" s="10" t="s">
        <v>12</v>
      </c>
      <c r="D485" s="5">
        <v>49.72</v>
      </c>
      <c r="E485" s="5">
        <v>2683.79</v>
      </c>
      <c r="F485" s="16" t="s">
        <v>428</v>
      </c>
    </row>
    <row r="486" spans="1:12" x14ac:dyDescent="0.2">
      <c r="A486" s="9" t="s">
        <v>11</v>
      </c>
      <c r="B486" s="31">
        <v>45091</v>
      </c>
      <c r="C486" s="10" t="s">
        <v>12</v>
      </c>
      <c r="D486" s="5">
        <v>50.83</v>
      </c>
      <c r="E486" s="14">
        <v>2735.14</v>
      </c>
      <c r="F486" s="16" t="s">
        <v>429</v>
      </c>
      <c r="G486" s="13">
        <f>AVERAGE(E487,E489)</f>
        <v>2724.0650000000001</v>
      </c>
      <c r="H486" s="18">
        <f>STDEV(E487,E489)</f>
        <v>1.0960155108392773</v>
      </c>
      <c r="K486" s="5">
        <f>G486+$J$472</f>
        <v>2714.7750000000001</v>
      </c>
    </row>
    <row r="487" spans="1:12" x14ac:dyDescent="0.2">
      <c r="A487" s="9" t="s">
        <v>11</v>
      </c>
      <c r="B487" s="31">
        <v>45091</v>
      </c>
      <c r="C487" s="10" t="s">
        <v>12</v>
      </c>
      <c r="D487" s="5">
        <v>48.96</v>
      </c>
      <c r="E487" s="5">
        <v>2723.29</v>
      </c>
      <c r="F487" s="16" t="s">
        <v>430</v>
      </c>
    </row>
    <row r="488" spans="1:12" x14ac:dyDescent="0.2">
      <c r="A488" s="9" t="s">
        <v>11</v>
      </c>
      <c r="B488" s="31">
        <v>45091</v>
      </c>
      <c r="C488" s="10" t="s">
        <v>12</v>
      </c>
      <c r="D488" s="5">
        <v>50.39</v>
      </c>
      <c r="E488" s="14">
        <v>2558.9699999999998</v>
      </c>
      <c r="F488" s="16" t="s">
        <v>431</v>
      </c>
    </row>
    <row r="489" spans="1:12" x14ac:dyDescent="0.2">
      <c r="A489" s="9" t="s">
        <v>550</v>
      </c>
      <c r="B489" s="31">
        <v>45092</v>
      </c>
      <c r="C489" s="10" t="s">
        <v>12</v>
      </c>
      <c r="D489" s="5">
        <v>53.63</v>
      </c>
      <c r="E489" s="5">
        <v>2724.84</v>
      </c>
      <c r="F489" s="16" t="s">
        <v>551</v>
      </c>
    </row>
    <row r="490" spans="1:12" x14ac:dyDescent="0.2">
      <c r="A490" s="9" t="s">
        <v>550</v>
      </c>
      <c r="B490" s="31">
        <v>45092</v>
      </c>
      <c r="C490" s="10" t="s">
        <v>12</v>
      </c>
      <c r="D490" s="5">
        <v>50.86</v>
      </c>
      <c r="E490" s="5">
        <v>2237.83</v>
      </c>
      <c r="F490" s="16" t="s">
        <v>8</v>
      </c>
      <c r="G490" s="13">
        <f>AVERAGE(E490:E491)</f>
        <v>2236.6949999999997</v>
      </c>
      <c r="H490" s="18">
        <f>STDEV(E490:E491)</f>
        <v>1.60513239329345</v>
      </c>
      <c r="I490" s="3">
        <v>2226.44</v>
      </c>
      <c r="J490" s="4">
        <f>I490-G490</f>
        <v>-10.254999999999654</v>
      </c>
      <c r="K490" s="5">
        <f>G490+J490</f>
        <v>2226.44</v>
      </c>
      <c r="L490" s="2" t="s">
        <v>94</v>
      </c>
    </row>
    <row r="491" spans="1:12" x14ac:dyDescent="0.2">
      <c r="A491" s="9" t="s">
        <v>550</v>
      </c>
      <c r="B491" s="31">
        <v>45092</v>
      </c>
      <c r="C491" s="10" t="s">
        <v>12</v>
      </c>
      <c r="D491" s="5">
        <v>50.82</v>
      </c>
      <c r="E491" s="5">
        <v>2235.56</v>
      </c>
      <c r="F491" s="16" t="s">
        <v>9</v>
      </c>
    </row>
    <row r="492" spans="1:12" x14ac:dyDescent="0.2">
      <c r="A492" s="9" t="s">
        <v>550</v>
      </c>
      <c r="B492" s="31">
        <v>45092</v>
      </c>
      <c r="C492" s="10" t="s">
        <v>12</v>
      </c>
      <c r="D492" s="5">
        <v>50.73</v>
      </c>
      <c r="E492" s="14">
        <v>2249.09</v>
      </c>
      <c r="F492" s="16" t="s">
        <v>96</v>
      </c>
    </row>
    <row r="493" spans="1:12" x14ac:dyDescent="0.2">
      <c r="A493" s="9" t="s">
        <v>550</v>
      </c>
      <c r="B493" s="31">
        <v>45092</v>
      </c>
      <c r="C493" s="10" t="s">
        <v>12</v>
      </c>
      <c r="D493" s="5">
        <v>53.5</v>
      </c>
      <c r="E493" s="5">
        <v>2646.16</v>
      </c>
      <c r="F493" s="16" t="s">
        <v>432</v>
      </c>
      <c r="G493" s="13">
        <f>AVERAGE(E493:E494)</f>
        <v>2648.3599999999997</v>
      </c>
      <c r="H493" s="18">
        <f>STDEV(E493:E494)</f>
        <v>3.1112698372208736</v>
      </c>
      <c r="K493" s="5">
        <f>G493+$J$490</f>
        <v>2638.105</v>
      </c>
    </row>
    <row r="494" spans="1:12" x14ac:dyDescent="0.2">
      <c r="A494" s="9" t="s">
        <v>550</v>
      </c>
      <c r="B494" s="31">
        <v>45092</v>
      </c>
      <c r="C494" s="10" t="s">
        <v>12</v>
      </c>
      <c r="D494" s="5">
        <v>53.83</v>
      </c>
      <c r="E494" s="5">
        <v>2650.56</v>
      </c>
      <c r="F494" s="16" t="s">
        <v>433</v>
      </c>
    </row>
    <row r="495" spans="1:12" x14ac:dyDescent="0.2">
      <c r="A495" s="9" t="s">
        <v>550</v>
      </c>
      <c r="B495" s="31">
        <v>45092</v>
      </c>
      <c r="C495" s="10" t="s">
        <v>12</v>
      </c>
      <c r="D495" s="5">
        <v>51.93</v>
      </c>
      <c r="E495" s="14">
        <v>2665.89</v>
      </c>
      <c r="F495" s="16" t="s">
        <v>434</v>
      </c>
    </row>
    <row r="496" spans="1:12" x14ac:dyDescent="0.2">
      <c r="A496" s="9" t="s">
        <v>11</v>
      </c>
      <c r="B496" s="31">
        <v>45092</v>
      </c>
      <c r="C496" s="10" t="s">
        <v>12</v>
      </c>
      <c r="D496" s="5">
        <v>48.59</v>
      </c>
      <c r="E496" s="14">
        <v>2623.61</v>
      </c>
      <c r="F496" s="16" t="s">
        <v>435</v>
      </c>
      <c r="G496" s="13">
        <f>AVERAGE(E497:E498)</f>
        <v>2562.915</v>
      </c>
      <c r="H496" s="18">
        <f>STDEV(E497:E498)</f>
        <v>1.2798632739476123</v>
      </c>
      <c r="K496" s="5">
        <f>G496+$J$490</f>
        <v>2552.6600000000003</v>
      </c>
    </row>
    <row r="497" spans="1:11" x14ac:dyDescent="0.2">
      <c r="A497" s="9" t="s">
        <v>11</v>
      </c>
      <c r="B497" s="31">
        <v>45092</v>
      </c>
      <c r="C497" s="10" t="s">
        <v>12</v>
      </c>
      <c r="D497" s="5">
        <v>50.54</v>
      </c>
      <c r="E497" s="5">
        <v>2563.8200000000002</v>
      </c>
      <c r="F497" s="16" t="s">
        <v>436</v>
      </c>
    </row>
    <row r="498" spans="1:11" x14ac:dyDescent="0.2">
      <c r="A498" s="9" t="s">
        <v>11</v>
      </c>
      <c r="B498" s="31">
        <v>45092</v>
      </c>
      <c r="C498" s="10" t="s">
        <v>12</v>
      </c>
      <c r="D498" s="5">
        <v>51.73</v>
      </c>
      <c r="E498" s="5">
        <v>2562.0100000000002</v>
      </c>
      <c r="F498" s="16" t="s">
        <v>437</v>
      </c>
    </row>
    <row r="499" spans="1:11" x14ac:dyDescent="0.2">
      <c r="A499" s="9" t="s">
        <v>11</v>
      </c>
      <c r="B499" s="31">
        <v>45092</v>
      </c>
      <c r="C499" s="10" t="s">
        <v>12</v>
      </c>
      <c r="D499" s="5">
        <v>50.45</v>
      </c>
      <c r="E499" s="5">
        <v>2596.41</v>
      </c>
      <c r="F499" s="16" t="s">
        <v>438</v>
      </c>
      <c r="G499" s="13">
        <f>AVERAGE(E499:E500)</f>
        <v>2595.605</v>
      </c>
      <c r="H499" s="18">
        <f>STDEV(E499:E500)</f>
        <v>1.1384419177101099</v>
      </c>
      <c r="K499" s="5">
        <f>G499+$J$490</f>
        <v>2585.3500000000004</v>
      </c>
    </row>
    <row r="500" spans="1:11" x14ac:dyDescent="0.2">
      <c r="A500" s="9" t="s">
        <v>11</v>
      </c>
      <c r="B500" s="31">
        <v>45092</v>
      </c>
      <c r="C500" s="10" t="s">
        <v>12</v>
      </c>
      <c r="D500" s="5">
        <v>49.91</v>
      </c>
      <c r="E500" s="5">
        <v>2594.8000000000002</v>
      </c>
      <c r="F500" s="16" t="s">
        <v>439</v>
      </c>
    </row>
    <row r="501" spans="1:11" x14ac:dyDescent="0.2">
      <c r="A501" s="9" t="s">
        <v>11</v>
      </c>
      <c r="B501" s="31">
        <v>45092</v>
      </c>
      <c r="C501" s="10" t="s">
        <v>12</v>
      </c>
      <c r="D501" s="5">
        <v>49.75</v>
      </c>
      <c r="E501" s="5">
        <v>2716.89</v>
      </c>
      <c r="F501" s="16" t="s">
        <v>440</v>
      </c>
      <c r="G501" s="13">
        <f>AVERAGE(E501:E502)</f>
        <v>2715.01</v>
      </c>
      <c r="H501" s="18">
        <f>STDEV(E501:E502)</f>
        <v>2.6587214972612516</v>
      </c>
      <c r="K501" s="5">
        <f>G501+$J$490</f>
        <v>2704.7550000000006</v>
      </c>
    </row>
    <row r="502" spans="1:11" x14ac:dyDescent="0.2">
      <c r="A502" s="9" t="s">
        <v>11</v>
      </c>
      <c r="B502" s="31">
        <v>45092</v>
      </c>
      <c r="C502" s="10" t="s">
        <v>12</v>
      </c>
      <c r="D502" s="5">
        <v>51.38</v>
      </c>
      <c r="E502" s="5">
        <v>2713.13</v>
      </c>
      <c r="F502" s="16" t="s">
        <v>441</v>
      </c>
    </row>
    <row r="503" spans="1:11" x14ac:dyDescent="0.2">
      <c r="A503" s="9" t="s">
        <v>11</v>
      </c>
      <c r="B503" s="31">
        <v>45093</v>
      </c>
      <c r="C503" s="10" t="s">
        <v>12</v>
      </c>
      <c r="D503" s="5">
        <v>51.01</v>
      </c>
      <c r="E503" s="5">
        <v>2223.71</v>
      </c>
      <c r="F503" s="16" t="s">
        <v>8</v>
      </c>
      <c r="G503" s="13">
        <f>AVERAGE(E503:E504)</f>
        <v>2226.5150000000003</v>
      </c>
      <c r="H503" s="18">
        <f>STDEV(E503:E504)</f>
        <v>3.9668690424566218</v>
      </c>
      <c r="I503" s="3">
        <v>2226.44</v>
      </c>
      <c r="J503" s="4">
        <f>I503-G503</f>
        <v>-7.5000000000272848E-2</v>
      </c>
      <c r="K503" s="5">
        <f>G503+J503</f>
        <v>2226.44</v>
      </c>
    </row>
    <row r="504" spans="1:11" x14ac:dyDescent="0.2">
      <c r="A504" s="9" t="s">
        <v>11</v>
      </c>
      <c r="B504" s="31">
        <v>45093</v>
      </c>
      <c r="C504" s="10" t="s">
        <v>12</v>
      </c>
      <c r="D504" s="5">
        <v>51.14</v>
      </c>
      <c r="E504" s="5">
        <v>2229.3200000000002</v>
      </c>
      <c r="F504" s="16" t="s">
        <v>9</v>
      </c>
    </row>
    <row r="505" spans="1:11" x14ac:dyDescent="0.2">
      <c r="A505" s="9" t="s">
        <v>11</v>
      </c>
      <c r="B505" s="31">
        <v>45092</v>
      </c>
      <c r="C505" s="10" t="s">
        <v>12</v>
      </c>
      <c r="D505" s="5">
        <v>50.1</v>
      </c>
      <c r="E505" s="14">
        <v>2667.86</v>
      </c>
      <c r="F505" s="16" t="s">
        <v>471</v>
      </c>
      <c r="G505" s="13">
        <f>AVERAGE(E506:E507)</f>
        <v>2658.04</v>
      </c>
      <c r="H505" s="18">
        <f>STDEV(E506:E507)</f>
        <v>1.9657568516984221</v>
      </c>
      <c r="K505" s="5">
        <f>G505+$J$490</f>
        <v>2647.7850000000003</v>
      </c>
    </row>
    <row r="506" spans="1:11" x14ac:dyDescent="0.2">
      <c r="A506" s="9" t="s">
        <v>11</v>
      </c>
      <c r="B506" s="31">
        <v>45092</v>
      </c>
      <c r="C506" s="10" t="s">
        <v>12</v>
      </c>
      <c r="D506" s="5">
        <v>49.52</v>
      </c>
      <c r="E506" s="5">
        <v>2656.65</v>
      </c>
      <c r="F506" s="16" t="s">
        <v>472</v>
      </c>
    </row>
    <row r="507" spans="1:11" x14ac:dyDescent="0.2">
      <c r="A507" s="9" t="s">
        <v>11</v>
      </c>
      <c r="B507" s="31">
        <v>45092</v>
      </c>
      <c r="C507" s="10" t="s">
        <v>12</v>
      </c>
      <c r="D507" s="5">
        <v>49.55</v>
      </c>
      <c r="E507" s="5">
        <v>2659.43</v>
      </c>
      <c r="F507" s="16" t="s">
        <v>473</v>
      </c>
    </row>
    <row r="508" spans="1:11" x14ac:dyDescent="0.2">
      <c r="A508" s="9" t="s">
        <v>11</v>
      </c>
      <c r="B508" s="31">
        <v>45092</v>
      </c>
      <c r="C508" s="10" t="s">
        <v>12</v>
      </c>
      <c r="D508" s="5">
        <v>48.88</v>
      </c>
      <c r="E508" s="5">
        <v>2642.93</v>
      </c>
      <c r="F508" s="16" t="s">
        <v>474</v>
      </c>
      <c r="G508" s="13">
        <f>AVERAGE(E508:E509)</f>
        <v>2640.355</v>
      </c>
      <c r="H508" s="18">
        <f>STDEV(E508:E509)</f>
        <v>3.6415999231104625</v>
      </c>
      <c r="K508" s="5">
        <f>G508+$J$490</f>
        <v>2630.1000000000004</v>
      </c>
    </row>
    <row r="509" spans="1:11" x14ac:dyDescent="0.2">
      <c r="A509" s="9" t="s">
        <v>11</v>
      </c>
      <c r="B509" s="31">
        <v>45092</v>
      </c>
      <c r="C509" s="10" t="s">
        <v>12</v>
      </c>
      <c r="D509" s="5">
        <v>50.76</v>
      </c>
      <c r="E509" s="5">
        <v>2637.78</v>
      </c>
      <c r="F509" s="16" t="s">
        <v>475</v>
      </c>
    </row>
    <row r="510" spans="1:11" x14ac:dyDescent="0.2">
      <c r="A510" s="9" t="s">
        <v>11</v>
      </c>
      <c r="B510" s="31">
        <v>45092</v>
      </c>
      <c r="C510" s="10" t="s">
        <v>12</v>
      </c>
      <c r="D510" s="5">
        <v>50.53</v>
      </c>
      <c r="E510" s="5">
        <v>2563.23</v>
      </c>
      <c r="F510" s="16" t="s">
        <v>442</v>
      </c>
      <c r="G510" s="13">
        <f>AVERAGE(E510:E511)</f>
        <v>2560.4749999999999</v>
      </c>
      <c r="H510" s="18">
        <f>STDEV(E510:E511)</f>
        <v>3.8961583643380311</v>
      </c>
      <c r="K510" s="5">
        <f>G510+$J$490</f>
        <v>2550.2200000000003</v>
      </c>
    </row>
    <row r="511" spans="1:11" x14ac:dyDescent="0.2">
      <c r="A511" s="9" t="s">
        <v>11</v>
      </c>
      <c r="B511" s="31">
        <v>45092</v>
      </c>
      <c r="C511" s="10" t="s">
        <v>12</v>
      </c>
      <c r="D511" s="5">
        <v>50.23</v>
      </c>
      <c r="E511" s="5">
        <v>2557.7199999999998</v>
      </c>
      <c r="F511" s="16" t="s">
        <v>443</v>
      </c>
    </row>
    <row r="512" spans="1:11" x14ac:dyDescent="0.2">
      <c r="A512" s="9" t="s">
        <v>11</v>
      </c>
      <c r="B512" s="31">
        <v>45092</v>
      </c>
      <c r="C512" s="10" t="s">
        <v>12</v>
      </c>
      <c r="D512" s="5">
        <v>49.45</v>
      </c>
      <c r="E512" s="5">
        <v>2567.5</v>
      </c>
      <c r="F512" s="16" t="s">
        <v>444</v>
      </c>
      <c r="G512" s="13">
        <f>AVERAGE(E512:E513)</f>
        <v>2567.0150000000003</v>
      </c>
      <c r="H512" s="18">
        <f>STDEV(E512:E513)</f>
        <v>0.68589357775080961</v>
      </c>
      <c r="K512" s="5">
        <f>G512+$J$490</f>
        <v>2556.7600000000007</v>
      </c>
    </row>
    <row r="513" spans="1:11" x14ac:dyDescent="0.2">
      <c r="A513" s="9" t="s">
        <v>11</v>
      </c>
      <c r="B513" s="31">
        <v>45092</v>
      </c>
      <c r="C513" s="10" t="s">
        <v>12</v>
      </c>
      <c r="D513" s="5">
        <v>48.68</v>
      </c>
      <c r="E513" s="5">
        <v>2566.5300000000002</v>
      </c>
      <c r="F513" s="16" t="s">
        <v>445</v>
      </c>
    </row>
    <row r="514" spans="1:11" x14ac:dyDescent="0.2">
      <c r="A514" s="9" t="s">
        <v>11</v>
      </c>
      <c r="B514" s="31">
        <v>45093</v>
      </c>
      <c r="C514" s="10" t="s">
        <v>12</v>
      </c>
      <c r="D514" s="5">
        <v>48.97</v>
      </c>
      <c r="E514" s="5">
        <v>2517.75</v>
      </c>
      <c r="F514" s="16" t="s">
        <v>446</v>
      </c>
      <c r="G514" s="13">
        <f>AVERAGE(E514:E515)</f>
        <v>2517.4049999999997</v>
      </c>
      <c r="H514" s="18">
        <f>STDEV(E514:E515)</f>
        <v>0.48790367901875636</v>
      </c>
      <c r="K514" s="5">
        <f>G514+$J$503</f>
        <v>2517.3299999999995</v>
      </c>
    </row>
    <row r="515" spans="1:11" x14ac:dyDescent="0.2">
      <c r="A515" s="9" t="s">
        <v>11</v>
      </c>
      <c r="B515" s="31">
        <v>45093</v>
      </c>
      <c r="C515" s="10" t="s">
        <v>12</v>
      </c>
      <c r="D515" s="5">
        <v>49.58</v>
      </c>
      <c r="E515" s="5">
        <v>2517.06</v>
      </c>
      <c r="F515" s="16" t="s">
        <v>447</v>
      </c>
    </row>
    <row r="516" spans="1:11" x14ac:dyDescent="0.2">
      <c r="A516" s="9" t="s">
        <v>11</v>
      </c>
      <c r="B516" s="31">
        <v>45093</v>
      </c>
      <c r="C516" s="10" t="s">
        <v>12</v>
      </c>
      <c r="D516" s="5" t="s">
        <v>153</v>
      </c>
      <c r="E516" s="5" t="s">
        <v>153</v>
      </c>
      <c r="F516" s="16" t="s">
        <v>448</v>
      </c>
      <c r="G516" s="13" t="s">
        <v>153</v>
      </c>
      <c r="H516" s="18" t="s">
        <v>153</v>
      </c>
      <c r="K516" s="5" t="s">
        <v>153</v>
      </c>
    </row>
    <row r="517" spans="1:11" x14ac:dyDescent="0.2">
      <c r="A517" s="9" t="s">
        <v>11</v>
      </c>
      <c r="B517" s="31">
        <v>45093</v>
      </c>
      <c r="C517" s="10" t="s">
        <v>12</v>
      </c>
      <c r="D517" s="5" t="s">
        <v>153</v>
      </c>
      <c r="E517" s="5" t="s">
        <v>153</v>
      </c>
      <c r="F517" s="16" t="s">
        <v>449</v>
      </c>
    </row>
    <row r="518" spans="1:11" x14ac:dyDescent="0.2">
      <c r="A518" s="9" t="s">
        <v>11</v>
      </c>
      <c r="B518" s="31">
        <v>45093</v>
      </c>
      <c r="C518" s="10" t="s">
        <v>12</v>
      </c>
      <c r="D518" s="5" t="s">
        <v>153</v>
      </c>
      <c r="E518" s="5" t="s">
        <v>153</v>
      </c>
      <c r="F518" s="16" t="s">
        <v>450</v>
      </c>
    </row>
    <row r="519" spans="1:11" x14ac:dyDescent="0.2">
      <c r="A519" s="9" t="s">
        <v>11</v>
      </c>
      <c r="B519" s="31">
        <v>45093</v>
      </c>
      <c r="C519" s="10" t="s">
        <v>12</v>
      </c>
      <c r="D519" s="5">
        <v>50.4</v>
      </c>
      <c r="E519" s="5">
        <v>2507.29</v>
      </c>
      <c r="F519" s="16" t="s">
        <v>451</v>
      </c>
      <c r="G519" s="13">
        <f>AVERAGE(E519,E521)</f>
        <v>2506.02</v>
      </c>
      <c r="H519" s="18">
        <f>STDEV(E519,E521)</f>
        <v>1.7960512242138049</v>
      </c>
      <c r="K519" s="5">
        <f>G519+$J$503</f>
        <v>2505.9449999999997</v>
      </c>
    </row>
    <row r="520" spans="1:11" x14ac:dyDescent="0.2">
      <c r="A520" s="9" t="s">
        <v>11</v>
      </c>
      <c r="B520" s="31">
        <v>45093</v>
      </c>
      <c r="C520" s="10" t="s">
        <v>12</v>
      </c>
      <c r="D520" s="5">
        <v>49.48</v>
      </c>
      <c r="E520" s="14">
        <v>2496.6</v>
      </c>
      <c r="F520" s="16" t="s">
        <v>452</v>
      </c>
    </row>
    <row r="521" spans="1:11" x14ac:dyDescent="0.2">
      <c r="A521" s="9" t="s">
        <v>11</v>
      </c>
      <c r="B521" s="31">
        <v>45093</v>
      </c>
      <c r="C521" s="10" t="s">
        <v>12</v>
      </c>
      <c r="D521" s="5">
        <v>48.81</v>
      </c>
      <c r="E521" s="5">
        <v>2504.75</v>
      </c>
      <c r="F521" s="16" t="s">
        <v>453</v>
      </c>
    </row>
    <row r="522" spans="1:11" x14ac:dyDescent="0.2">
      <c r="A522" s="9" t="s">
        <v>11</v>
      </c>
      <c r="B522" s="31">
        <v>45093</v>
      </c>
      <c r="C522" s="10" t="s">
        <v>12</v>
      </c>
      <c r="D522" s="5">
        <v>48.83</v>
      </c>
      <c r="E522" s="5">
        <v>2568.86</v>
      </c>
      <c r="F522" s="16" t="s">
        <v>454</v>
      </c>
      <c r="G522" s="13">
        <f>AVERAGE(E522,E524)</f>
        <v>2567.92</v>
      </c>
      <c r="H522" s="18">
        <f>STDEV(E522,E524)</f>
        <v>1.3293607486307866</v>
      </c>
      <c r="K522" s="5">
        <f>G522+$J$503</f>
        <v>2567.8449999999998</v>
      </c>
    </row>
    <row r="523" spans="1:11" x14ac:dyDescent="0.2">
      <c r="A523" s="9" t="s">
        <v>11</v>
      </c>
      <c r="B523" s="31">
        <v>45093</v>
      </c>
      <c r="C523" s="10" t="s">
        <v>12</v>
      </c>
      <c r="D523" s="5">
        <v>51.07</v>
      </c>
      <c r="E523" s="14">
        <v>2558.5700000000002</v>
      </c>
      <c r="F523" s="16" t="s">
        <v>455</v>
      </c>
    </row>
    <row r="524" spans="1:11" x14ac:dyDescent="0.2">
      <c r="A524" s="9" t="s">
        <v>11</v>
      </c>
      <c r="B524" s="31">
        <v>45093</v>
      </c>
      <c r="C524" s="10" t="s">
        <v>12</v>
      </c>
      <c r="D524" s="5">
        <v>49.28</v>
      </c>
      <c r="E524" s="5">
        <v>2566.98</v>
      </c>
      <c r="F524" s="16" t="s">
        <v>456</v>
      </c>
    </row>
    <row r="525" spans="1:11" x14ac:dyDescent="0.2">
      <c r="A525" s="9" t="s">
        <v>11</v>
      </c>
      <c r="B525" s="31">
        <v>45093</v>
      </c>
      <c r="C525" s="10" t="s">
        <v>12</v>
      </c>
      <c r="D525" s="5">
        <v>50.65</v>
      </c>
      <c r="E525" s="5">
        <v>2515.42</v>
      </c>
      <c r="F525" s="16" t="s">
        <v>457</v>
      </c>
      <c r="G525" s="13">
        <f>AVERAGE(E525:E526)</f>
        <v>2516.4650000000001</v>
      </c>
      <c r="H525" s="18">
        <f>STDEV(E525:E526)</f>
        <v>1.4778531726799873</v>
      </c>
      <c r="K525" s="5">
        <f>G525+$J$503</f>
        <v>2516.39</v>
      </c>
    </row>
    <row r="526" spans="1:11" x14ac:dyDescent="0.2">
      <c r="A526" s="9" t="s">
        <v>11</v>
      </c>
      <c r="B526" s="31">
        <v>45093</v>
      </c>
      <c r="C526" s="10" t="s">
        <v>12</v>
      </c>
      <c r="D526" s="5">
        <v>49.4</v>
      </c>
      <c r="E526" s="5">
        <v>2517.5100000000002</v>
      </c>
      <c r="F526" s="16" t="s">
        <v>458</v>
      </c>
    </row>
    <row r="527" spans="1:11" x14ac:dyDescent="0.2">
      <c r="A527" s="9" t="s">
        <v>11</v>
      </c>
      <c r="B527" s="31">
        <v>45093</v>
      </c>
      <c r="C527" s="10" t="s">
        <v>12</v>
      </c>
      <c r="D527" s="5">
        <v>50.65</v>
      </c>
      <c r="E527" s="5">
        <v>2632.19</v>
      </c>
      <c r="F527" s="16" t="s">
        <v>459</v>
      </c>
      <c r="G527" s="13">
        <f>AVERAGE(E527:E528)</f>
        <v>2633.46</v>
      </c>
      <c r="H527" s="18">
        <f>STDEV(E527:E528)</f>
        <v>1.7960512242138049</v>
      </c>
      <c r="K527" s="5">
        <f>G527+$J$503</f>
        <v>2633.3849999999998</v>
      </c>
    </row>
    <row r="528" spans="1:11" x14ac:dyDescent="0.2">
      <c r="A528" s="9" t="s">
        <v>11</v>
      </c>
      <c r="B528" s="31">
        <v>45093</v>
      </c>
      <c r="C528" s="10" t="s">
        <v>12</v>
      </c>
      <c r="D528" s="5">
        <v>49.16</v>
      </c>
      <c r="E528" s="5">
        <v>2634.73</v>
      </c>
      <c r="F528" s="16" t="s">
        <v>460</v>
      </c>
    </row>
    <row r="529" spans="1:12" x14ac:dyDescent="0.2">
      <c r="A529" s="15" t="s">
        <v>11</v>
      </c>
      <c r="B529" s="31">
        <v>45096</v>
      </c>
      <c r="C529" s="10" t="s">
        <v>12</v>
      </c>
      <c r="D529" s="5">
        <v>47.84</v>
      </c>
      <c r="E529" s="14">
        <v>2289.73</v>
      </c>
      <c r="F529" s="16" t="s">
        <v>8</v>
      </c>
      <c r="G529" s="13">
        <f>AVERAGE(E530:E531)</f>
        <v>2232.855</v>
      </c>
      <c r="H529" s="18">
        <f>STDEV(E530:E531)</f>
        <v>3.387041481883537</v>
      </c>
      <c r="I529" s="3">
        <v>2226.44</v>
      </c>
      <c r="J529" s="4">
        <f>I529-G529</f>
        <v>-6.4149999999999636</v>
      </c>
      <c r="K529" s="5">
        <f>G529+J529</f>
        <v>2226.44</v>
      </c>
      <c r="L529" s="2" t="s">
        <v>94</v>
      </c>
    </row>
    <row r="530" spans="1:12" x14ac:dyDescent="0.2">
      <c r="A530" s="15" t="s">
        <v>11</v>
      </c>
      <c r="B530" s="31">
        <v>45096</v>
      </c>
      <c r="C530" s="10" t="s">
        <v>12</v>
      </c>
      <c r="D530" s="5">
        <v>49.84</v>
      </c>
      <c r="E530" s="5">
        <v>2235.25</v>
      </c>
      <c r="F530" s="16" t="s">
        <v>9</v>
      </c>
    </row>
    <row r="531" spans="1:12" x14ac:dyDescent="0.2">
      <c r="A531" s="15" t="s">
        <v>11</v>
      </c>
      <c r="B531" s="31">
        <v>45096</v>
      </c>
      <c r="C531" s="10" t="s">
        <v>12</v>
      </c>
      <c r="D531" s="5">
        <v>49.74</v>
      </c>
      <c r="E531" s="5">
        <v>2230.46</v>
      </c>
      <c r="F531" s="16" t="s">
        <v>96</v>
      </c>
    </row>
    <row r="532" spans="1:12" x14ac:dyDescent="0.2">
      <c r="A532" s="15" t="s">
        <v>11</v>
      </c>
      <c r="B532" s="31">
        <v>45096</v>
      </c>
      <c r="C532" s="10" t="s">
        <v>12</v>
      </c>
      <c r="D532" s="5">
        <v>51.05</v>
      </c>
      <c r="E532" s="5">
        <v>2715.31</v>
      </c>
      <c r="F532" s="16" t="s">
        <v>476</v>
      </c>
      <c r="G532" s="13">
        <f>AVERAGE(E532,E534)</f>
        <v>2715.12</v>
      </c>
      <c r="H532" s="18">
        <f>STDEV(E532,E534)</f>
        <v>0.26870057685096521</v>
      </c>
      <c r="K532" s="5">
        <f>G532+$J$529</f>
        <v>2708.7049999999999</v>
      </c>
    </row>
    <row r="533" spans="1:12" x14ac:dyDescent="0.2">
      <c r="A533" s="15" t="s">
        <v>11</v>
      </c>
      <c r="B533" s="31">
        <v>45096</v>
      </c>
      <c r="C533" s="10" t="s">
        <v>12</v>
      </c>
      <c r="D533" s="5">
        <v>51.15</v>
      </c>
      <c r="E533" s="14">
        <v>2703.06</v>
      </c>
      <c r="F533" s="16" t="s">
        <v>477</v>
      </c>
    </row>
    <row r="534" spans="1:12" x14ac:dyDescent="0.2">
      <c r="A534" s="15" t="s">
        <v>11</v>
      </c>
      <c r="B534" s="31">
        <v>45096</v>
      </c>
      <c r="C534" s="10" t="s">
        <v>12</v>
      </c>
      <c r="D534" s="5">
        <v>51.33</v>
      </c>
      <c r="E534" s="5">
        <v>2714.93</v>
      </c>
      <c r="F534" s="16" t="s">
        <v>478</v>
      </c>
    </row>
    <row r="535" spans="1:12" x14ac:dyDescent="0.2">
      <c r="A535" s="15" t="s">
        <v>11</v>
      </c>
      <c r="B535" s="31">
        <v>45096</v>
      </c>
      <c r="C535" s="10" t="s">
        <v>12</v>
      </c>
      <c r="D535" s="5">
        <v>49.91</v>
      </c>
      <c r="E535" s="5">
        <v>2713.86</v>
      </c>
      <c r="F535" s="16" t="s">
        <v>479</v>
      </c>
      <c r="G535" s="13">
        <f>AVERAGE(E535:E536)</f>
        <v>2712.165</v>
      </c>
      <c r="H535" s="18">
        <f>STDEV(E535:E536)</f>
        <v>2.3970919882226274</v>
      </c>
      <c r="K535" s="5">
        <f>G535+$J$529</f>
        <v>2705.75</v>
      </c>
    </row>
    <row r="536" spans="1:12" x14ac:dyDescent="0.2">
      <c r="A536" s="15" t="s">
        <v>11</v>
      </c>
      <c r="B536" s="31">
        <v>45096</v>
      </c>
      <c r="C536" s="10" t="s">
        <v>12</v>
      </c>
      <c r="D536" s="5">
        <v>50.17</v>
      </c>
      <c r="E536" s="5">
        <v>2710.47</v>
      </c>
      <c r="F536" s="16" t="s">
        <v>480</v>
      </c>
    </row>
    <row r="537" spans="1:12" x14ac:dyDescent="0.2">
      <c r="A537" s="15" t="s">
        <v>11</v>
      </c>
      <c r="B537" s="31">
        <v>45096</v>
      </c>
      <c r="C537" s="10" t="s">
        <v>12</v>
      </c>
      <c r="D537" s="5">
        <v>50.84</v>
      </c>
      <c r="E537" s="5">
        <v>2603.8000000000002</v>
      </c>
      <c r="F537" s="16" t="s">
        <v>481</v>
      </c>
      <c r="G537" s="13">
        <f>AVERAGE(E537:E538)</f>
        <v>2604.88</v>
      </c>
      <c r="H537" s="18">
        <f>STDEV(E537:E538)</f>
        <v>1.5273506473628398</v>
      </c>
      <c r="K537" s="5">
        <f>G537+$J$529</f>
        <v>2598.4650000000001</v>
      </c>
    </row>
    <row r="538" spans="1:12" x14ac:dyDescent="0.2">
      <c r="A538" s="15" t="s">
        <v>11</v>
      </c>
      <c r="B538" s="31">
        <v>45096</v>
      </c>
      <c r="C538" s="10" t="s">
        <v>12</v>
      </c>
      <c r="D538" s="5">
        <v>50.31</v>
      </c>
      <c r="E538" s="5">
        <v>2605.96</v>
      </c>
      <c r="F538" s="16" t="s">
        <v>482</v>
      </c>
    </row>
    <row r="539" spans="1:12" x14ac:dyDescent="0.2">
      <c r="A539" s="15" t="s">
        <v>11</v>
      </c>
      <c r="B539" s="31">
        <v>45096</v>
      </c>
      <c r="C539" s="10" t="s">
        <v>12</v>
      </c>
      <c r="D539" s="5">
        <v>51.51</v>
      </c>
      <c r="E539" s="5">
        <v>2699.83</v>
      </c>
      <c r="F539" s="16" t="s">
        <v>483</v>
      </c>
      <c r="G539" s="13">
        <f>AVERAGE(E539,E541)</f>
        <v>2700.51</v>
      </c>
      <c r="H539" s="18">
        <f>STDEV(E539,E541)</f>
        <v>0.96166522241379471</v>
      </c>
      <c r="K539" s="5">
        <f>G539+$J$529</f>
        <v>2694.0950000000003</v>
      </c>
    </row>
    <row r="540" spans="1:12" x14ac:dyDescent="0.2">
      <c r="A540" s="15" t="s">
        <v>11</v>
      </c>
      <c r="B540" s="31">
        <v>45096</v>
      </c>
      <c r="C540" s="10" t="s">
        <v>12</v>
      </c>
      <c r="D540" s="5">
        <v>49.63</v>
      </c>
      <c r="E540" s="14">
        <v>2712.05</v>
      </c>
      <c r="F540" s="16" t="s">
        <v>484</v>
      </c>
    </row>
    <row r="541" spans="1:12" x14ac:dyDescent="0.2">
      <c r="A541" s="15" t="s">
        <v>11</v>
      </c>
      <c r="B541" s="31">
        <v>45096</v>
      </c>
      <c r="C541" s="10" t="s">
        <v>12</v>
      </c>
      <c r="D541" s="5">
        <v>49.62</v>
      </c>
      <c r="E541" s="5">
        <v>2701.19</v>
      </c>
      <c r="F541" s="16" t="s">
        <v>485</v>
      </c>
    </row>
    <row r="542" spans="1:12" x14ac:dyDescent="0.2">
      <c r="A542" s="15" t="s">
        <v>11</v>
      </c>
      <c r="B542" s="31">
        <v>45096</v>
      </c>
      <c r="C542" s="10" t="s">
        <v>12</v>
      </c>
      <c r="D542" s="5">
        <v>49.51</v>
      </c>
      <c r="E542" s="5">
        <v>2692.09</v>
      </c>
      <c r="F542" s="16" t="s">
        <v>486</v>
      </c>
      <c r="G542" s="13">
        <f>AVERAGE(E542:E543)</f>
        <v>2688.82</v>
      </c>
      <c r="H542" s="18">
        <f>STDEV(E542:E543)</f>
        <v>4.624478348959995</v>
      </c>
      <c r="K542" s="5">
        <f>G542+$J$529</f>
        <v>2682.4050000000002</v>
      </c>
    </row>
    <row r="543" spans="1:12" x14ac:dyDescent="0.2">
      <c r="A543" s="15" t="s">
        <v>11</v>
      </c>
      <c r="B543" s="31">
        <v>45096</v>
      </c>
      <c r="C543" s="10" t="s">
        <v>12</v>
      </c>
      <c r="D543" s="5">
        <v>51.95</v>
      </c>
      <c r="E543" s="5">
        <v>2685.55</v>
      </c>
      <c r="F543" s="16" t="s">
        <v>487</v>
      </c>
    </row>
    <row r="544" spans="1:12" x14ac:dyDescent="0.2">
      <c r="A544" s="15" t="s">
        <v>11</v>
      </c>
      <c r="B544" s="31">
        <v>45096</v>
      </c>
      <c r="C544" s="10" t="s">
        <v>12</v>
      </c>
      <c r="D544" s="5">
        <v>51.54</v>
      </c>
      <c r="E544" s="5">
        <v>2709.31</v>
      </c>
      <c r="F544" s="16" t="s">
        <v>488</v>
      </c>
      <c r="G544" s="13">
        <f>AVERAGE(E544:E545)</f>
        <v>2709.2449999999999</v>
      </c>
      <c r="H544" s="18">
        <f>STDEV(E544:E545)</f>
        <v>9.1923881554328346E-2</v>
      </c>
      <c r="K544" s="5">
        <f>G544+$J$529</f>
        <v>2702.83</v>
      </c>
    </row>
    <row r="545" spans="1:12" x14ac:dyDescent="0.2">
      <c r="A545" s="15" t="s">
        <v>11</v>
      </c>
      <c r="B545" s="31">
        <v>45096</v>
      </c>
      <c r="C545" s="10" t="s">
        <v>12</v>
      </c>
      <c r="D545" s="5">
        <v>50.78</v>
      </c>
      <c r="E545" s="5">
        <v>2709.18</v>
      </c>
      <c r="F545" s="16" t="s">
        <v>489</v>
      </c>
    </row>
    <row r="546" spans="1:12" x14ac:dyDescent="0.2">
      <c r="A546" s="15" t="s">
        <v>11</v>
      </c>
      <c r="B546" s="31">
        <v>45096</v>
      </c>
      <c r="C546" s="10" t="s">
        <v>12</v>
      </c>
      <c r="D546" s="5">
        <v>51.56</v>
      </c>
      <c r="E546" s="5">
        <v>2672.65</v>
      </c>
      <c r="F546" s="16" t="s">
        <v>490</v>
      </c>
      <c r="G546" s="13">
        <f>AVERAGE(E546:E547)</f>
        <v>2673.2250000000004</v>
      </c>
      <c r="H546" s="18">
        <f>STDEV(E546:E547)</f>
        <v>0.813172798364594</v>
      </c>
      <c r="K546" s="5">
        <f>G546+$J$529</f>
        <v>2666.8100000000004</v>
      </c>
    </row>
    <row r="547" spans="1:12" x14ac:dyDescent="0.2">
      <c r="A547" s="15" t="s">
        <v>11</v>
      </c>
      <c r="B547" s="31">
        <v>45096</v>
      </c>
      <c r="C547" s="10" t="s">
        <v>12</v>
      </c>
      <c r="D547" s="5">
        <v>52.15</v>
      </c>
      <c r="E547" s="5">
        <v>2673.8</v>
      </c>
      <c r="F547" s="16" t="s">
        <v>491</v>
      </c>
    </row>
    <row r="548" spans="1:12" x14ac:dyDescent="0.2">
      <c r="A548" s="15" t="s">
        <v>11</v>
      </c>
      <c r="B548" s="31">
        <v>45097</v>
      </c>
      <c r="C548" s="10" t="s">
        <v>12</v>
      </c>
      <c r="D548" s="5">
        <v>48.87</v>
      </c>
      <c r="E548" s="5">
        <v>2704.4</v>
      </c>
      <c r="F548" s="16" t="s">
        <v>492</v>
      </c>
      <c r="G548" s="13">
        <f>AVERAGE(E548,E550)</f>
        <v>2701.8249999999998</v>
      </c>
      <c r="H548" s="18">
        <f>STDEV(E548,E550)</f>
        <v>3.6415999231107841</v>
      </c>
      <c r="K548" s="5">
        <f>G548+$J$555</f>
        <v>2689.5349999999999</v>
      </c>
    </row>
    <row r="549" spans="1:12" x14ac:dyDescent="0.2">
      <c r="A549" s="15" t="s">
        <v>11</v>
      </c>
      <c r="B549" s="31">
        <v>45097</v>
      </c>
      <c r="C549" s="10" t="s">
        <v>12</v>
      </c>
      <c r="D549" s="5">
        <v>52.52</v>
      </c>
      <c r="E549" s="14">
        <v>2683.22</v>
      </c>
      <c r="F549" s="16" t="s">
        <v>493</v>
      </c>
    </row>
    <row r="550" spans="1:12" x14ac:dyDescent="0.2">
      <c r="A550" s="15" t="s">
        <v>11</v>
      </c>
      <c r="B550" s="31">
        <v>45097</v>
      </c>
      <c r="C550" s="10" t="s">
        <v>12</v>
      </c>
      <c r="D550" s="5">
        <v>49.36</v>
      </c>
      <c r="E550" s="5">
        <v>2699.25</v>
      </c>
      <c r="F550" s="16" t="s">
        <v>494</v>
      </c>
    </row>
    <row r="551" spans="1:12" x14ac:dyDescent="0.2">
      <c r="A551" s="15" t="s">
        <v>11</v>
      </c>
      <c r="B551" s="31">
        <v>45097</v>
      </c>
      <c r="C551" s="10" t="s">
        <v>12</v>
      </c>
      <c r="D551" s="5">
        <v>51.3</v>
      </c>
      <c r="E551" s="5">
        <v>2640.94</v>
      </c>
      <c r="F551" s="16" t="s">
        <v>495</v>
      </c>
      <c r="G551" s="13">
        <f>AVERAGE(E551:E552)</f>
        <v>2638.4750000000004</v>
      </c>
      <c r="H551" s="18">
        <f>STDEV(E551:E552)</f>
        <v>3.4860364312495635</v>
      </c>
      <c r="K551" s="5">
        <f>G551+$J$555</f>
        <v>2626.1850000000004</v>
      </c>
    </row>
    <row r="552" spans="1:12" x14ac:dyDescent="0.2">
      <c r="A552" s="15" t="s">
        <v>11</v>
      </c>
      <c r="B552" s="31">
        <v>45097</v>
      </c>
      <c r="C552" s="10" t="s">
        <v>12</v>
      </c>
      <c r="D552" s="5">
        <v>51.34</v>
      </c>
      <c r="E552" s="5">
        <v>2636.01</v>
      </c>
      <c r="F552" s="16" t="s">
        <v>496</v>
      </c>
    </row>
    <row r="553" spans="1:12" x14ac:dyDescent="0.2">
      <c r="A553" s="15" t="s">
        <v>11</v>
      </c>
      <c r="B553" s="31">
        <v>45097</v>
      </c>
      <c r="C553" s="10" t="s">
        <v>12</v>
      </c>
      <c r="D553" s="5">
        <v>50.11</v>
      </c>
      <c r="E553" s="5">
        <v>2711.66</v>
      </c>
      <c r="F553" s="16" t="s">
        <v>497</v>
      </c>
      <c r="G553" s="13">
        <f>AVERAGE(E553:E554)</f>
        <v>2712.0249999999996</v>
      </c>
      <c r="H553" s="18">
        <f>STDEV(E553:E554)</f>
        <v>0.51618795026619257</v>
      </c>
      <c r="K553" s="5">
        <f>G553+$J$555</f>
        <v>2699.7349999999997</v>
      </c>
    </row>
    <row r="554" spans="1:12" x14ac:dyDescent="0.2">
      <c r="A554" s="15" t="s">
        <v>11</v>
      </c>
      <c r="B554" s="31">
        <v>45097</v>
      </c>
      <c r="C554" s="10" t="s">
        <v>12</v>
      </c>
      <c r="D554" s="5">
        <v>48.8</v>
      </c>
      <c r="E554" s="5">
        <v>2712.39</v>
      </c>
      <c r="F554" s="16" t="s">
        <v>498</v>
      </c>
    </row>
    <row r="555" spans="1:12" x14ac:dyDescent="0.2">
      <c r="A555" s="15" t="s">
        <v>11</v>
      </c>
      <c r="B555" s="31">
        <v>45097</v>
      </c>
      <c r="C555" s="10" t="s">
        <v>12</v>
      </c>
      <c r="D555" s="5">
        <v>51.36</v>
      </c>
      <c r="E555" s="5">
        <v>2239.0100000000002</v>
      </c>
      <c r="F555" s="16" t="s">
        <v>8</v>
      </c>
      <c r="G555" s="13">
        <f>AVERAGE(E555,E557)</f>
        <v>2238.73</v>
      </c>
      <c r="H555" s="18">
        <f>STDEV(E555,E557)</f>
        <v>0.39597979746474959</v>
      </c>
      <c r="I555" s="3">
        <v>2226.44</v>
      </c>
      <c r="J555" s="4">
        <f>I555-G555</f>
        <v>-12.289999999999964</v>
      </c>
      <c r="K555" s="5">
        <f>G555+J555</f>
        <v>2226.44</v>
      </c>
      <c r="L555" s="2" t="s">
        <v>94</v>
      </c>
    </row>
    <row r="556" spans="1:12" x14ac:dyDescent="0.2">
      <c r="A556" s="15" t="s">
        <v>11</v>
      </c>
      <c r="B556" s="31">
        <v>45097</v>
      </c>
      <c r="C556" s="10" t="s">
        <v>12</v>
      </c>
      <c r="D556" s="5">
        <v>50.73</v>
      </c>
      <c r="E556" s="14">
        <v>2231.81</v>
      </c>
      <c r="F556" s="16" t="s">
        <v>9</v>
      </c>
    </row>
    <row r="557" spans="1:12" x14ac:dyDescent="0.2">
      <c r="A557" s="15" t="s">
        <v>11</v>
      </c>
      <c r="B557" s="31">
        <v>45097</v>
      </c>
      <c r="C557" s="10" t="s">
        <v>12</v>
      </c>
      <c r="D557" s="5">
        <v>50.26</v>
      </c>
      <c r="E557" s="5">
        <v>2238.4499999999998</v>
      </c>
      <c r="F557" s="16" t="s">
        <v>96</v>
      </c>
    </row>
    <row r="558" spans="1:12" x14ac:dyDescent="0.2">
      <c r="A558" s="15" t="s">
        <v>11</v>
      </c>
      <c r="B558" s="31">
        <v>45097</v>
      </c>
      <c r="C558" s="10" t="s">
        <v>12</v>
      </c>
      <c r="D558" s="5">
        <v>51.47</v>
      </c>
      <c r="E558" s="5">
        <v>2690.61</v>
      </c>
      <c r="F558" s="16" t="s">
        <v>499</v>
      </c>
      <c r="G558" s="13">
        <f>AVERAGE(E558:E559)</f>
        <v>2690.6800000000003</v>
      </c>
      <c r="H558" s="18">
        <f>STDEV(E558:E559)</f>
        <v>9.8994949366026611E-2</v>
      </c>
      <c r="K558" s="5">
        <f>G558+$J$555</f>
        <v>2678.3900000000003</v>
      </c>
    </row>
    <row r="559" spans="1:12" x14ac:dyDescent="0.2">
      <c r="A559" s="15" t="s">
        <v>11</v>
      </c>
      <c r="B559" s="31">
        <v>45097</v>
      </c>
      <c r="C559" s="10" t="s">
        <v>12</v>
      </c>
      <c r="D559" s="5">
        <v>50.06</v>
      </c>
      <c r="E559" s="5">
        <v>2690.75</v>
      </c>
      <c r="F559" s="16" t="s">
        <v>500</v>
      </c>
    </row>
    <row r="560" spans="1:12" x14ac:dyDescent="0.2">
      <c r="A560" s="15" t="s">
        <v>11</v>
      </c>
      <c r="B560" s="31">
        <v>45097</v>
      </c>
      <c r="C560" s="10" t="s">
        <v>12</v>
      </c>
      <c r="D560" s="5">
        <v>50.17</v>
      </c>
      <c r="E560" s="5">
        <v>2691.62</v>
      </c>
      <c r="F560" s="16" t="s">
        <v>501</v>
      </c>
      <c r="G560" s="13">
        <f>AVERAGE(E560:E561)</f>
        <v>2689.1549999999997</v>
      </c>
      <c r="H560" s="18">
        <f>STDEV(E560:E561)</f>
        <v>3.4860364312495635</v>
      </c>
      <c r="K560" s="5">
        <f>G560+$J$555</f>
        <v>2676.8649999999998</v>
      </c>
    </row>
    <row r="561" spans="1:12" x14ac:dyDescent="0.2">
      <c r="A561" s="15" t="s">
        <v>11</v>
      </c>
      <c r="B561" s="31">
        <v>45097</v>
      </c>
      <c r="C561" s="10" t="s">
        <v>12</v>
      </c>
      <c r="D561" s="5">
        <v>48.26</v>
      </c>
      <c r="E561" s="5">
        <v>2686.69</v>
      </c>
      <c r="F561" s="16" t="s">
        <v>502</v>
      </c>
    </row>
    <row r="562" spans="1:12" x14ac:dyDescent="0.2">
      <c r="A562" s="15" t="s">
        <v>11</v>
      </c>
      <c r="B562" s="31">
        <v>45097</v>
      </c>
      <c r="C562" s="10" t="s">
        <v>12</v>
      </c>
      <c r="D562" s="5">
        <v>50.08</v>
      </c>
      <c r="E562" s="14">
        <v>2557.08</v>
      </c>
      <c r="F562" s="16" t="s">
        <v>503</v>
      </c>
      <c r="G562" s="13">
        <f>AVERAGE(E563:E564)</f>
        <v>2536</v>
      </c>
      <c r="H562" s="18">
        <f>STDEV(E563:E564)</f>
        <v>3.450681092190429</v>
      </c>
      <c r="K562" s="5">
        <f>G562+$J$555</f>
        <v>2523.71</v>
      </c>
    </row>
    <row r="563" spans="1:12" x14ac:dyDescent="0.2">
      <c r="A563" s="15" t="s">
        <v>11</v>
      </c>
      <c r="B563" s="31">
        <v>45097</v>
      </c>
      <c r="C563" s="10" t="s">
        <v>12</v>
      </c>
      <c r="D563" s="5">
        <v>50.13</v>
      </c>
      <c r="E563" s="5">
        <v>2533.56</v>
      </c>
      <c r="F563" s="16" t="s">
        <v>504</v>
      </c>
    </row>
    <row r="564" spans="1:12" x14ac:dyDescent="0.2">
      <c r="A564" s="15" t="s">
        <v>11</v>
      </c>
      <c r="B564" s="31">
        <v>45097</v>
      </c>
      <c r="C564" s="10" t="s">
        <v>12</v>
      </c>
      <c r="D564" s="5">
        <v>50.27</v>
      </c>
      <c r="E564" s="5">
        <v>2538.44</v>
      </c>
      <c r="F564" s="16" t="s">
        <v>505</v>
      </c>
    </row>
    <row r="565" spans="1:12" x14ac:dyDescent="0.2">
      <c r="A565" s="15" t="s">
        <v>11</v>
      </c>
      <c r="B565" s="31">
        <v>45097</v>
      </c>
      <c r="C565" s="10" t="s">
        <v>12</v>
      </c>
      <c r="D565" s="5">
        <v>49.95</v>
      </c>
      <c r="E565" s="5">
        <v>2543.7600000000002</v>
      </c>
      <c r="F565" s="16" t="s">
        <v>506</v>
      </c>
      <c r="G565" s="13">
        <f>AVERAGE(E565,E567)</f>
        <v>2541.835</v>
      </c>
      <c r="H565" s="18">
        <f>STDEV(E565,E567)</f>
        <v>2.7223611075684651</v>
      </c>
      <c r="K565" s="5">
        <f>G565+$J$555</f>
        <v>2529.5450000000001</v>
      </c>
    </row>
    <row r="566" spans="1:12" x14ac:dyDescent="0.2">
      <c r="A566" s="15" t="s">
        <v>11</v>
      </c>
      <c r="B566" s="31">
        <v>45097</v>
      </c>
      <c r="C566" s="10" t="s">
        <v>12</v>
      </c>
      <c r="D566" s="5">
        <v>50.02</v>
      </c>
      <c r="E566" s="14">
        <v>2532.9699999999998</v>
      </c>
      <c r="F566" s="16" t="s">
        <v>507</v>
      </c>
    </row>
    <row r="567" spans="1:12" x14ac:dyDescent="0.2">
      <c r="A567" s="15" t="s">
        <v>11</v>
      </c>
      <c r="B567" s="31">
        <v>45097</v>
      </c>
      <c r="C567" s="10" t="s">
        <v>12</v>
      </c>
      <c r="D567" s="5">
        <v>50.06</v>
      </c>
      <c r="E567" s="5">
        <v>2539.91</v>
      </c>
      <c r="F567" s="16" t="s">
        <v>508</v>
      </c>
    </row>
    <row r="568" spans="1:12" x14ac:dyDescent="0.2">
      <c r="A568" s="15" t="s">
        <v>11</v>
      </c>
      <c r="B568" s="31">
        <v>45097</v>
      </c>
      <c r="C568" s="10" t="s">
        <v>12</v>
      </c>
      <c r="D568" s="5">
        <v>50.55</v>
      </c>
      <c r="E568" s="5">
        <v>2542.6</v>
      </c>
      <c r="F568" s="16" t="s">
        <v>509</v>
      </c>
      <c r="G568" s="13">
        <f>AVERAGE(E568,E570)</f>
        <v>2540.7649999999999</v>
      </c>
      <c r="H568" s="18">
        <f>STDEV(E568,E570)</f>
        <v>2.5950818869546808</v>
      </c>
      <c r="K568" s="5">
        <f>G568+$J$555</f>
        <v>2528.4749999999999</v>
      </c>
    </row>
    <row r="569" spans="1:12" x14ac:dyDescent="0.2">
      <c r="A569" s="15" t="s">
        <v>11</v>
      </c>
      <c r="B569" s="31">
        <v>45097</v>
      </c>
      <c r="C569" s="10" t="s">
        <v>12</v>
      </c>
      <c r="D569" s="5">
        <v>48.6</v>
      </c>
      <c r="E569" s="14">
        <v>2526.31</v>
      </c>
      <c r="F569" s="16" t="s">
        <v>510</v>
      </c>
    </row>
    <row r="570" spans="1:12" x14ac:dyDescent="0.2">
      <c r="A570" s="15" t="s">
        <v>11</v>
      </c>
      <c r="B570" s="31">
        <v>45097</v>
      </c>
      <c r="C570" s="10" t="s">
        <v>12</v>
      </c>
      <c r="D570" s="5">
        <v>50.59</v>
      </c>
      <c r="E570" s="5">
        <v>2538.9299999999998</v>
      </c>
      <c r="F570" s="16" t="s">
        <v>511</v>
      </c>
    </row>
    <row r="571" spans="1:12" x14ac:dyDescent="0.2">
      <c r="A571" s="15" t="s">
        <v>11</v>
      </c>
      <c r="B571" s="31">
        <v>45097</v>
      </c>
      <c r="C571" s="10" t="s">
        <v>12</v>
      </c>
      <c r="D571" s="5">
        <v>50.83</v>
      </c>
      <c r="E571" s="5">
        <v>2701.73</v>
      </c>
      <c r="F571" s="16" t="s">
        <v>512</v>
      </c>
      <c r="G571" s="13">
        <f>AVERAGE(E571,E574)</f>
        <v>2700.95</v>
      </c>
      <c r="H571" s="18">
        <f>STDEV(E571,E574)</f>
        <v>1.1030865786509756</v>
      </c>
      <c r="K571" s="5">
        <f>G571+$J$555</f>
        <v>2688.66</v>
      </c>
    </row>
    <row r="572" spans="1:12" x14ac:dyDescent="0.2">
      <c r="A572" s="15" t="s">
        <v>11</v>
      </c>
      <c r="B572" s="31">
        <v>45097</v>
      </c>
      <c r="C572" s="10" t="s">
        <v>12</v>
      </c>
      <c r="D572" s="5">
        <v>50.75</v>
      </c>
      <c r="E572" s="14">
        <v>2690.09</v>
      </c>
      <c r="F572" s="16" t="s">
        <v>513</v>
      </c>
    </row>
    <row r="573" spans="1:12" x14ac:dyDescent="0.2">
      <c r="A573" s="15" t="s">
        <v>11</v>
      </c>
      <c r="B573" s="31">
        <v>45097</v>
      </c>
      <c r="C573" s="10" t="s">
        <v>12</v>
      </c>
      <c r="D573" s="5">
        <v>48.88</v>
      </c>
      <c r="E573" s="14">
        <v>2710.48</v>
      </c>
      <c r="F573" s="16" t="s">
        <v>514</v>
      </c>
    </row>
    <row r="574" spans="1:12" x14ac:dyDescent="0.2">
      <c r="A574" s="15" t="s">
        <v>11</v>
      </c>
      <c r="B574" s="31">
        <v>45098</v>
      </c>
      <c r="C574" s="10" t="s">
        <v>12</v>
      </c>
      <c r="D574" s="5">
        <v>48.6</v>
      </c>
      <c r="E574" s="5">
        <v>2700.17</v>
      </c>
      <c r="F574" s="16" t="s">
        <v>552</v>
      </c>
    </row>
    <row r="575" spans="1:12" x14ac:dyDescent="0.2">
      <c r="A575" s="15" t="s">
        <v>11</v>
      </c>
      <c r="B575" s="31">
        <v>45098</v>
      </c>
      <c r="C575" s="10" t="s">
        <v>12</v>
      </c>
      <c r="D575" s="5">
        <v>50.3</v>
      </c>
      <c r="E575" s="14">
        <v>2240.85</v>
      </c>
      <c r="F575" s="16" t="s">
        <v>8</v>
      </c>
      <c r="G575" s="13">
        <f>AVERAGE(E576,E577)</f>
        <v>2235.2750000000001</v>
      </c>
      <c r="H575" s="18">
        <f>STDEV(E576,E577)</f>
        <v>2.7647875144392979</v>
      </c>
      <c r="I575" s="3">
        <v>2226.44</v>
      </c>
      <c r="J575" s="4">
        <f>I575-G575</f>
        <v>-8.8350000000000364</v>
      </c>
      <c r="K575" s="5">
        <f>G575+J575</f>
        <v>2226.44</v>
      </c>
      <c r="L575" s="2" t="s">
        <v>94</v>
      </c>
    </row>
    <row r="576" spans="1:12" x14ac:dyDescent="0.2">
      <c r="A576" s="15" t="s">
        <v>11</v>
      </c>
      <c r="B576" s="31">
        <v>45098</v>
      </c>
      <c r="C576" s="10" t="s">
        <v>12</v>
      </c>
      <c r="D576" s="5">
        <v>51.28</v>
      </c>
      <c r="E576" s="5">
        <v>2233.3200000000002</v>
      </c>
      <c r="F576" s="16" t="s">
        <v>9</v>
      </c>
    </row>
    <row r="577" spans="1:11" x14ac:dyDescent="0.2">
      <c r="A577" s="15" t="s">
        <v>11</v>
      </c>
      <c r="B577" s="31">
        <v>45098</v>
      </c>
      <c r="C577" s="10" t="s">
        <v>12</v>
      </c>
      <c r="D577" s="5">
        <v>50.69</v>
      </c>
      <c r="E577" s="5">
        <v>2237.23</v>
      </c>
      <c r="F577" s="16" t="s">
        <v>96</v>
      </c>
    </row>
    <row r="578" spans="1:11" x14ac:dyDescent="0.2">
      <c r="A578" s="15" t="s">
        <v>11</v>
      </c>
      <c r="B578" s="31">
        <v>45098</v>
      </c>
      <c r="C578" s="10" t="s">
        <v>12</v>
      </c>
      <c r="D578" s="5">
        <v>48.44</v>
      </c>
      <c r="E578" s="5">
        <v>2593.87</v>
      </c>
      <c r="F578" s="16" t="s">
        <v>515</v>
      </c>
      <c r="G578" s="13">
        <f>AVERAGE(E578:E579)</f>
        <v>2595.9299999999998</v>
      </c>
      <c r="H578" s="18">
        <f>STDEV(E578:E579)</f>
        <v>2.9132799384884986</v>
      </c>
      <c r="K578" s="5">
        <f>G578+$J$575</f>
        <v>2587.0949999999998</v>
      </c>
    </row>
    <row r="579" spans="1:11" x14ac:dyDescent="0.2">
      <c r="A579" s="15" t="s">
        <v>11</v>
      </c>
      <c r="B579" s="31">
        <v>45098</v>
      </c>
      <c r="C579" s="10" t="s">
        <v>12</v>
      </c>
      <c r="D579" s="5">
        <v>50.4</v>
      </c>
      <c r="E579" s="5">
        <v>2597.9899999999998</v>
      </c>
      <c r="F579" s="16" t="s">
        <v>516</v>
      </c>
    </row>
    <row r="580" spans="1:11" x14ac:dyDescent="0.2">
      <c r="A580" s="15" t="s">
        <v>11</v>
      </c>
      <c r="B580" s="31">
        <v>45098</v>
      </c>
      <c r="C580" s="10" t="s">
        <v>12</v>
      </c>
      <c r="D580" s="5">
        <v>50.8</v>
      </c>
      <c r="E580" s="5">
        <v>2601.64</v>
      </c>
      <c r="F580" s="16" t="s">
        <v>517</v>
      </c>
      <c r="G580" s="13">
        <f>AVERAGE(E580:E581)</f>
        <v>2599.62</v>
      </c>
      <c r="H580" s="18">
        <f>STDEV(E580:E581)</f>
        <v>2.8567113959936261</v>
      </c>
      <c r="K580" s="5">
        <f>G580+$J$575</f>
        <v>2590.7849999999999</v>
      </c>
    </row>
    <row r="581" spans="1:11" x14ac:dyDescent="0.2">
      <c r="A581" s="15" t="s">
        <v>11</v>
      </c>
      <c r="B581" s="31">
        <v>45098</v>
      </c>
      <c r="C581" s="10" t="s">
        <v>12</v>
      </c>
      <c r="D581" s="5">
        <v>51.91</v>
      </c>
      <c r="E581" s="5">
        <v>2597.6</v>
      </c>
      <c r="F581" s="16" t="s">
        <v>518</v>
      </c>
    </row>
    <row r="582" spans="1:11" x14ac:dyDescent="0.2">
      <c r="A582" s="15" t="s">
        <v>11</v>
      </c>
      <c r="B582" s="31">
        <v>45098</v>
      </c>
      <c r="C582" s="10" t="s">
        <v>12</v>
      </c>
      <c r="D582" s="5">
        <v>51.17</v>
      </c>
      <c r="E582" s="5">
        <v>2555.08</v>
      </c>
      <c r="F582" s="16" t="s">
        <v>519</v>
      </c>
      <c r="G582" s="13">
        <f>AVERAGE(E582:E583)</f>
        <v>2558.5349999999999</v>
      </c>
      <c r="H582" s="18">
        <f>STDEV(E582:E583)</f>
        <v>4.8861078579989403</v>
      </c>
      <c r="K582" s="5">
        <f>G582+$J$575</f>
        <v>2549.6999999999998</v>
      </c>
    </row>
    <row r="583" spans="1:11" x14ac:dyDescent="0.2">
      <c r="A583" s="15" t="s">
        <v>11</v>
      </c>
      <c r="B583" s="31">
        <v>45098</v>
      </c>
      <c r="C583" s="10" t="s">
        <v>12</v>
      </c>
      <c r="D583" s="5">
        <v>51.28</v>
      </c>
      <c r="E583" s="5">
        <v>2561.9899999999998</v>
      </c>
      <c r="F583" s="16" t="s">
        <v>520</v>
      </c>
    </row>
    <row r="584" spans="1:11" x14ac:dyDescent="0.2">
      <c r="A584" s="15" t="s">
        <v>11</v>
      </c>
      <c r="B584" s="31">
        <v>45098</v>
      </c>
      <c r="C584" s="10" t="s">
        <v>12</v>
      </c>
      <c r="D584" s="5">
        <v>51.51</v>
      </c>
      <c r="E584" s="5">
        <v>2684.96</v>
      </c>
      <c r="F584" s="16" t="s">
        <v>521</v>
      </c>
      <c r="G584" s="13">
        <f>AVERAGE(E584:E585)</f>
        <v>2683.2950000000001</v>
      </c>
      <c r="H584" s="18">
        <f>STDEV(E584:E585)</f>
        <v>2.3546655813511519</v>
      </c>
      <c r="K584" s="5">
        <f>G584+$J$575</f>
        <v>2674.46</v>
      </c>
    </row>
    <row r="585" spans="1:11" x14ac:dyDescent="0.2">
      <c r="A585" s="15" t="s">
        <v>11</v>
      </c>
      <c r="B585" s="31">
        <v>45098</v>
      </c>
      <c r="C585" s="10" t="s">
        <v>12</v>
      </c>
      <c r="D585" s="5">
        <v>49.79</v>
      </c>
      <c r="E585" s="5">
        <v>2681.63</v>
      </c>
      <c r="F585" s="16" t="s">
        <v>522</v>
      </c>
    </row>
    <row r="586" spans="1:11" x14ac:dyDescent="0.2">
      <c r="A586" s="15" t="s">
        <v>11</v>
      </c>
      <c r="B586" s="31">
        <v>45099</v>
      </c>
      <c r="C586" s="10" t="s">
        <v>12</v>
      </c>
      <c r="D586" s="5">
        <v>49.98</v>
      </c>
      <c r="E586" s="14">
        <v>2715.04</v>
      </c>
      <c r="F586" s="16" t="s">
        <v>523</v>
      </c>
      <c r="G586" s="13">
        <f>AVERAGE(E587:E588)</f>
        <v>2693.16</v>
      </c>
      <c r="H586" s="18">
        <f>STDEV(E587:E588)</f>
        <v>0.33941125496955571</v>
      </c>
      <c r="K586" s="5">
        <f>G586+$J$575</f>
        <v>2684.3249999999998</v>
      </c>
    </row>
    <row r="587" spans="1:11" x14ac:dyDescent="0.2">
      <c r="A587" s="15" t="s">
        <v>11</v>
      </c>
      <c r="B587" s="31">
        <v>45099</v>
      </c>
      <c r="C587" s="10" t="s">
        <v>12</v>
      </c>
      <c r="D587" s="5">
        <v>50.43</v>
      </c>
      <c r="E587" s="5">
        <v>2692.92</v>
      </c>
      <c r="F587" s="16" t="s">
        <v>524</v>
      </c>
    </row>
    <row r="588" spans="1:11" x14ac:dyDescent="0.2">
      <c r="A588" s="15" t="s">
        <v>11</v>
      </c>
      <c r="B588" s="31">
        <v>45099</v>
      </c>
      <c r="C588" s="10" t="s">
        <v>12</v>
      </c>
      <c r="D588" s="5">
        <v>50.15</v>
      </c>
      <c r="E588" s="5">
        <v>2693.4</v>
      </c>
      <c r="F588" s="16" t="s">
        <v>525</v>
      </c>
    </row>
    <row r="589" spans="1:11" x14ac:dyDescent="0.2">
      <c r="A589" s="15" t="s">
        <v>11</v>
      </c>
      <c r="B589" s="31">
        <v>45099</v>
      </c>
      <c r="C589" s="10" t="s">
        <v>12</v>
      </c>
      <c r="D589" s="5">
        <v>50.55</v>
      </c>
      <c r="E589" s="5">
        <v>2686.54</v>
      </c>
      <c r="F589" s="16" t="s">
        <v>526</v>
      </c>
      <c r="G589" s="13">
        <f>AVERAGE(E589:E590)</f>
        <v>2684.17</v>
      </c>
      <c r="H589" s="18">
        <f>STDEV(E589:E590)</f>
        <v>3.3516861428240809</v>
      </c>
      <c r="K589" s="5">
        <f>G589+$J$575</f>
        <v>2675.335</v>
      </c>
    </row>
    <row r="590" spans="1:11" x14ac:dyDescent="0.2">
      <c r="A590" s="15" t="s">
        <v>11</v>
      </c>
      <c r="B590" s="31">
        <v>45099</v>
      </c>
      <c r="C590" s="10" t="s">
        <v>12</v>
      </c>
      <c r="D590" s="5">
        <v>50.75</v>
      </c>
      <c r="E590" s="5">
        <v>2681.8</v>
      </c>
      <c r="F590" s="16" t="s">
        <v>527</v>
      </c>
    </row>
    <row r="591" spans="1:11" x14ac:dyDescent="0.2">
      <c r="A591" s="15" t="s">
        <v>11</v>
      </c>
      <c r="B591" s="31">
        <v>45099</v>
      </c>
      <c r="C591" s="10" t="s">
        <v>12</v>
      </c>
      <c r="D591" s="5">
        <v>49.37</v>
      </c>
      <c r="E591" s="5">
        <v>2538.7600000000002</v>
      </c>
      <c r="F591" s="16" t="s">
        <v>528</v>
      </c>
      <c r="G591" s="13">
        <f>AVERAGE(E591,E593)</f>
        <v>2539.2200000000003</v>
      </c>
      <c r="H591" s="18">
        <f>STDEV(E591,E593)</f>
        <v>0.65053823869135363</v>
      </c>
      <c r="K591" s="5">
        <f>G591+$J$575</f>
        <v>2530.3850000000002</v>
      </c>
    </row>
    <row r="592" spans="1:11" x14ac:dyDescent="0.2">
      <c r="A592" s="15" t="s">
        <v>11</v>
      </c>
      <c r="B592" s="31">
        <v>45099</v>
      </c>
      <c r="C592" s="10" t="s">
        <v>12</v>
      </c>
      <c r="D592" s="5">
        <v>50.21</v>
      </c>
      <c r="E592" s="14">
        <v>2524.25</v>
      </c>
      <c r="F592" s="16" t="s">
        <v>529</v>
      </c>
    </row>
    <row r="593" spans="1:11" x14ac:dyDescent="0.2">
      <c r="A593" s="15" t="s">
        <v>11</v>
      </c>
      <c r="B593" s="31">
        <v>45099</v>
      </c>
      <c r="C593" s="10" t="s">
        <v>12</v>
      </c>
      <c r="D593" s="5">
        <v>48.43</v>
      </c>
      <c r="E593" s="5">
        <v>2539.6799999999998</v>
      </c>
      <c r="F593" s="16" t="s">
        <v>530</v>
      </c>
    </row>
    <row r="594" spans="1:11" x14ac:dyDescent="0.2">
      <c r="A594" s="15" t="s">
        <v>11</v>
      </c>
      <c r="B594" s="31">
        <v>45099</v>
      </c>
      <c r="C594" s="10" t="s">
        <v>12</v>
      </c>
      <c r="D594" s="5">
        <v>50.41</v>
      </c>
      <c r="E594" s="14">
        <v>2578.7800000000002</v>
      </c>
      <c r="F594" s="16" t="s">
        <v>531</v>
      </c>
      <c r="G594" s="13">
        <f>AVERAGE(E595:E596)</f>
        <v>2590.33</v>
      </c>
      <c r="H594" s="18">
        <f>STDEV(E595:E596)</f>
        <v>3.0688434303497192</v>
      </c>
      <c r="K594" s="5">
        <f>G594+$J$575</f>
        <v>2581.4949999999999</v>
      </c>
    </row>
    <row r="595" spans="1:11" x14ac:dyDescent="0.2">
      <c r="A595" s="15" t="s">
        <v>11</v>
      </c>
      <c r="B595" s="31">
        <v>45099</v>
      </c>
      <c r="C595" s="10" t="s">
        <v>12</v>
      </c>
      <c r="D595" s="5">
        <v>49.38</v>
      </c>
      <c r="E595" s="5">
        <v>2592.5</v>
      </c>
      <c r="F595" s="16" t="s">
        <v>532</v>
      </c>
    </row>
    <row r="596" spans="1:11" x14ac:dyDescent="0.2">
      <c r="A596" s="15" t="s">
        <v>11</v>
      </c>
      <c r="B596" s="31">
        <v>45099</v>
      </c>
      <c r="C596" s="10" t="s">
        <v>12</v>
      </c>
      <c r="D596" s="5">
        <v>49.42</v>
      </c>
      <c r="E596" s="5">
        <v>2588.16</v>
      </c>
      <c r="F596" s="16" t="s">
        <v>553</v>
      </c>
    </row>
    <row r="597" spans="1:11" x14ac:dyDescent="0.2">
      <c r="A597" s="15" t="s">
        <v>11</v>
      </c>
      <c r="B597" s="31">
        <v>45099</v>
      </c>
      <c r="C597" s="10" t="s">
        <v>12</v>
      </c>
      <c r="D597" s="5">
        <v>51.38</v>
      </c>
      <c r="E597" s="14">
        <v>2545.4299999999998</v>
      </c>
      <c r="F597" s="16" t="s">
        <v>533</v>
      </c>
      <c r="G597" s="13">
        <f>AVERAGE(E598:E599)</f>
        <v>2558.52</v>
      </c>
      <c r="H597" s="18">
        <f>STDEV(E598:E599)</f>
        <v>3.1112698372205521</v>
      </c>
      <c r="K597" s="5">
        <f>G597+$J$575</f>
        <v>2549.6849999999999</v>
      </c>
    </row>
    <row r="598" spans="1:11" x14ac:dyDescent="0.2">
      <c r="A598" s="15" t="s">
        <v>11</v>
      </c>
      <c r="B598" s="31">
        <v>45099</v>
      </c>
      <c r="C598" s="10" t="s">
        <v>12</v>
      </c>
      <c r="D598" s="5">
        <v>51.28</v>
      </c>
      <c r="E598" s="5">
        <v>2560.7199999999998</v>
      </c>
      <c r="F598" s="16" t="s">
        <v>534</v>
      </c>
    </row>
    <row r="599" spans="1:11" x14ac:dyDescent="0.2">
      <c r="A599" s="15" t="s">
        <v>11</v>
      </c>
      <c r="B599" s="31">
        <v>45099</v>
      </c>
      <c r="C599" s="10" t="s">
        <v>12</v>
      </c>
      <c r="D599" s="5">
        <v>50.12</v>
      </c>
      <c r="E599" s="5">
        <v>2556.3200000000002</v>
      </c>
      <c r="F599" s="16" t="s">
        <v>535</v>
      </c>
    </row>
    <row r="600" spans="1:11" x14ac:dyDescent="0.2">
      <c r="A600" s="15" t="s">
        <v>11</v>
      </c>
      <c r="B600" s="31">
        <v>45099</v>
      </c>
      <c r="C600" s="10" t="s">
        <v>12</v>
      </c>
      <c r="D600" s="5">
        <v>51.33</v>
      </c>
      <c r="E600" s="5">
        <v>2680.89</v>
      </c>
      <c r="F600" s="16" t="s">
        <v>536</v>
      </c>
      <c r="G600" s="13">
        <f>AVERAGE(E600:E601)</f>
        <v>2678.87</v>
      </c>
      <c r="H600" s="18">
        <f>STDEV(E600:E601)</f>
        <v>2.8567113959936261</v>
      </c>
      <c r="K600" s="5">
        <f>G600+$J$575</f>
        <v>2670.0349999999999</v>
      </c>
    </row>
    <row r="601" spans="1:11" x14ac:dyDescent="0.2">
      <c r="A601" s="15" t="s">
        <v>11</v>
      </c>
      <c r="B601" s="31">
        <v>45099</v>
      </c>
      <c r="C601" s="10" t="s">
        <v>12</v>
      </c>
      <c r="D601" s="5">
        <v>51.22</v>
      </c>
      <c r="E601" s="5">
        <v>2676.85</v>
      </c>
      <c r="F601" s="16" t="s">
        <v>537</v>
      </c>
    </row>
    <row r="602" spans="1:11" x14ac:dyDescent="0.2">
      <c r="A602" s="15" t="s">
        <v>11</v>
      </c>
      <c r="B602" s="31">
        <v>45099</v>
      </c>
      <c r="C602" s="10" t="s">
        <v>12</v>
      </c>
      <c r="D602" s="5">
        <v>53.6</v>
      </c>
      <c r="E602" s="14">
        <v>2626.42</v>
      </c>
      <c r="F602" s="16" t="s">
        <v>538</v>
      </c>
      <c r="G602" s="13">
        <f>AVERAGE(E603:E604)</f>
        <v>2616.3000000000002</v>
      </c>
      <c r="H602" s="18">
        <f>STDEV(E603:E604)</f>
        <v>3.8466608896548569</v>
      </c>
      <c r="K602" s="5">
        <f>G602+$J$575</f>
        <v>2607.4650000000001</v>
      </c>
    </row>
    <row r="603" spans="1:11" x14ac:dyDescent="0.2">
      <c r="A603" s="15" t="s">
        <v>11</v>
      </c>
      <c r="B603" s="31">
        <v>45099</v>
      </c>
      <c r="C603" s="10" t="s">
        <v>12</v>
      </c>
      <c r="D603" s="5">
        <v>51.26</v>
      </c>
      <c r="E603" s="5">
        <v>2613.58</v>
      </c>
      <c r="F603" s="16" t="s">
        <v>539</v>
      </c>
    </row>
    <row r="604" spans="1:11" x14ac:dyDescent="0.2">
      <c r="A604" s="15" t="s">
        <v>11</v>
      </c>
      <c r="B604" s="31">
        <v>45099</v>
      </c>
      <c r="C604" s="10" t="s">
        <v>12</v>
      </c>
      <c r="D604" s="5">
        <v>50.69</v>
      </c>
      <c r="E604" s="5">
        <v>2619.02</v>
      </c>
      <c r="F604" s="16" t="s">
        <v>540</v>
      </c>
    </row>
    <row r="605" spans="1:11" x14ac:dyDescent="0.2">
      <c r="A605" s="15" t="s">
        <v>11</v>
      </c>
      <c r="B605" s="31">
        <v>45099</v>
      </c>
      <c r="C605" s="10" t="s">
        <v>12</v>
      </c>
      <c r="D605" s="5">
        <v>53.95</v>
      </c>
      <c r="E605" s="5">
        <v>2543.17</v>
      </c>
      <c r="F605" s="16" t="s">
        <v>541</v>
      </c>
      <c r="G605" s="13">
        <f>AVERAGE(E605,E607)</f>
        <v>2545.9499999999998</v>
      </c>
      <c r="H605" s="18">
        <f>STDEV(E605,E607)</f>
        <v>3.9315137033971657</v>
      </c>
      <c r="K605" s="5">
        <f>G605+$J$575</f>
        <v>2537.1149999999998</v>
      </c>
    </row>
    <row r="606" spans="1:11" x14ac:dyDescent="0.2">
      <c r="A606" s="15" t="s">
        <v>11</v>
      </c>
      <c r="B606" s="31">
        <v>45099</v>
      </c>
      <c r="C606" s="10" t="s">
        <v>12</v>
      </c>
      <c r="D606" s="5">
        <v>51</v>
      </c>
      <c r="E606" s="14">
        <v>2532.25</v>
      </c>
      <c r="F606" s="16" t="s">
        <v>542</v>
      </c>
    </row>
    <row r="607" spans="1:11" x14ac:dyDescent="0.2">
      <c r="A607" s="15" t="s">
        <v>11</v>
      </c>
      <c r="B607" s="31">
        <v>45099</v>
      </c>
      <c r="C607" s="10" t="s">
        <v>12</v>
      </c>
      <c r="D607" s="5">
        <v>50.84</v>
      </c>
      <c r="E607" s="5">
        <v>2548.73</v>
      </c>
      <c r="F607" s="16" t="s">
        <v>543</v>
      </c>
    </row>
    <row r="608" spans="1:11" x14ac:dyDescent="0.2">
      <c r="A608" s="15" t="s">
        <v>11</v>
      </c>
      <c r="B608" s="31">
        <v>45099</v>
      </c>
      <c r="C608" s="10" t="s">
        <v>12</v>
      </c>
      <c r="D608" s="5">
        <v>50.39</v>
      </c>
      <c r="E608" s="14">
        <v>2552.04</v>
      </c>
      <c r="F608" s="16" t="s">
        <v>544</v>
      </c>
      <c r="G608" s="13">
        <f>AVERAGE(E609:E610)</f>
        <v>2595.13</v>
      </c>
      <c r="H608" s="18">
        <f>STDEV(E609:E610)</f>
        <v>2.3475945135394536</v>
      </c>
      <c r="K608" s="5">
        <f>G608+$J$575</f>
        <v>2586.2950000000001</v>
      </c>
    </row>
    <row r="609" spans="1:12" x14ac:dyDescent="0.2">
      <c r="A609" s="15" t="s">
        <v>11</v>
      </c>
      <c r="B609" s="31">
        <v>45099</v>
      </c>
      <c r="C609" s="10" t="s">
        <v>12</v>
      </c>
      <c r="D609" s="5">
        <v>49.68</v>
      </c>
      <c r="E609" s="5">
        <v>2593.4699999999998</v>
      </c>
      <c r="F609" s="16" t="s">
        <v>545</v>
      </c>
    </row>
    <row r="610" spans="1:12" x14ac:dyDescent="0.2">
      <c r="A610" s="15" t="s">
        <v>11</v>
      </c>
      <c r="B610" s="31">
        <v>45099</v>
      </c>
      <c r="C610" s="10" t="s">
        <v>12</v>
      </c>
      <c r="D610" s="5">
        <v>50.42</v>
      </c>
      <c r="E610" s="5">
        <v>2596.79</v>
      </c>
      <c r="F610" s="16" t="s">
        <v>554</v>
      </c>
    </row>
    <row r="611" spans="1:12" x14ac:dyDescent="0.2">
      <c r="A611" s="15" t="s">
        <v>11</v>
      </c>
      <c r="B611" s="31">
        <v>45099</v>
      </c>
      <c r="C611" s="10" t="s">
        <v>12</v>
      </c>
      <c r="D611" s="5">
        <v>51.14</v>
      </c>
      <c r="E611" s="5">
        <v>2689.54</v>
      </c>
      <c r="F611" s="16" t="s">
        <v>546</v>
      </c>
      <c r="G611" s="13">
        <f>AVERAGE(E611:E612)</f>
        <v>2687.41</v>
      </c>
      <c r="H611" s="18">
        <f>STDEV(E611:E612)</f>
        <v>3.0122748878545251</v>
      </c>
      <c r="K611" s="5">
        <f>G611+$J$575</f>
        <v>2678.5749999999998</v>
      </c>
    </row>
    <row r="612" spans="1:12" x14ac:dyDescent="0.2">
      <c r="A612" s="15" t="s">
        <v>11</v>
      </c>
      <c r="B612" s="31">
        <v>45099</v>
      </c>
      <c r="C612" s="10" t="s">
        <v>12</v>
      </c>
      <c r="D612" s="5">
        <v>50.5</v>
      </c>
      <c r="E612" s="5">
        <v>2685.28</v>
      </c>
      <c r="F612" s="16" t="s">
        <v>547</v>
      </c>
    </row>
    <row r="613" spans="1:12" x14ac:dyDescent="0.2">
      <c r="A613" s="15" t="s">
        <v>11</v>
      </c>
      <c r="B613" s="31">
        <v>45181</v>
      </c>
      <c r="C613" s="10" t="s">
        <v>12</v>
      </c>
      <c r="D613" s="5">
        <v>49.83</v>
      </c>
      <c r="E613" s="22">
        <v>2249.41</v>
      </c>
      <c r="F613" s="16" t="s">
        <v>8</v>
      </c>
      <c r="G613" s="13">
        <f>AVERAGE(E613,E615:E616)</f>
        <v>2249.0333333333333</v>
      </c>
      <c r="H613" s="18">
        <f>STDEV(E613,E615:E616)</f>
        <v>2.308166660649452</v>
      </c>
      <c r="I613" s="3">
        <v>2226.44</v>
      </c>
      <c r="J613" s="4">
        <f>I613-G613</f>
        <v>-22.593333333333248</v>
      </c>
      <c r="K613" s="5">
        <f>G613+J613</f>
        <v>2226.44</v>
      </c>
      <c r="L613" s="2" t="s">
        <v>94</v>
      </c>
    </row>
    <row r="614" spans="1:12" x14ac:dyDescent="0.2">
      <c r="A614" s="15" t="s">
        <v>11</v>
      </c>
      <c r="B614" s="31">
        <v>45181</v>
      </c>
      <c r="C614" s="10" t="s">
        <v>12</v>
      </c>
      <c r="D614" s="5">
        <v>50.96</v>
      </c>
      <c r="E614" s="14">
        <v>2206.6</v>
      </c>
      <c r="F614" s="16" t="s">
        <v>9</v>
      </c>
    </row>
    <row r="615" spans="1:12" x14ac:dyDescent="0.2">
      <c r="A615" s="15" t="s">
        <v>11</v>
      </c>
      <c r="B615" s="31">
        <v>45181</v>
      </c>
      <c r="C615" s="10" t="s">
        <v>12</v>
      </c>
      <c r="D615" s="5">
        <v>48.36</v>
      </c>
      <c r="E615" s="22">
        <v>2251.13</v>
      </c>
      <c r="F615" s="16" t="s">
        <v>96</v>
      </c>
    </row>
    <row r="616" spans="1:12" x14ac:dyDescent="0.2">
      <c r="A616" s="15" t="s">
        <v>11</v>
      </c>
      <c r="B616" s="31">
        <v>45181</v>
      </c>
      <c r="C616" s="10" t="s">
        <v>12</v>
      </c>
      <c r="D616" s="15">
        <v>49.89</v>
      </c>
      <c r="E616" s="5">
        <v>2246.56</v>
      </c>
      <c r="F616" s="16" t="s">
        <v>630</v>
      </c>
    </row>
    <row r="617" spans="1:12" x14ac:dyDescent="0.2">
      <c r="A617" s="15" t="s">
        <v>11</v>
      </c>
      <c r="B617" s="31">
        <v>45181</v>
      </c>
      <c r="C617" s="10" t="s">
        <v>12</v>
      </c>
      <c r="D617" s="5">
        <v>50.33</v>
      </c>
      <c r="E617" s="5">
        <v>2583.5100000000002</v>
      </c>
      <c r="F617" s="16" t="s">
        <v>555</v>
      </c>
      <c r="G617" s="13">
        <f>AVERAGE(E617:E618)</f>
        <v>2584.4949999999999</v>
      </c>
      <c r="H617" s="18">
        <f>STDEV(E617:E618)</f>
        <v>1.3930003589373572</v>
      </c>
      <c r="K617" s="5">
        <f>G617+$J$613</f>
        <v>2561.9016666666666</v>
      </c>
    </row>
    <row r="618" spans="1:12" x14ac:dyDescent="0.2">
      <c r="A618" s="15" t="s">
        <v>11</v>
      </c>
      <c r="B618" s="31">
        <v>45181</v>
      </c>
      <c r="C618" s="10" t="s">
        <v>12</v>
      </c>
      <c r="D618" s="5">
        <v>51.66</v>
      </c>
      <c r="E618" s="5">
        <v>2585.48</v>
      </c>
      <c r="F618" s="16" t="s">
        <v>556</v>
      </c>
    </row>
    <row r="619" spans="1:12" x14ac:dyDescent="0.2">
      <c r="A619" s="15" t="s">
        <v>11</v>
      </c>
      <c r="B619" s="31">
        <v>45181</v>
      </c>
      <c r="C619" s="10" t="s">
        <v>12</v>
      </c>
      <c r="D619" s="5">
        <v>51.24</v>
      </c>
      <c r="E619" s="5">
        <v>2618.61</v>
      </c>
      <c r="F619" s="16" t="s">
        <v>558</v>
      </c>
      <c r="G619" s="13">
        <f>AVERAGE(E619:E620)</f>
        <v>2616.0299999999997</v>
      </c>
      <c r="H619" s="18">
        <f>STDEV(E619:E620)</f>
        <v>3.6486709909228039</v>
      </c>
      <c r="K619" s="5">
        <f>G619+$J$613</f>
        <v>2593.4366666666665</v>
      </c>
    </row>
    <row r="620" spans="1:12" x14ac:dyDescent="0.2">
      <c r="A620" s="15" t="s">
        <v>11</v>
      </c>
      <c r="B620" s="31">
        <v>45181</v>
      </c>
      <c r="C620" s="10" t="s">
        <v>12</v>
      </c>
      <c r="D620" s="15">
        <v>48.02</v>
      </c>
      <c r="E620" s="15">
        <v>2613.4499999999998</v>
      </c>
      <c r="F620" s="16" t="s">
        <v>559</v>
      </c>
    </row>
    <row r="621" spans="1:12" x14ac:dyDescent="0.2">
      <c r="A621" s="15" t="s">
        <v>11</v>
      </c>
      <c r="B621" s="31">
        <v>45181</v>
      </c>
      <c r="C621" s="10" t="s">
        <v>12</v>
      </c>
      <c r="D621" s="5">
        <v>49.87</v>
      </c>
      <c r="E621" s="5">
        <v>2632.69</v>
      </c>
      <c r="F621" s="16" t="s">
        <v>560</v>
      </c>
      <c r="G621" s="13">
        <f>AVERAGE(E621,E623)</f>
        <v>2634.9750000000004</v>
      </c>
      <c r="H621" s="18">
        <f>STDEV(E621,E623)</f>
        <v>3.231477990022638</v>
      </c>
      <c r="K621" s="5">
        <f>G621+$J$613</f>
        <v>2612.3816666666671</v>
      </c>
    </row>
    <row r="622" spans="1:12" x14ac:dyDescent="0.2">
      <c r="A622" s="15" t="s">
        <v>11</v>
      </c>
      <c r="B622" s="31">
        <v>45181</v>
      </c>
      <c r="C622" s="10" t="s">
        <v>12</v>
      </c>
      <c r="D622" s="5">
        <v>49.8</v>
      </c>
      <c r="E622" s="14">
        <v>2652.05</v>
      </c>
      <c r="F622" s="16" t="s">
        <v>561</v>
      </c>
    </row>
    <row r="623" spans="1:12" x14ac:dyDescent="0.2">
      <c r="A623" s="15" t="s">
        <v>11</v>
      </c>
      <c r="B623" s="31">
        <v>45181</v>
      </c>
      <c r="C623" s="10" t="s">
        <v>12</v>
      </c>
      <c r="D623" s="5">
        <v>49.97</v>
      </c>
      <c r="E623" s="5">
        <v>2637.26</v>
      </c>
      <c r="F623" s="16" t="s">
        <v>631</v>
      </c>
    </row>
    <row r="624" spans="1:12" x14ac:dyDescent="0.2">
      <c r="A624" s="15" t="s">
        <v>11</v>
      </c>
      <c r="B624" s="31">
        <v>45181</v>
      </c>
      <c r="C624" s="10" t="s">
        <v>12</v>
      </c>
      <c r="D624" s="5">
        <v>51.1</v>
      </c>
      <c r="E624" s="5">
        <v>2582.6799999999998</v>
      </c>
      <c r="F624" s="16" t="s">
        <v>562</v>
      </c>
      <c r="G624" s="13">
        <f>AVERAGE(E624:E625)</f>
        <v>2580.12</v>
      </c>
      <c r="H624" s="18">
        <f>STDEV(E624:E625)</f>
        <v>3.6203867196750461</v>
      </c>
      <c r="K624" s="5">
        <f>G624+$J$613</f>
        <v>2557.5266666666666</v>
      </c>
    </row>
    <row r="625" spans="1:15" x14ac:dyDescent="0.2">
      <c r="A625" s="15" t="s">
        <v>11</v>
      </c>
      <c r="B625" s="31">
        <v>45181</v>
      </c>
      <c r="C625" s="10" t="s">
        <v>12</v>
      </c>
      <c r="D625" s="5">
        <v>50.43</v>
      </c>
      <c r="E625" s="22">
        <v>2577.56</v>
      </c>
      <c r="F625" s="16" t="s">
        <v>563</v>
      </c>
    </row>
    <row r="626" spans="1:15" x14ac:dyDescent="0.2">
      <c r="A626" s="15" t="s">
        <v>11</v>
      </c>
      <c r="B626" s="31">
        <v>45181</v>
      </c>
      <c r="C626" s="10" t="s">
        <v>12</v>
      </c>
      <c r="D626" s="5">
        <v>51.6</v>
      </c>
      <c r="E626" s="5">
        <v>2597.64</v>
      </c>
      <c r="F626" s="16" t="s">
        <v>565</v>
      </c>
      <c r="G626" s="13">
        <f>AVERAGE(E626:E627)</f>
        <v>2599.605</v>
      </c>
      <c r="H626" s="18">
        <f>STDEV(E626:E627)</f>
        <v>2.7789296500633376</v>
      </c>
      <c r="K626" s="5">
        <f>G626+$J$613</f>
        <v>2577.0116666666668</v>
      </c>
    </row>
    <row r="627" spans="1:15" x14ac:dyDescent="0.2">
      <c r="A627" s="15" t="s">
        <v>11</v>
      </c>
      <c r="B627" s="31">
        <v>45181</v>
      </c>
      <c r="C627" s="10" t="s">
        <v>12</v>
      </c>
      <c r="D627" s="5">
        <v>49.34</v>
      </c>
      <c r="E627" s="5">
        <v>2601.5700000000002</v>
      </c>
      <c r="F627" s="16" t="s">
        <v>566</v>
      </c>
    </row>
    <row r="628" spans="1:15" x14ac:dyDescent="0.2">
      <c r="A628" s="15" t="s">
        <v>11</v>
      </c>
      <c r="B628" s="31">
        <v>45181</v>
      </c>
      <c r="C628" s="10" t="s">
        <v>12</v>
      </c>
      <c r="D628" s="5">
        <v>49.47</v>
      </c>
      <c r="E628" s="5">
        <v>2610.0100000000002</v>
      </c>
      <c r="F628" s="16" t="s">
        <v>567</v>
      </c>
      <c r="G628" s="13">
        <f>AVERAGE(E628,E630)</f>
        <v>2611.2049999999999</v>
      </c>
      <c r="H628" s="18">
        <f>STDEV(E628,E630)</f>
        <v>1.6899852070357586</v>
      </c>
      <c r="K628" s="5">
        <f>G628+$J$613</f>
        <v>2588.6116666666667</v>
      </c>
      <c r="N628" s="5"/>
      <c r="O628" s="5"/>
    </row>
    <row r="629" spans="1:15" x14ac:dyDescent="0.2">
      <c r="A629" s="15" t="s">
        <v>11</v>
      </c>
      <c r="B629" s="31">
        <v>45181</v>
      </c>
      <c r="C629" s="10" t="s">
        <v>12</v>
      </c>
      <c r="D629" s="5">
        <v>50.18</v>
      </c>
      <c r="E629" s="14">
        <v>2642.76</v>
      </c>
      <c r="F629" s="16" t="s">
        <v>568</v>
      </c>
      <c r="N629" s="5"/>
      <c r="O629" s="5"/>
    </row>
    <row r="630" spans="1:15" x14ac:dyDescent="0.2">
      <c r="A630" s="15" t="s">
        <v>11</v>
      </c>
      <c r="B630" s="31">
        <v>45181</v>
      </c>
      <c r="C630" s="10" t="s">
        <v>12</v>
      </c>
      <c r="D630" s="5">
        <v>49.96</v>
      </c>
      <c r="E630" s="5">
        <v>2612.4</v>
      </c>
      <c r="F630" s="16" t="s">
        <v>635</v>
      </c>
    </row>
    <row r="631" spans="1:15" x14ac:dyDescent="0.2">
      <c r="C631" s="10" t="s">
        <v>12</v>
      </c>
      <c r="F631" s="16" t="s">
        <v>569</v>
      </c>
    </row>
    <row r="632" spans="1:15" x14ac:dyDescent="0.2">
      <c r="C632" s="10" t="s">
        <v>12</v>
      </c>
      <c r="F632" s="16" t="s">
        <v>570</v>
      </c>
    </row>
    <row r="633" spans="1:15" x14ac:dyDescent="0.2">
      <c r="C633" s="10" t="s">
        <v>12</v>
      </c>
      <c r="F633" s="16" t="s">
        <v>634</v>
      </c>
    </row>
    <row r="634" spans="1:15" x14ac:dyDescent="0.2">
      <c r="C634" s="10" t="s">
        <v>12</v>
      </c>
      <c r="F634" s="16" t="s">
        <v>571</v>
      </c>
    </row>
    <row r="635" spans="1:15" x14ac:dyDescent="0.2">
      <c r="C635" s="10" t="s">
        <v>12</v>
      </c>
      <c r="E635" s="14"/>
      <c r="F635" s="16" t="s">
        <v>572</v>
      </c>
    </row>
    <row r="636" spans="1:15" x14ac:dyDescent="0.2">
      <c r="C636" s="10" t="s">
        <v>12</v>
      </c>
      <c r="F636" s="16" t="s">
        <v>573</v>
      </c>
    </row>
    <row r="637" spans="1:15" x14ac:dyDescent="0.2">
      <c r="C637" s="10" t="s">
        <v>12</v>
      </c>
      <c r="F637" s="16" t="s">
        <v>574</v>
      </c>
    </row>
    <row r="638" spans="1:15" x14ac:dyDescent="0.2">
      <c r="C638" s="10" t="s">
        <v>12</v>
      </c>
      <c r="F638" s="16" t="s">
        <v>575</v>
      </c>
    </row>
    <row r="639" spans="1:15" x14ac:dyDescent="0.2">
      <c r="C639" s="10" t="s">
        <v>12</v>
      </c>
      <c r="F639" s="16" t="s">
        <v>633</v>
      </c>
    </row>
    <row r="640" spans="1:15" x14ac:dyDescent="0.2">
      <c r="C640" s="10" t="s">
        <v>12</v>
      </c>
      <c r="F640" s="16" t="s">
        <v>576</v>
      </c>
    </row>
    <row r="641" spans="3:6" x14ac:dyDescent="0.2">
      <c r="C641" s="10" t="s">
        <v>12</v>
      </c>
      <c r="F641" s="16" t="s">
        <v>577</v>
      </c>
    </row>
    <row r="642" spans="3:6" x14ac:dyDescent="0.2">
      <c r="C642" s="10" t="s">
        <v>12</v>
      </c>
      <c r="F642" s="16" t="s">
        <v>632</v>
      </c>
    </row>
    <row r="643" spans="3:6" x14ac:dyDescent="0.2">
      <c r="C643" s="10"/>
      <c r="F643" s="16"/>
    </row>
    <row r="644" spans="3:6" x14ac:dyDescent="0.2">
      <c r="C644" s="10" t="s">
        <v>12</v>
      </c>
      <c r="F644" s="16" t="s">
        <v>8</v>
      </c>
    </row>
    <row r="645" spans="3:6" x14ac:dyDescent="0.2">
      <c r="C645" s="10" t="s">
        <v>12</v>
      </c>
      <c r="E645" s="14"/>
      <c r="F645" s="16" t="s">
        <v>9</v>
      </c>
    </row>
    <row r="646" spans="3:6" x14ac:dyDescent="0.2">
      <c r="C646" s="10" t="s">
        <v>12</v>
      </c>
      <c r="F646" s="16" t="s">
        <v>96</v>
      </c>
    </row>
    <row r="647" spans="3:6" x14ac:dyDescent="0.2">
      <c r="C647" s="10" t="s">
        <v>12</v>
      </c>
      <c r="F647" s="16" t="s">
        <v>578</v>
      </c>
    </row>
    <row r="648" spans="3:6" x14ac:dyDescent="0.2">
      <c r="C648" s="10" t="s">
        <v>12</v>
      </c>
      <c r="F648" s="16" t="s">
        <v>579</v>
      </c>
    </row>
    <row r="649" spans="3:6" x14ac:dyDescent="0.2">
      <c r="C649" s="10" t="s">
        <v>12</v>
      </c>
      <c r="F649" s="16" t="s">
        <v>580</v>
      </c>
    </row>
    <row r="650" spans="3:6" x14ac:dyDescent="0.2">
      <c r="C650" s="10" t="s">
        <v>12</v>
      </c>
      <c r="F650" s="16" t="s">
        <v>581</v>
      </c>
    </row>
    <row r="651" spans="3:6" x14ac:dyDescent="0.2">
      <c r="C651" s="10" t="s">
        <v>12</v>
      </c>
      <c r="E651" s="14"/>
      <c r="F651" s="16" t="s">
        <v>582</v>
      </c>
    </row>
    <row r="652" spans="3:6" x14ac:dyDescent="0.2">
      <c r="C652" s="10" t="s">
        <v>12</v>
      </c>
      <c r="F652" s="16" t="s">
        <v>583</v>
      </c>
    </row>
    <row r="653" spans="3:6" x14ac:dyDescent="0.2">
      <c r="C653" s="10" t="s">
        <v>12</v>
      </c>
      <c r="F653" s="16" t="s">
        <v>584</v>
      </c>
    </row>
    <row r="654" spans="3:6" x14ac:dyDescent="0.2">
      <c r="C654" s="10" t="s">
        <v>12</v>
      </c>
      <c r="F654" s="16" t="s">
        <v>585</v>
      </c>
    </row>
    <row r="655" spans="3:6" x14ac:dyDescent="0.2">
      <c r="C655" s="10" t="s">
        <v>12</v>
      </c>
      <c r="E655" s="14"/>
      <c r="F655" s="16" t="s">
        <v>586</v>
      </c>
    </row>
    <row r="656" spans="3:6" x14ac:dyDescent="0.2">
      <c r="C656" s="10" t="s">
        <v>12</v>
      </c>
      <c r="F656" s="16" t="s">
        <v>587</v>
      </c>
    </row>
    <row r="657" spans="3:6" x14ac:dyDescent="0.2">
      <c r="C657" s="10" t="s">
        <v>12</v>
      </c>
      <c r="F657" s="16" t="s">
        <v>588</v>
      </c>
    </row>
    <row r="658" spans="3:6" x14ac:dyDescent="0.2">
      <c r="C658" s="10" t="s">
        <v>12</v>
      </c>
      <c r="E658" s="14"/>
      <c r="F658" s="16" t="s">
        <v>589</v>
      </c>
    </row>
    <row r="659" spans="3:6" x14ac:dyDescent="0.2">
      <c r="C659" s="10" t="s">
        <v>12</v>
      </c>
      <c r="F659" s="16" t="s">
        <v>590</v>
      </c>
    </row>
    <row r="660" spans="3:6" x14ac:dyDescent="0.2">
      <c r="C660" s="10" t="s">
        <v>12</v>
      </c>
      <c r="F660" s="16" t="s">
        <v>591</v>
      </c>
    </row>
    <row r="661" spans="3:6" x14ac:dyDescent="0.2">
      <c r="C661" s="10" t="s">
        <v>12</v>
      </c>
      <c r="E661" s="14"/>
      <c r="F661" s="16" t="s">
        <v>592</v>
      </c>
    </row>
    <row r="662" spans="3:6" x14ac:dyDescent="0.2">
      <c r="C662" s="10" t="s">
        <v>12</v>
      </c>
      <c r="E662" s="14"/>
      <c r="F662" s="16" t="s">
        <v>593</v>
      </c>
    </row>
    <row r="663" spans="3:6" x14ac:dyDescent="0.2">
      <c r="C663" s="10" t="s">
        <v>12</v>
      </c>
      <c r="F663" s="16" t="s">
        <v>594</v>
      </c>
    </row>
    <row r="664" spans="3:6" x14ac:dyDescent="0.2">
      <c r="C664" s="10" t="s">
        <v>12</v>
      </c>
      <c r="E664" s="14"/>
      <c r="F664" s="16" t="s">
        <v>8</v>
      </c>
    </row>
    <row r="665" spans="3:6" x14ac:dyDescent="0.2">
      <c r="C665" s="10" t="s">
        <v>12</v>
      </c>
      <c r="F665" s="16" t="s">
        <v>9</v>
      </c>
    </row>
    <row r="666" spans="3:6" x14ac:dyDescent="0.2">
      <c r="C666" s="10" t="s">
        <v>12</v>
      </c>
      <c r="F666" s="16" t="s">
        <v>96</v>
      </c>
    </row>
    <row r="667" spans="3:6" x14ac:dyDescent="0.2">
      <c r="C667" s="10" t="s">
        <v>12</v>
      </c>
      <c r="F667" s="16" t="s">
        <v>595</v>
      </c>
    </row>
    <row r="668" spans="3:6" x14ac:dyDescent="0.2">
      <c r="C668" s="10" t="s">
        <v>12</v>
      </c>
      <c r="F668" s="16" t="s">
        <v>596</v>
      </c>
    </row>
    <row r="669" spans="3:6" x14ac:dyDescent="0.2">
      <c r="C669" s="10" t="s">
        <v>12</v>
      </c>
      <c r="F669" s="16" t="s">
        <v>597</v>
      </c>
    </row>
    <row r="670" spans="3:6" x14ac:dyDescent="0.2">
      <c r="C670" s="10" t="s">
        <v>12</v>
      </c>
      <c r="F670" s="16" t="s">
        <v>598</v>
      </c>
    </row>
    <row r="671" spans="3:6" x14ac:dyDescent="0.2">
      <c r="C671" s="10" t="s">
        <v>12</v>
      </c>
      <c r="F671" s="16" t="s">
        <v>599</v>
      </c>
    </row>
    <row r="672" spans="3:6" x14ac:dyDescent="0.2">
      <c r="C672" s="10" t="s">
        <v>12</v>
      </c>
      <c r="F672" s="16" t="s">
        <v>600</v>
      </c>
    </row>
    <row r="673" spans="3:6" x14ac:dyDescent="0.2">
      <c r="C673" s="10" t="s">
        <v>12</v>
      </c>
      <c r="F673" s="16" t="s">
        <v>601</v>
      </c>
    </row>
    <row r="674" spans="3:6" x14ac:dyDescent="0.2">
      <c r="C674" s="10" t="s">
        <v>12</v>
      </c>
      <c r="F674" s="16" t="s">
        <v>602</v>
      </c>
    </row>
    <row r="675" spans="3:6" x14ac:dyDescent="0.2">
      <c r="C675" s="10" t="s">
        <v>12</v>
      </c>
      <c r="E675" s="14"/>
      <c r="F675" s="16" t="s">
        <v>603</v>
      </c>
    </row>
    <row r="676" spans="3:6" x14ac:dyDescent="0.2">
      <c r="C676" s="10" t="s">
        <v>12</v>
      </c>
      <c r="F676" s="16" t="s">
        <v>604</v>
      </c>
    </row>
    <row r="677" spans="3:6" x14ac:dyDescent="0.2">
      <c r="C677" s="10" t="s">
        <v>12</v>
      </c>
      <c r="F677" s="16" t="s">
        <v>605</v>
      </c>
    </row>
    <row r="678" spans="3:6" x14ac:dyDescent="0.2">
      <c r="C678" s="10" t="s">
        <v>12</v>
      </c>
      <c r="F678" s="16" t="s">
        <v>606</v>
      </c>
    </row>
    <row r="679" spans="3:6" x14ac:dyDescent="0.2">
      <c r="C679" s="10" t="s">
        <v>12</v>
      </c>
      <c r="F679" s="16" t="s">
        <v>607</v>
      </c>
    </row>
    <row r="680" spans="3:6" x14ac:dyDescent="0.2">
      <c r="C680" s="10" t="s">
        <v>12</v>
      </c>
      <c r="F680" s="16" t="s">
        <v>608</v>
      </c>
    </row>
    <row r="681" spans="3:6" x14ac:dyDescent="0.2">
      <c r="C681" s="10" t="s">
        <v>12</v>
      </c>
      <c r="E681" s="14"/>
      <c r="F681" s="16" t="s">
        <v>609</v>
      </c>
    </row>
    <row r="682" spans="3:6" x14ac:dyDescent="0.2">
      <c r="C682" s="10" t="s">
        <v>12</v>
      </c>
      <c r="F682" s="16" t="s">
        <v>610</v>
      </c>
    </row>
    <row r="683" spans="3:6" x14ac:dyDescent="0.2">
      <c r="C683" s="10" t="s">
        <v>12</v>
      </c>
      <c r="E683" s="14"/>
      <c r="F683" s="16" t="s">
        <v>611</v>
      </c>
    </row>
    <row r="684" spans="3:6" x14ac:dyDescent="0.2">
      <c r="C684" s="10" t="s">
        <v>12</v>
      </c>
      <c r="F684" s="16" t="s">
        <v>612</v>
      </c>
    </row>
    <row r="685" spans="3:6" x14ac:dyDescent="0.2">
      <c r="C685" s="10" t="s">
        <v>12</v>
      </c>
      <c r="F685" s="16" t="s">
        <v>613</v>
      </c>
    </row>
    <row r="686" spans="3:6" x14ac:dyDescent="0.2">
      <c r="C686" s="10" t="s">
        <v>12</v>
      </c>
      <c r="E686" s="14"/>
      <c r="F686" s="16" t="s">
        <v>614</v>
      </c>
    </row>
    <row r="687" spans="3:6" x14ac:dyDescent="0.2">
      <c r="C687" s="10" t="s">
        <v>12</v>
      </c>
      <c r="F687" s="16" t="s">
        <v>615</v>
      </c>
    </row>
    <row r="688" spans="3:6" x14ac:dyDescent="0.2">
      <c r="C688" s="10" t="s">
        <v>12</v>
      </c>
      <c r="F688" s="16" t="s">
        <v>616</v>
      </c>
    </row>
    <row r="689" spans="3:6" x14ac:dyDescent="0.2">
      <c r="C689" s="10" t="s">
        <v>12</v>
      </c>
      <c r="F689" s="16" t="s">
        <v>617</v>
      </c>
    </row>
    <row r="690" spans="3:6" x14ac:dyDescent="0.2">
      <c r="C690" s="10" t="s">
        <v>12</v>
      </c>
      <c r="F690" s="16" t="s">
        <v>618</v>
      </c>
    </row>
    <row r="691" spans="3:6" x14ac:dyDescent="0.2">
      <c r="C691" s="10" t="s">
        <v>12</v>
      </c>
      <c r="E691" s="14"/>
      <c r="F691" s="16" t="s">
        <v>619</v>
      </c>
    </row>
    <row r="692" spans="3:6" x14ac:dyDescent="0.2">
      <c r="C692" s="10" t="s">
        <v>12</v>
      </c>
      <c r="F692" s="16" t="s">
        <v>620</v>
      </c>
    </row>
    <row r="693" spans="3:6" x14ac:dyDescent="0.2">
      <c r="C693" s="10" t="s">
        <v>12</v>
      </c>
      <c r="F693" s="16" t="s">
        <v>621</v>
      </c>
    </row>
    <row r="694" spans="3:6" x14ac:dyDescent="0.2">
      <c r="C694" s="10" t="s">
        <v>12</v>
      </c>
      <c r="F694" s="16" t="s">
        <v>622</v>
      </c>
    </row>
    <row r="695" spans="3:6" x14ac:dyDescent="0.2">
      <c r="C695" s="10" t="s">
        <v>12</v>
      </c>
      <c r="E695" s="14"/>
      <c r="F695" s="16" t="s">
        <v>623</v>
      </c>
    </row>
    <row r="696" spans="3:6" x14ac:dyDescent="0.2">
      <c r="C696" s="10" t="s">
        <v>12</v>
      </c>
      <c r="F696" s="16" t="s">
        <v>624</v>
      </c>
    </row>
    <row r="697" spans="3:6" x14ac:dyDescent="0.2">
      <c r="C697" s="10" t="s">
        <v>12</v>
      </c>
      <c r="E697" s="14"/>
      <c r="F697" s="16" t="s">
        <v>625</v>
      </c>
    </row>
    <row r="698" spans="3:6" x14ac:dyDescent="0.2">
      <c r="C698" s="10" t="s">
        <v>12</v>
      </c>
      <c r="F698" s="16" t="s">
        <v>626</v>
      </c>
    </row>
    <row r="699" spans="3:6" x14ac:dyDescent="0.2">
      <c r="C699" s="10" t="s">
        <v>12</v>
      </c>
      <c r="F699" s="16" t="s">
        <v>627</v>
      </c>
    </row>
    <row r="700" spans="3:6" x14ac:dyDescent="0.2">
      <c r="C700" s="10" t="s">
        <v>12</v>
      </c>
      <c r="F700" s="16" t="s">
        <v>628</v>
      </c>
    </row>
    <row r="701" spans="3:6" x14ac:dyDescent="0.2">
      <c r="C701" s="10" t="s">
        <v>12</v>
      </c>
      <c r="F701" s="16" t="s">
        <v>629</v>
      </c>
    </row>
  </sheetData>
  <autoFilter ref="A1:L554" xr:uid="{00000000-0009-0000-0000-000000000000}"/>
  <phoneticPr fontId="1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D9156-3083-AD42-8192-E5501E775FC4}">
  <dimension ref="A1:F84"/>
  <sheetViews>
    <sheetView workbookViewId="0">
      <selection activeCell="F1" sqref="A1:F84"/>
    </sheetView>
  </sheetViews>
  <sheetFormatPr baseColWidth="10" defaultRowHeight="15" x14ac:dyDescent="0.2"/>
  <sheetData>
    <row r="1" spans="1:6" x14ac:dyDescent="0.2">
      <c r="A1" s="15" t="s">
        <v>11</v>
      </c>
      <c r="B1" s="31">
        <v>45096</v>
      </c>
      <c r="C1" s="10" t="s">
        <v>12</v>
      </c>
      <c r="D1" s="5">
        <v>47.84</v>
      </c>
      <c r="E1" s="14">
        <v>2289.73</v>
      </c>
      <c r="F1" s="16" t="s">
        <v>8</v>
      </c>
    </row>
    <row r="2" spans="1:6" x14ac:dyDescent="0.2">
      <c r="A2" s="15" t="s">
        <v>11</v>
      </c>
      <c r="B2" s="31">
        <v>45096</v>
      </c>
      <c r="C2" s="10" t="s">
        <v>12</v>
      </c>
      <c r="D2" s="5">
        <v>49.84</v>
      </c>
      <c r="E2" s="5">
        <v>2235.25</v>
      </c>
      <c r="F2" s="16" t="s">
        <v>9</v>
      </c>
    </row>
    <row r="3" spans="1:6" x14ac:dyDescent="0.2">
      <c r="A3" s="15" t="s">
        <v>11</v>
      </c>
      <c r="B3" s="31">
        <v>45096</v>
      </c>
      <c r="C3" s="10" t="s">
        <v>12</v>
      </c>
      <c r="D3" s="5">
        <v>49.74</v>
      </c>
      <c r="E3" s="5">
        <v>2230.46</v>
      </c>
      <c r="F3" s="16" t="s">
        <v>96</v>
      </c>
    </row>
    <row r="4" spans="1:6" x14ac:dyDescent="0.2">
      <c r="A4" s="15" t="s">
        <v>11</v>
      </c>
      <c r="B4" s="31">
        <v>45096</v>
      </c>
      <c r="C4" s="10" t="s">
        <v>12</v>
      </c>
      <c r="D4" s="5">
        <v>51.05</v>
      </c>
      <c r="E4" s="5">
        <v>2715.31</v>
      </c>
      <c r="F4" s="16" t="s">
        <v>555</v>
      </c>
    </row>
    <row r="5" spans="1:6" x14ac:dyDescent="0.2">
      <c r="A5" s="15" t="s">
        <v>11</v>
      </c>
      <c r="B5" s="31">
        <v>45096</v>
      </c>
      <c r="C5" s="10" t="s">
        <v>12</v>
      </c>
      <c r="D5" s="5">
        <v>51.15</v>
      </c>
      <c r="E5" s="14">
        <v>2703.06</v>
      </c>
      <c r="F5" s="16" t="s">
        <v>556</v>
      </c>
    </row>
    <row r="6" spans="1:6" x14ac:dyDescent="0.2">
      <c r="A6" s="15" t="s">
        <v>11</v>
      </c>
      <c r="B6" s="31">
        <v>45096</v>
      </c>
      <c r="C6" s="10" t="s">
        <v>12</v>
      </c>
      <c r="D6" s="5">
        <v>51.33</v>
      </c>
      <c r="E6" s="5">
        <v>2714.93</v>
      </c>
      <c r="F6" s="16" t="s">
        <v>557</v>
      </c>
    </row>
    <row r="7" spans="1:6" x14ac:dyDescent="0.2">
      <c r="A7" s="15" t="s">
        <v>11</v>
      </c>
      <c r="B7" s="31">
        <v>45096</v>
      </c>
      <c r="C7" s="10" t="s">
        <v>12</v>
      </c>
      <c r="D7" s="5">
        <v>49.91</v>
      </c>
      <c r="E7" s="5">
        <v>2713.86</v>
      </c>
      <c r="F7" s="16" t="s">
        <v>558</v>
      </c>
    </row>
    <row r="8" spans="1:6" x14ac:dyDescent="0.2">
      <c r="A8" s="15" t="s">
        <v>11</v>
      </c>
      <c r="B8" s="31">
        <v>45096</v>
      </c>
      <c r="C8" s="10" t="s">
        <v>12</v>
      </c>
      <c r="D8" s="5">
        <v>50.17</v>
      </c>
      <c r="E8" s="5">
        <v>2710.47</v>
      </c>
      <c r="F8" s="16" t="s">
        <v>559</v>
      </c>
    </row>
    <row r="9" spans="1:6" x14ac:dyDescent="0.2">
      <c r="A9" s="15" t="s">
        <v>11</v>
      </c>
      <c r="B9" s="31">
        <v>45096</v>
      </c>
      <c r="C9" s="10" t="s">
        <v>12</v>
      </c>
      <c r="D9" s="5">
        <v>50.84</v>
      </c>
      <c r="E9" s="5">
        <v>2603.8000000000002</v>
      </c>
      <c r="F9" s="16" t="s">
        <v>560</v>
      </c>
    </row>
    <row r="10" spans="1:6" x14ac:dyDescent="0.2">
      <c r="A10" s="15" t="s">
        <v>11</v>
      </c>
      <c r="B10" s="31">
        <v>45096</v>
      </c>
      <c r="C10" s="10" t="s">
        <v>12</v>
      </c>
      <c r="D10" s="5">
        <v>50.31</v>
      </c>
      <c r="E10" s="5">
        <v>2605.96</v>
      </c>
      <c r="F10" s="16" t="s">
        <v>561</v>
      </c>
    </row>
    <row r="11" spans="1:6" x14ac:dyDescent="0.2">
      <c r="A11" s="15" t="s">
        <v>11</v>
      </c>
      <c r="B11" s="31">
        <v>45096</v>
      </c>
      <c r="C11" s="10" t="s">
        <v>12</v>
      </c>
      <c r="D11" s="5">
        <v>51.51</v>
      </c>
      <c r="E11" s="5">
        <v>2699.83</v>
      </c>
      <c r="F11" s="16" t="s">
        <v>562</v>
      </c>
    </row>
    <row r="12" spans="1:6" x14ac:dyDescent="0.2">
      <c r="A12" s="15" t="s">
        <v>11</v>
      </c>
      <c r="B12" s="31">
        <v>45096</v>
      </c>
      <c r="C12" s="10" t="s">
        <v>12</v>
      </c>
      <c r="D12" s="5">
        <v>49.63</v>
      </c>
      <c r="E12" s="14">
        <v>2712.05</v>
      </c>
      <c r="F12" s="16" t="s">
        <v>563</v>
      </c>
    </row>
    <row r="13" spans="1:6" x14ac:dyDescent="0.2">
      <c r="A13" s="15" t="s">
        <v>11</v>
      </c>
      <c r="B13" s="31">
        <v>45096</v>
      </c>
      <c r="C13" s="10" t="s">
        <v>12</v>
      </c>
      <c r="D13" s="5">
        <v>49.62</v>
      </c>
      <c r="E13" s="5">
        <v>2701.19</v>
      </c>
      <c r="F13" s="16" t="s">
        <v>564</v>
      </c>
    </row>
    <row r="14" spans="1:6" x14ac:dyDescent="0.2">
      <c r="A14" s="15" t="s">
        <v>11</v>
      </c>
      <c r="B14" s="31">
        <v>45096</v>
      </c>
      <c r="C14" s="10" t="s">
        <v>12</v>
      </c>
      <c r="D14" s="5">
        <v>49.51</v>
      </c>
      <c r="E14" s="5">
        <v>2692.09</v>
      </c>
      <c r="F14" s="16" t="s">
        <v>565</v>
      </c>
    </row>
    <row r="15" spans="1:6" x14ac:dyDescent="0.2">
      <c r="A15" s="15" t="s">
        <v>11</v>
      </c>
      <c r="B15" s="31">
        <v>45096</v>
      </c>
      <c r="C15" s="10" t="s">
        <v>12</v>
      </c>
      <c r="D15" s="5">
        <v>51.95</v>
      </c>
      <c r="E15" s="5">
        <v>2685.55</v>
      </c>
      <c r="F15" s="16" t="s">
        <v>566</v>
      </c>
    </row>
    <row r="16" spans="1:6" x14ac:dyDescent="0.2">
      <c r="A16" s="15" t="s">
        <v>11</v>
      </c>
      <c r="B16" s="31">
        <v>45096</v>
      </c>
      <c r="C16" s="10" t="s">
        <v>12</v>
      </c>
      <c r="D16" s="5">
        <v>51.54</v>
      </c>
      <c r="E16" s="5">
        <v>2709.31</v>
      </c>
      <c r="F16" s="16" t="s">
        <v>567</v>
      </c>
    </row>
    <row r="17" spans="1:6" x14ac:dyDescent="0.2">
      <c r="A17" s="15" t="s">
        <v>11</v>
      </c>
      <c r="B17" s="31">
        <v>45096</v>
      </c>
      <c r="C17" s="10" t="s">
        <v>12</v>
      </c>
      <c r="D17" s="5">
        <v>50.78</v>
      </c>
      <c r="E17" s="5">
        <v>2709.18</v>
      </c>
      <c r="F17" s="16" t="s">
        <v>568</v>
      </c>
    </row>
    <row r="18" spans="1:6" x14ac:dyDescent="0.2">
      <c r="A18" s="15" t="s">
        <v>11</v>
      </c>
      <c r="B18" s="31">
        <v>45096</v>
      </c>
      <c r="C18" s="10" t="s">
        <v>12</v>
      </c>
      <c r="D18" s="5">
        <v>51.56</v>
      </c>
      <c r="E18" s="5">
        <v>2672.65</v>
      </c>
      <c r="F18" s="16" t="s">
        <v>569</v>
      </c>
    </row>
    <row r="19" spans="1:6" x14ac:dyDescent="0.2">
      <c r="A19" s="15" t="s">
        <v>11</v>
      </c>
      <c r="B19" s="31">
        <v>45096</v>
      </c>
      <c r="C19" s="10" t="s">
        <v>12</v>
      </c>
      <c r="D19" s="5">
        <v>52.15</v>
      </c>
      <c r="E19" s="5">
        <v>2673.8</v>
      </c>
      <c r="F19" s="16" t="s">
        <v>570</v>
      </c>
    </row>
    <row r="20" spans="1:6" x14ac:dyDescent="0.2">
      <c r="A20" s="15" t="s">
        <v>11</v>
      </c>
      <c r="B20" s="31">
        <v>45097</v>
      </c>
      <c r="C20" s="10" t="s">
        <v>12</v>
      </c>
      <c r="D20" s="5">
        <v>48.87</v>
      </c>
      <c r="E20" s="5">
        <v>2704.4</v>
      </c>
      <c r="F20" s="16" t="s">
        <v>571</v>
      </c>
    </row>
    <row r="21" spans="1:6" x14ac:dyDescent="0.2">
      <c r="A21" s="15" t="s">
        <v>11</v>
      </c>
      <c r="B21" s="31">
        <v>45097</v>
      </c>
      <c r="C21" s="10" t="s">
        <v>12</v>
      </c>
      <c r="D21" s="5">
        <v>52.52</v>
      </c>
      <c r="E21" s="14">
        <v>2683.22</v>
      </c>
      <c r="F21" s="16" t="s">
        <v>572</v>
      </c>
    </row>
    <row r="22" spans="1:6" x14ac:dyDescent="0.2">
      <c r="A22" s="15" t="s">
        <v>11</v>
      </c>
      <c r="B22" s="31">
        <v>45097</v>
      </c>
      <c r="C22" s="10" t="s">
        <v>12</v>
      </c>
      <c r="D22" s="5">
        <v>49.36</v>
      </c>
      <c r="E22" s="5">
        <v>2699.25</v>
      </c>
      <c r="F22" s="16" t="s">
        <v>573</v>
      </c>
    </row>
    <row r="23" spans="1:6" x14ac:dyDescent="0.2">
      <c r="A23" s="15" t="s">
        <v>11</v>
      </c>
      <c r="B23" s="31">
        <v>45097</v>
      </c>
      <c r="C23" s="10" t="s">
        <v>12</v>
      </c>
      <c r="D23" s="5">
        <v>51.3</v>
      </c>
      <c r="E23" s="5">
        <v>2640.94</v>
      </c>
      <c r="F23" s="16" t="s">
        <v>574</v>
      </c>
    </row>
    <row r="24" spans="1:6" x14ac:dyDescent="0.2">
      <c r="A24" s="15" t="s">
        <v>11</v>
      </c>
      <c r="B24" s="31">
        <v>45097</v>
      </c>
      <c r="C24" s="10" t="s">
        <v>12</v>
      </c>
      <c r="D24" s="5">
        <v>51.34</v>
      </c>
      <c r="E24" s="5">
        <v>2636.01</v>
      </c>
      <c r="F24" s="16" t="s">
        <v>575</v>
      </c>
    </row>
    <row r="25" spans="1:6" x14ac:dyDescent="0.2">
      <c r="A25" s="15" t="s">
        <v>11</v>
      </c>
      <c r="B25" s="31">
        <v>45097</v>
      </c>
      <c r="C25" s="10" t="s">
        <v>12</v>
      </c>
      <c r="D25" s="5">
        <v>50.11</v>
      </c>
      <c r="E25" s="5">
        <v>2711.66</v>
      </c>
      <c r="F25" s="16" t="s">
        <v>576</v>
      </c>
    </row>
    <row r="26" spans="1:6" x14ac:dyDescent="0.2">
      <c r="A26" s="15" t="s">
        <v>11</v>
      </c>
      <c r="B26" s="31">
        <v>45097</v>
      </c>
      <c r="C26" s="10" t="s">
        <v>12</v>
      </c>
      <c r="D26" s="5">
        <v>48.8</v>
      </c>
      <c r="E26" s="5">
        <v>2712.39</v>
      </c>
      <c r="F26" s="16" t="s">
        <v>577</v>
      </c>
    </row>
    <row r="27" spans="1:6" x14ac:dyDescent="0.2">
      <c r="A27" s="15" t="s">
        <v>11</v>
      </c>
      <c r="B27" s="31">
        <v>45097</v>
      </c>
      <c r="C27" s="10" t="s">
        <v>12</v>
      </c>
      <c r="D27" s="5">
        <v>51.36</v>
      </c>
      <c r="E27" s="5">
        <v>2239.0100000000002</v>
      </c>
      <c r="F27" s="16" t="s">
        <v>8</v>
      </c>
    </row>
    <row r="28" spans="1:6" x14ac:dyDescent="0.2">
      <c r="A28" s="15" t="s">
        <v>11</v>
      </c>
      <c r="B28" s="31">
        <v>45097</v>
      </c>
      <c r="C28" s="10" t="s">
        <v>12</v>
      </c>
      <c r="D28" s="5">
        <v>50.73</v>
      </c>
      <c r="E28" s="14">
        <v>2231.81</v>
      </c>
      <c r="F28" s="16" t="s">
        <v>9</v>
      </c>
    </row>
    <row r="29" spans="1:6" x14ac:dyDescent="0.2">
      <c r="A29" s="15" t="s">
        <v>11</v>
      </c>
      <c r="B29" s="31">
        <v>45097</v>
      </c>
      <c r="C29" s="10" t="s">
        <v>12</v>
      </c>
      <c r="D29" s="5">
        <v>50.26</v>
      </c>
      <c r="E29" s="5">
        <v>2238.4499999999998</v>
      </c>
      <c r="F29" s="16" t="s">
        <v>96</v>
      </c>
    </row>
    <row r="30" spans="1:6" x14ac:dyDescent="0.2">
      <c r="A30" s="15" t="s">
        <v>11</v>
      </c>
      <c r="B30" s="31">
        <v>45097</v>
      </c>
      <c r="C30" s="10" t="s">
        <v>12</v>
      </c>
      <c r="D30" s="5">
        <v>51.47</v>
      </c>
      <c r="E30" s="5">
        <v>2690.61</v>
      </c>
      <c r="F30" s="16" t="s">
        <v>578</v>
      </c>
    </row>
    <row r="31" spans="1:6" x14ac:dyDescent="0.2">
      <c r="A31" s="15" t="s">
        <v>11</v>
      </c>
      <c r="B31" s="31">
        <v>45097</v>
      </c>
      <c r="C31" s="10" t="s">
        <v>12</v>
      </c>
      <c r="D31" s="5">
        <v>50.06</v>
      </c>
      <c r="E31" s="5">
        <v>2690.75</v>
      </c>
      <c r="F31" s="16" t="s">
        <v>579</v>
      </c>
    </row>
    <row r="32" spans="1:6" x14ac:dyDescent="0.2">
      <c r="A32" s="15" t="s">
        <v>11</v>
      </c>
      <c r="B32" s="31">
        <v>45097</v>
      </c>
      <c r="C32" s="10" t="s">
        <v>12</v>
      </c>
      <c r="D32" s="5">
        <v>50.17</v>
      </c>
      <c r="E32" s="5">
        <v>2691.62</v>
      </c>
      <c r="F32" s="16" t="s">
        <v>580</v>
      </c>
    </row>
    <row r="33" spans="1:6" x14ac:dyDescent="0.2">
      <c r="A33" s="15" t="s">
        <v>11</v>
      </c>
      <c r="B33" s="31">
        <v>45097</v>
      </c>
      <c r="C33" s="10" t="s">
        <v>12</v>
      </c>
      <c r="D33" s="5">
        <v>48.26</v>
      </c>
      <c r="E33" s="5">
        <v>2686.69</v>
      </c>
      <c r="F33" s="16" t="s">
        <v>581</v>
      </c>
    </row>
    <row r="34" spans="1:6" x14ac:dyDescent="0.2">
      <c r="A34" s="15" t="s">
        <v>11</v>
      </c>
      <c r="B34" s="31">
        <v>45097</v>
      </c>
      <c r="C34" s="10" t="s">
        <v>12</v>
      </c>
      <c r="D34" s="5">
        <v>50.08</v>
      </c>
      <c r="E34" s="14">
        <v>2557.08</v>
      </c>
      <c r="F34" s="16" t="s">
        <v>582</v>
      </c>
    </row>
    <row r="35" spans="1:6" x14ac:dyDescent="0.2">
      <c r="A35" s="15" t="s">
        <v>11</v>
      </c>
      <c r="B35" s="31">
        <v>45097</v>
      </c>
      <c r="C35" s="10" t="s">
        <v>12</v>
      </c>
      <c r="D35" s="5">
        <v>50.13</v>
      </c>
      <c r="E35" s="5">
        <v>2533.56</v>
      </c>
      <c r="F35" s="16" t="s">
        <v>583</v>
      </c>
    </row>
    <row r="36" spans="1:6" x14ac:dyDescent="0.2">
      <c r="A36" s="15" t="s">
        <v>11</v>
      </c>
      <c r="B36" s="31">
        <v>45097</v>
      </c>
      <c r="C36" s="10" t="s">
        <v>12</v>
      </c>
      <c r="D36" s="5">
        <v>50.27</v>
      </c>
      <c r="E36" s="5">
        <v>2538.44</v>
      </c>
      <c r="F36" s="16" t="s">
        <v>584</v>
      </c>
    </row>
    <row r="37" spans="1:6" x14ac:dyDescent="0.2">
      <c r="A37" s="15" t="s">
        <v>11</v>
      </c>
      <c r="B37" s="31">
        <v>45097</v>
      </c>
      <c r="C37" s="10" t="s">
        <v>12</v>
      </c>
      <c r="D37" s="5">
        <v>49.95</v>
      </c>
      <c r="E37" s="5">
        <v>2543.7600000000002</v>
      </c>
      <c r="F37" s="16" t="s">
        <v>585</v>
      </c>
    </row>
    <row r="38" spans="1:6" x14ac:dyDescent="0.2">
      <c r="A38" s="15" t="s">
        <v>11</v>
      </c>
      <c r="B38" s="31">
        <v>45097</v>
      </c>
      <c r="C38" s="10" t="s">
        <v>12</v>
      </c>
      <c r="D38" s="5">
        <v>50.02</v>
      </c>
      <c r="E38" s="14">
        <v>2532.9699999999998</v>
      </c>
      <c r="F38" s="16" t="s">
        <v>586</v>
      </c>
    </row>
    <row r="39" spans="1:6" x14ac:dyDescent="0.2">
      <c r="A39" s="15" t="s">
        <v>11</v>
      </c>
      <c r="B39" s="31">
        <v>45097</v>
      </c>
      <c r="C39" s="10" t="s">
        <v>12</v>
      </c>
      <c r="D39" s="5">
        <v>50.06</v>
      </c>
      <c r="E39" s="5">
        <v>2539.91</v>
      </c>
      <c r="F39" s="16" t="s">
        <v>587</v>
      </c>
    </row>
    <row r="40" spans="1:6" x14ac:dyDescent="0.2">
      <c r="A40" s="15" t="s">
        <v>11</v>
      </c>
      <c r="B40" s="31">
        <v>45097</v>
      </c>
      <c r="C40" s="10" t="s">
        <v>12</v>
      </c>
      <c r="D40" s="5">
        <v>50.55</v>
      </c>
      <c r="E40" s="5">
        <v>2542.6</v>
      </c>
      <c r="F40" s="16" t="s">
        <v>588</v>
      </c>
    </row>
    <row r="41" spans="1:6" x14ac:dyDescent="0.2">
      <c r="A41" s="15" t="s">
        <v>11</v>
      </c>
      <c r="B41" s="31">
        <v>45097</v>
      </c>
      <c r="C41" s="10" t="s">
        <v>12</v>
      </c>
      <c r="D41" s="5">
        <v>48.6</v>
      </c>
      <c r="E41" s="14">
        <v>2526.31</v>
      </c>
      <c r="F41" s="16" t="s">
        <v>589</v>
      </c>
    </row>
    <row r="42" spans="1:6" x14ac:dyDescent="0.2">
      <c r="A42" s="15" t="s">
        <v>11</v>
      </c>
      <c r="B42" s="31">
        <v>45097</v>
      </c>
      <c r="C42" s="10" t="s">
        <v>12</v>
      </c>
      <c r="D42" s="5">
        <v>50.59</v>
      </c>
      <c r="E42" s="5">
        <v>2538.9299999999998</v>
      </c>
      <c r="F42" s="16" t="s">
        <v>590</v>
      </c>
    </row>
    <row r="43" spans="1:6" x14ac:dyDescent="0.2">
      <c r="A43" s="15" t="s">
        <v>11</v>
      </c>
      <c r="B43" s="31">
        <v>45097</v>
      </c>
      <c r="C43" s="10" t="s">
        <v>12</v>
      </c>
      <c r="D43" s="5">
        <v>50.83</v>
      </c>
      <c r="E43" s="5">
        <v>2701.73</v>
      </c>
      <c r="F43" s="16" t="s">
        <v>591</v>
      </c>
    </row>
    <row r="44" spans="1:6" x14ac:dyDescent="0.2">
      <c r="A44" s="15" t="s">
        <v>11</v>
      </c>
      <c r="B44" s="31">
        <v>45097</v>
      </c>
      <c r="C44" s="10" t="s">
        <v>12</v>
      </c>
      <c r="D44" s="5">
        <v>50.75</v>
      </c>
      <c r="E44" s="14">
        <v>2690.09</v>
      </c>
      <c r="F44" s="16" t="s">
        <v>592</v>
      </c>
    </row>
    <row r="45" spans="1:6" x14ac:dyDescent="0.2">
      <c r="A45" s="15" t="s">
        <v>11</v>
      </c>
      <c r="B45" s="31">
        <v>45097</v>
      </c>
      <c r="C45" s="10" t="s">
        <v>12</v>
      </c>
      <c r="D45" s="5">
        <v>48.88</v>
      </c>
      <c r="E45" s="14">
        <v>2710.48</v>
      </c>
      <c r="F45" s="16" t="s">
        <v>593</v>
      </c>
    </row>
    <row r="46" spans="1:6" x14ac:dyDescent="0.2">
      <c r="A46" s="15" t="s">
        <v>11</v>
      </c>
      <c r="B46" s="31">
        <v>45098</v>
      </c>
      <c r="C46" s="10" t="s">
        <v>12</v>
      </c>
      <c r="D46" s="5">
        <v>48.6</v>
      </c>
      <c r="E46" s="5">
        <v>2700.17</v>
      </c>
      <c r="F46" s="16" t="s">
        <v>594</v>
      </c>
    </row>
    <row r="47" spans="1:6" x14ac:dyDescent="0.2">
      <c r="A47" s="15" t="s">
        <v>11</v>
      </c>
      <c r="B47" s="31">
        <v>45098</v>
      </c>
      <c r="C47" s="10" t="s">
        <v>12</v>
      </c>
      <c r="D47" s="5">
        <v>50.3</v>
      </c>
      <c r="E47" s="14">
        <v>2240.85</v>
      </c>
      <c r="F47" s="16" t="s">
        <v>8</v>
      </c>
    </row>
    <row r="48" spans="1:6" x14ac:dyDescent="0.2">
      <c r="A48" s="15" t="s">
        <v>11</v>
      </c>
      <c r="B48" s="31">
        <v>45098</v>
      </c>
      <c r="C48" s="10" t="s">
        <v>12</v>
      </c>
      <c r="D48" s="5">
        <v>51.28</v>
      </c>
      <c r="E48" s="5">
        <v>2233.3200000000002</v>
      </c>
      <c r="F48" s="16" t="s">
        <v>9</v>
      </c>
    </row>
    <row r="49" spans="1:6" x14ac:dyDescent="0.2">
      <c r="A49" s="15" t="s">
        <v>11</v>
      </c>
      <c r="B49" s="31">
        <v>45098</v>
      </c>
      <c r="C49" s="10" t="s">
        <v>12</v>
      </c>
      <c r="D49" s="5">
        <v>50.69</v>
      </c>
      <c r="E49" s="5">
        <v>2237.23</v>
      </c>
      <c r="F49" s="16" t="s">
        <v>96</v>
      </c>
    </row>
    <row r="50" spans="1:6" x14ac:dyDescent="0.2">
      <c r="A50" s="15" t="s">
        <v>11</v>
      </c>
      <c r="B50" s="31">
        <v>45098</v>
      </c>
      <c r="C50" s="10" t="s">
        <v>12</v>
      </c>
      <c r="D50" s="5">
        <v>48.44</v>
      </c>
      <c r="E50" s="5">
        <v>2593.87</v>
      </c>
      <c r="F50" s="16" t="s">
        <v>595</v>
      </c>
    </row>
    <row r="51" spans="1:6" x14ac:dyDescent="0.2">
      <c r="A51" s="15" t="s">
        <v>11</v>
      </c>
      <c r="B51" s="31">
        <v>45098</v>
      </c>
      <c r="C51" s="10" t="s">
        <v>12</v>
      </c>
      <c r="D51" s="5">
        <v>50.4</v>
      </c>
      <c r="E51" s="5">
        <v>2597.9899999999998</v>
      </c>
      <c r="F51" s="16" t="s">
        <v>596</v>
      </c>
    </row>
    <row r="52" spans="1:6" x14ac:dyDescent="0.2">
      <c r="A52" s="15" t="s">
        <v>11</v>
      </c>
      <c r="B52" s="31">
        <v>45098</v>
      </c>
      <c r="C52" s="10" t="s">
        <v>12</v>
      </c>
      <c r="D52" s="5">
        <v>50.8</v>
      </c>
      <c r="E52" s="5">
        <v>2601.64</v>
      </c>
      <c r="F52" s="16" t="s">
        <v>597</v>
      </c>
    </row>
    <row r="53" spans="1:6" x14ac:dyDescent="0.2">
      <c r="A53" s="15" t="s">
        <v>11</v>
      </c>
      <c r="B53" s="31">
        <v>45098</v>
      </c>
      <c r="C53" s="10" t="s">
        <v>12</v>
      </c>
      <c r="D53" s="5">
        <v>51.91</v>
      </c>
      <c r="E53" s="5">
        <v>2597.6</v>
      </c>
      <c r="F53" s="16" t="s">
        <v>598</v>
      </c>
    </row>
    <row r="54" spans="1:6" x14ac:dyDescent="0.2">
      <c r="A54" s="15" t="s">
        <v>11</v>
      </c>
      <c r="B54" s="31">
        <v>45098</v>
      </c>
      <c r="C54" s="10" t="s">
        <v>12</v>
      </c>
      <c r="D54" s="5">
        <v>51.17</v>
      </c>
      <c r="E54" s="5">
        <v>2555.08</v>
      </c>
      <c r="F54" s="16" t="s">
        <v>599</v>
      </c>
    </row>
    <row r="55" spans="1:6" x14ac:dyDescent="0.2">
      <c r="A55" s="15" t="s">
        <v>11</v>
      </c>
      <c r="B55" s="31">
        <v>45098</v>
      </c>
      <c r="C55" s="10" t="s">
        <v>12</v>
      </c>
      <c r="D55" s="5">
        <v>51.28</v>
      </c>
      <c r="E55" s="5">
        <v>2561.9899999999998</v>
      </c>
      <c r="F55" s="16" t="s">
        <v>600</v>
      </c>
    </row>
    <row r="56" spans="1:6" x14ac:dyDescent="0.2">
      <c r="A56" s="15" t="s">
        <v>11</v>
      </c>
      <c r="B56" s="31">
        <v>45098</v>
      </c>
      <c r="C56" s="10" t="s">
        <v>12</v>
      </c>
      <c r="D56" s="5">
        <v>51.51</v>
      </c>
      <c r="E56" s="5">
        <v>2684.96</v>
      </c>
      <c r="F56" s="16" t="s">
        <v>601</v>
      </c>
    </row>
    <row r="57" spans="1:6" x14ac:dyDescent="0.2">
      <c r="A57" s="15" t="s">
        <v>11</v>
      </c>
      <c r="B57" s="31">
        <v>45098</v>
      </c>
      <c r="C57" s="10" t="s">
        <v>12</v>
      </c>
      <c r="D57" s="5">
        <v>49.79</v>
      </c>
      <c r="E57" s="5">
        <v>2681.63</v>
      </c>
      <c r="F57" s="16" t="s">
        <v>602</v>
      </c>
    </row>
    <row r="58" spans="1:6" x14ac:dyDescent="0.2">
      <c r="A58" s="15" t="s">
        <v>11</v>
      </c>
      <c r="B58" s="31">
        <v>45099</v>
      </c>
      <c r="C58" s="10" t="s">
        <v>12</v>
      </c>
      <c r="D58" s="5">
        <v>49.98</v>
      </c>
      <c r="E58" s="14">
        <v>2715.04</v>
      </c>
      <c r="F58" s="16" t="s">
        <v>603</v>
      </c>
    </row>
    <row r="59" spans="1:6" x14ac:dyDescent="0.2">
      <c r="A59" s="15" t="s">
        <v>11</v>
      </c>
      <c r="B59" s="31">
        <v>45099</v>
      </c>
      <c r="C59" s="10" t="s">
        <v>12</v>
      </c>
      <c r="D59" s="5">
        <v>50.43</v>
      </c>
      <c r="E59" s="5">
        <v>2692.92</v>
      </c>
      <c r="F59" s="16" t="s">
        <v>604</v>
      </c>
    </row>
    <row r="60" spans="1:6" x14ac:dyDescent="0.2">
      <c r="A60" s="15" t="s">
        <v>11</v>
      </c>
      <c r="B60" s="31">
        <v>45099</v>
      </c>
      <c r="C60" s="10" t="s">
        <v>12</v>
      </c>
      <c r="D60" s="5">
        <v>50.15</v>
      </c>
      <c r="E60" s="5">
        <v>2693.4</v>
      </c>
      <c r="F60" s="16" t="s">
        <v>605</v>
      </c>
    </row>
    <row r="61" spans="1:6" x14ac:dyDescent="0.2">
      <c r="A61" s="15" t="s">
        <v>11</v>
      </c>
      <c r="B61" s="31">
        <v>45099</v>
      </c>
      <c r="C61" s="10" t="s">
        <v>12</v>
      </c>
      <c r="D61" s="5">
        <v>50.55</v>
      </c>
      <c r="E61" s="5">
        <v>2686.54</v>
      </c>
      <c r="F61" s="16" t="s">
        <v>606</v>
      </c>
    </row>
    <row r="62" spans="1:6" x14ac:dyDescent="0.2">
      <c r="A62" s="15" t="s">
        <v>11</v>
      </c>
      <c r="B62" s="31">
        <v>45099</v>
      </c>
      <c r="C62" s="10" t="s">
        <v>12</v>
      </c>
      <c r="D62" s="5">
        <v>50.75</v>
      </c>
      <c r="E62" s="5">
        <v>2681.8</v>
      </c>
      <c r="F62" s="16" t="s">
        <v>607</v>
      </c>
    </row>
    <row r="63" spans="1:6" x14ac:dyDescent="0.2">
      <c r="A63" s="15" t="s">
        <v>11</v>
      </c>
      <c r="B63" s="31">
        <v>45099</v>
      </c>
      <c r="C63" s="10" t="s">
        <v>12</v>
      </c>
      <c r="D63" s="5">
        <v>49.37</v>
      </c>
      <c r="E63" s="5">
        <v>2538.7600000000002</v>
      </c>
      <c r="F63" s="16" t="s">
        <v>608</v>
      </c>
    </row>
    <row r="64" spans="1:6" x14ac:dyDescent="0.2">
      <c r="A64" s="15" t="s">
        <v>11</v>
      </c>
      <c r="B64" s="31">
        <v>45099</v>
      </c>
      <c r="C64" s="10" t="s">
        <v>12</v>
      </c>
      <c r="D64" s="5">
        <v>50.21</v>
      </c>
      <c r="E64" s="14">
        <v>2524.25</v>
      </c>
      <c r="F64" s="16" t="s">
        <v>609</v>
      </c>
    </row>
    <row r="65" spans="1:6" x14ac:dyDescent="0.2">
      <c r="A65" s="15" t="s">
        <v>11</v>
      </c>
      <c r="B65" s="31">
        <v>45099</v>
      </c>
      <c r="C65" s="10" t="s">
        <v>12</v>
      </c>
      <c r="D65" s="5">
        <v>48.43</v>
      </c>
      <c r="E65" s="5">
        <v>2539.6799999999998</v>
      </c>
      <c r="F65" s="16" t="s">
        <v>610</v>
      </c>
    </row>
    <row r="66" spans="1:6" x14ac:dyDescent="0.2">
      <c r="A66" s="15" t="s">
        <v>11</v>
      </c>
      <c r="B66" s="31">
        <v>45099</v>
      </c>
      <c r="C66" s="10" t="s">
        <v>12</v>
      </c>
      <c r="D66" s="5">
        <v>50.41</v>
      </c>
      <c r="E66" s="14">
        <v>2578.7800000000002</v>
      </c>
      <c r="F66" s="16" t="s">
        <v>611</v>
      </c>
    </row>
    <row r="67" spans="1:6" x14ac:dyDescent="0.2">
      <c r="A67" s="15" t="s">
        <v>11</v>
      </c>
      <c r="B67" s="31">
        <v>45099</v>
      </c>
      <c r="C67" s="10" t="s">
        <v>12</v>
      </c>
      <c r="D67" s="5">
        <v>49.38</v>
      </c>
      <c r="E67" s="5">
        <v>2592.5</v>
      </c>
      <c r="F67" s="16" t="s">
        <v>612</v>
      </c>
    </row>
    <row r="68" spans="1:6" x14ac:dyDescent="0.2">
      <c r="A68" s="15" t="s">
        <v>11</v>
      </c>
      <c r="B68" s="31">
        <v>45099</v>
      </c>
      <c r="C68" s="10" t="s">
        <v>12</v>
      </c>
      <c r="D68" s="5">
        <v>49.42</v>
      </c>
      <c r="E68" s="5">
        <v>2588.16</v>
      </c>
      <c r="F68" s="16" t="s">
        <v>613</v>
      </c>
    </row>
    <row r="69" spans="1:6" x14ac:dyDescent="0.2">
      <c r="A69" s="15" t="s">
        <v>11</v>
      </c>
      <c r="B69" s="31">
        <v>45099</v>
      </c>
      <c r="C69" s="10" t="s">
        <v>12</v>
      </c>
      <c r="D69" s="5">
        <v>51.38</v>
      </c>
      <c r="E69" s="14">
        <v>2545.4299999999998</v>
      </c>
      <c r="F69" s="16" t="s">
        <v>614</v>
      </c>
    </row>
    <row r="70" spans="1:6" x14ac:dyDescent="0.2">
      <c r="A70" s="15" t="s">
        <v>11</v>
      </c>
      <c r="B70" s="31">
        <v>45099</v>
      </c>
      <c r="C70" s="10" t="s">
        <v>12</v>
      </c>
      <c r="D70" s="5">
        <v>51.28</v>
      </c>
      <c r="E70" s="5">
        <v>2560.7199999999998</v>
      </c>
      <c r="F70" s="16" t="s">
        <v>615</v>
      </c>
    </row>
    <row r="71" spans="1:6" x14ac:dyDescent="0.2">
      <c r="A71" s="15" t="s">
        <v>11</v>
      </c>
      <c r="B71" s="31">
        <v>45099</v>
      </c>
      <c r="C71" s="10" t="s">
        <v>12</v>
      </c>
      <c r="D71" s="5">
        <v>50.12</v>
      </c>
      <c r="E71" s="5">
        <v>2556.3200000000002</v>
      </c>
      <c r="F71" s="16" t="s">
        <v>616</v>
      </c>
    </row>
    <row r="72" spans="1:6" x14ac:dyDescent="0.2">
      <c r="A72" s="15" t="s">
        <v>11</v>
      </c>
      <c r="B72" s="31">
        <v>45099</v>
      </c>
      <c r="C72" s="10" t="s">
        <v>12</v>
      </c>
      <c r="D72" s="5">
        <v>51.33</v>
      </c>
      <c r="E72" s="5">
        <v>2680.89</v>
      </c>
      <c r="F72" s="16" t="s">
        <v>617</v>
      </c>
    </row>
    <row r="73" spans="1:6" x14ac:dyDescent="0.2">
      <c r="A73" s="15" t="s">
        <v>11</v>
      </c>
      <c r="B73" s="31">
        <v>45099</v>
      </c>
      <c r="C73" s="10" t="s">
        <v>12</v>
      </c>
      <c r="D73" s="5">
        <v>51.22</v>
      </c>
      <c r="E73" s="5">
        <v>2676.85</v>
      </c>
      <c r="F73" s="16" t="s">
        <v>618</v>
      </c>
    </row>
    <row r="74" spans="1:6" x14ac:dyDescent="0.2">
      <c r="A74" s="15" t="s">
        <v>11</v>
      </c>
      <c r="B74" s="31">
        <v>45099</v>
      </c>
      <c r="C74" s="10" t="s">
        <v>12</v>
      </c>
      <c r="D74" s="5">
        <v>53.6</v>
      </c>
      <c r="E74" s="14">
        <v>2626.42</v>
      </c>
      <c r="F74" s="16" t="s">
        <v>619</v>
      </c>
    </row>
    <row r="75" spans="1:6" x14ac:dyDescent="0.2">
      <c r="A75" s="15" t="s">
        <v>11</v>
      </c>
      <c r="B75" s="31">
        <v>45099</v>
      </c>
      <c r="C75" s="10" t="s">
        <v>12</v>
      </c>
      <c r="D75" s="5">
        <v>51.26</v>
      </c>
      <c r="E75" s="5">
        <v>2613.58</v>
      </c>
      <c r="F75" s="16" t="s">
        <v>620</v>
      </c>
    </row>
    <row r="76" spans="1:6" x14ac:dyDescent="0.2">
      <c r="A76" s="15" t="s">
        <v>11</v>
      </c>
      <c r="B76" s="31">
        <v>45099</v>
      </c>
      <c r="C76" s="10" t="s">
        <v>12</v>
      </c>
      <c r="D76" s="5">
        <v>50.69</v>
      </c>
      <c r="E76" s="5">
        <v>2619.02</v>
      </c>
      <c r="F76" s="16" t="s">
        <v>621</v>
      </c>
    </row>
    <row r="77" spans="1:6" x14ac:dyDescent="0.2">
      <c r="A77" s="15" t="s">
        <v>11</v>
      </c>
      <c r="B77" s="31">
        <v>45099</v>
      </c>
      <c r="C77" s="10" t="s">
        <v>12</v>
      </c>
      <c r="D77" s="5">
        <v>53.95</v>
      </c>
      <c r="E77" s="5">
        <v>2543.17</v>
      </c>
      <c r="F77" s="16" t="s">
        <v>622</v>
      </c>
    </row>
    <row r="78" spans="1:6" x14ac:dyDescent="0.2">
      <c r="A78" s="15" t="s">
        <v>11</v>
      </c>
      <c r="B78" s="31">
        <v>45099</v>
      </c>
      <c r="C78" s="10" t="s">
        <v>12</v>
      </c>
      <c r="D78" s="5">
        <v>51</v>
      </c>
      <c r="E78" s="14">
        <v>2532.25</v>
      </c>
      <c r="F78" s="16" t="s">
        <v>623</v>
      </c>
    </row>
    <row r="79" spans="1:6" x14ac:dyDescent="0.2">
      <c r="A79" s="15" t="s">
        <v>11</v>
      </c>
      <c r="B79" s="31">
        <v>45099</v>
      </c>
      <c r="C79" s="10" t="s">
        <v>12</v>
      </c>
      <c r="D79" s="5">
        <v>50.84</v>
      </c>
      <c r="E79" s="5">
        <v>2548.73</v>
      </c>
      <c r="F79" s="16" t="s">
        <v>624</v>
      </c>
    </row>
    <row r="80" spans="1:6" x14ac:dyDescent="0.2">
      <c r="A80" s="15" t="s">
        <v>11</v>
      </c>
      <c r="B80" s="31">
        <v>45099</v>
      </c>
      <c r="C80" s="10" t="s">
        <v>12</v>
      </c>
      <c r="D80" s="5">
        <v>50.39</v>
      </c>
      <c r="E80" s="14">
        <v>2552.04</v>
      </c>
      <c r="F80" s="16" t="s">
        <v>625</v>
      </c>
    </row>
    <row r="81" spans="1:6" x14ac:dyDescent="0.2">
      <c r="A81" s="15" t="s">
        <v>11</v>
      </c>
      <c r="B81" s="31">
        <v>45099</v>
      </c>
      <c r="C81" s="10" t="s">
        <v>12</v>
      </c>
      <c r="D81" s="5">
        <v>49.68</v>
      </c>
      <c r="E81" s="5">
        <v>2593.4699999999998</v>
      </c>
      <c r="F81" s="16" t="s">
        <v>626</v>
      </c>
    </row>
    <row r="82" spans="1:6" x14ac:dyDescent="0.2">
      <c r="A82" s="15" t="s">
        <v>11</v>
      </c>
      <c r="B82" s="31">
        <v>45099</v>
      </c>
      <c r="C82" s="10" t="s">
        <v>12</v>
      </c>
      <c r="D82" s="5">
        <v>50.42</v>
      </c>
      <c r="E82" s="5">
        <v>2596.79</v>
      </c>
      <c r="F82" s="16" t="s">
        <v>627</v>
      </c>
    </row>
    <row r="83" spans="1:6" x14ac:dyDescent="0.2">
      <c r="A83" s="15" t="s">
        <v>11</v>
      </c>
      <c r="B83" s="31">
        <v>45099</v>
      </c>
      <c r="C83" s="10" t="s">
        <v>12</v>
      </c>
      <c r="D83" s="5">
        <v>51.14</v>
      </c>
      <c r="E83" s="5">
        <v>2689.54</v>
      </c>
      <c r="F83" s="16" t="s">
        <v>628</v>
      </c>
    </row>
    <row r="84" spans="1:6" x14ac:dyDescent="0.2">
      <c r="A84" s="15" t="s">
        <v>11</v>
      </c>
      <c r="B84" s="31">
        <v>45099</v>
      </c>
      <c r="C84" s="10" t="s">
        <v>12</v>
      </c>
      <c r="D84" s="5">
        <v>50.5</v>
      </c>
      <c r="E84" s="5">
        <v>2685.28</v>
      </c>
      <c r="F84" s="16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Santella-SZN</dc:creator>
  <cp:lastModifiedBy>Jérémy Carlot</cp:lastModifiedBy>
  <dcterms:created xsi:type="dcterms:W3CDTF">2023-05-11T07:18:49Z</dcterms:created>
  <dcterms:modified xsi:type="dcterms:W3CDTF">2023-09-12T17:12:42Z</dcterms:modified>
</cp:coreProperties>
</file>