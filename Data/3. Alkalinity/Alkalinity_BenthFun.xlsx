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ZNHP213\OneDrive\Desktop\SZN\Jeremy project\Data\3. Alkalinity\"/>
    </mc:Choice>
  </mc:AlternateContent>
  <bookViews>
    <workbookView xWindow="0" yWindow="500" windowWidth="28800" windowHeight="16080"/>
  </bookViews>
  <sheets>
    <sheet name="Sheet1" sheetId="1" r:id="rId1"/>
    <sheet name="Sheet2" sheetId="2" r:id="rId2"/>
  </sheets>
  <definedNames>
    <definedName name="_xlnm._FilterDatabase" localSheetId="0" hidden="1">Sheet1!$A$1:$L$554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44" i="1" l="1"/>
  <c r="K641" i="1"/>
  <c r="H641" i="1"/>
  <c r="G641" i="1"/>
  <c r="H638" i="1"/>
  <c r="G638" i="1"/>
  <c r="K635" i="1"/>
  <c r="H635" i="1"/>
  <c r="G635" i="1"/>
  <c r="J631" i="1"/>
  <c r="H631" i="1"/>
  <c r="G631" i="1"/>
  <c r="H644" i="1"/>
  <c r="G644" i="1"/>
  <c r="K617" i="1"/>
  <c r="K613" i="1"/>
  <c r="J613" i="1"/>
  <c r="H624" i="1"/>
  <c r="K631" i="1" l="1"/>
  <c r="G617" i="1"/>
  <c r="H617" i="1"/>
  <c r="H619" i="1"/>
  <c r="G619" i="1"/>
  <c r="H628" i="1"/>
  <c r="G628" i="1"/>
  <c r="G621" i="1"/>
  <c r="H621" i="1"/>
  <c r="G624" i="1"/>
  <c r="H613" i="1"/>
  <c r="H626" i="1"/>
  <c r="G626" i="1"/>
  <c r="G613" i="1"/>
  <c r="G608" i="1"/>
  <c r="H608" i="1"/>
  <c r="G605" i="1"/>
  <c r="H605" i="1"/>
  <c r="G602" i="1"/>
  <c r="H602" i="1"/>
  <c r="H594" i="1"/>
  <c r="G594" i="1"/>
  <c r="G597" i="1"/>
  <c r="H597" i="1"/>
  <c r="H591" i="1"/>
  <c r="G591" i="1"/>
  <c r="H586" i="1"/>
  <c r="G586" i="1"/>
  <c r="H611" i="1"/>
  <c r="G611" i="1"/>
  <c r="H600" i="1"/>
  <c r="G600" i="1"/>
  <c r="H589" i="1"/>
  <c r="G589" i="1"/>
  <c r="G575" i="1"/>
  <c r="J575" i="1" s="1"/>
  <c r="K575" i="1" s="1"/>
  <c r="H575" i="1"/>
  <c r="G571" i="1"/>
  <c r="H571" i="1"/>
  <c r="H584" i="1"/>
  <c r="G584" i="1"/>
  <c r="H582" i="1"/>
  <c r="G582" i="1"/>
  <c r="H580" i="1"/>
  <c r="G580" i="1"/>
  <c r="H578" i="1"/>
  <c r="G578" i="1"/>
  <c r="G562" i="1"/>
  <c r="G565" i="1"/>
  <c r="G568" i="1"/>
  <c r="H568" i="1"/>
  <c r="H565" i="1"/>
  <c r="H562" i="1"/>
  <c r="G548" i="1"/>
  <c r="H548" i="1"/>
  <c r="H560" i="1"/>
  <c r="G560" i="1"/>
  <c r="H558" i="1"/>
  <c r="G558" i="1"/>
  <c r="G555" i="1"/>
  <c r="J555" i="1" s="1"/>
  <c r="H555" i="1"/>
  <c r="H553" i="1"/>
  <c r="G553" i="1"/>
  <c r="H551" i="1"/>
  <c r="G551" i="1"/>
  <c r="G546" i="1"/>
  <c r="H546" i="1"/>
  <c r="G544" i="1"/>
  <c r="G539" i="1"/>
  <c r="H539" i="1"/>
  <c r="G542" i="1"/>
  <c r="H542" i="1"/>
  <c r="H532" i="1"/>
  <c r="G532" i="1"/>
  <c r="H544" i="1"/>
  <c r="H537" i="1"/>
  <c r="G537" i="1"/>
  <c r="H535" i="1"/>
  <c r="G535" i="1"/>
  <c r="G529" i="1"/>
  <c r="H529" i="1"/>
  <c r="G527" i="1"/>
  <c r="H527" i="1"/>
  <c r="H522" i="1"/>
  <c r="G522" i="1"/>
  <c r="G525" i="1"/>
  <c r="H525" i="1"/>
  <c r="G519" i="1"/>
  <c r="H519" i="1"/>
  <c r="G514" i="1"/>
  <c r="H514" i="1"/>
  <c r="H503" i="1"/>
  <c r="G503" i="1"/>
  <c r="H512" i="1"/>
  <c r="G512" i="1"/>
  <c r="G505" i="1"/>
  <c r="H505" i="1"/>
  <c r="H510" i="1"/>
  <c r="G510" i="1"/>
  <c r="H508" i="1"/>
  <c r="G508" i="1"/>
  <c r="G496" i="1"/>
  <c r="H496" i="1"/>
  <c r="H499" i="1"/>
  <c r="H501" i="1"/>
  <c r="G501" i="1"/>
  <c r="G499" i="1"/>
  <c r="H493" i="1"/>
  <c r="G493" i="1"/>
  <c r="H486" i="1"/>
  <c r="G486" i="1"/>
  <c r="H490" i="1"/>
  <c r="G490" i="1"/>
  <c r="J490" i="1" s="1"/>
  <c r="K508" i="1" s="1"/>
  <c r="K638" i="1" l="1"/>
  <c r="K628" i="1"/>
  <c r="K619" i="1"/>
  <c r="K624" i="1"/>
  <c r="K621" i="1"/>
  <c r="K626" i="1"/>
  <c r="K589" i="1"/>
  <c r="K602" i="1"/>
  <c r="K608" i="1"/>
  <c r="K586" i="1"/>
  <c r="K597" i="1"/>
  <c r="K594" i="1"/>
  <c r="K600" i="1"/>
  <c r="K605" i="1"/>
  <c r="K591" i="1"/>
  <c r="K611" i="1"/>
  <c r="K584" i="1"/>
  <c r="K582" i="1"/>
  <c r="K580" i="1"/>
  <c r="K578" i="1"/>
  <c r="K571" i="1"/>
  <c r="K560" i="1"/>
  <c r="K565" i="1"/>
  <c r="K558" i="1"/>
  <c r="K562" i="1"/>
  <c r="K568" i="1"/>
  <c r="K548" i="1"/>
  <c r="K553" i="1"/>
  <c r="K555" i="1"/>
  <c r="K551" i="1"/>
  <c r="J529" i="1"/>
  <c r="K529" i="1" s="1"/>
  <c r="K501" i="1"/>
  <c r="K496" i="1"/>
  <c r="K505" i="1"/>
  <c r="K499" i="1"/>
  <c r="K512" i="1"/>
  <c r="K510" i="1"/>
  <c r="K493" i="1"/>
  <c r="J503" i="1"/>
  <c r="K519" i="1" s="1"/>
  <c r="K490" i="1"/>
  <c r="H484" i="1"/>
  <c r="G484" i="1"/>
  <c r="H472" i="1"/>
  <c r="G472" i="1"/>
  <c r="J472" i="1" s="1"/>
  <c r="K486" i="1" s="1"/>
  <c r="H479" i="1"/>
  <c r="G479" i="1"/>
  <c r="H482" i="1"/>
  <c r="G482" i="1"/>
  <c r="H477" i="1"/>
  <c r="H475" i="1"/>
  <c r="G475" i="1"/>
  <c r="G477" i="1"/>
  <c r="G452" i="1"/>
  <c r="H452" i="1"/>
  <c r="H460" i="1"/>
  <c r="G469" i="1"/>
  <c r="H469" i="1"/>
  <c r="G466" i="1"/>
  <c r="H466" i="1"/>
  <c r="H463" i="1"/>
  <c r="G463" i="1"/>
  <c r="G460" i="1"/>
  <c r="H457" i="1"/>
  <c r="G457" i="1"/>
  <c r="H454" i="1"/>
  <c r="G454" i="1"/>
  <c r="K544" i="1" l="1"/>
  <c r="K546" i="1"/>
  <c r="K539" i="1"/>
  <c r="K542" i="1"/>
  <c r="K535" i="1"/>
  <c r="K537" i="1"/>
  <c r="K532" i="1"/>
  <c r="K484" i="1"/>
  <c r="K522" i="1"/>
  <c r="K527" i="1"/>
  <c r="K514" i="1"/>
  <c r="K525" i="1"/>
  <c r="K503" i="1"/>
  <c r="K475" i="1"/>
  <c r="K457" i="1"/>
  <c r="K479" i="1"/>
  <c r="K469" i="1"/>
  <c r="K477" i="1"/>
  <c r="K482" i="1"/>
  <c r="K460" i="1"/>
  <c r="K466" i="1"/>
  <c r="K454" i="1"/>
  <c r="K463" i="1"/>
  <c r="K472" i="1"/>
  <c r="G447" i="1"/>
  <c r="H447" i="1"/>
  <c r="H450" i="1"/>
  <c r="G450" i="1"/>
  <c r="H444" i="1"/>
  <c r="G444" i="1"/>
  <c r="H441" i="1"/>
  <c r="G441" i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41" i="1" l="1"/>
  <c r="K441" i="1" s="1"/>
  <c r="J416" i="1"/>
  <c r="K452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6" i="1" l="1"/>
  <c r="K450" i="1"/>
  <c r="K444" i="1"/>
  <c r="K447" i="1"/>
  <c r="K430" i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61" i="1" l="1"/>
  <c r="K57" i="1"/>
  <c r="K67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K33" i="1" s="1"/>
  <c r="H2" i="1"/>
  <c r="K7" i="1" l="1"/>
  <c r="K28" i="1"/>
  <c r="K35" i="1"/>
  <c r="K15" i="1"/>
  <c r="K25" i="1"/>
  <c r="K20" i="1"/>
  <c r="K23" i="1"/>
  <c r="K13" i="1"/>
  <c r="K10" i="1"/>
  <c r="K17" i="1"/>
  <c r="K2" i="1"/>
  <c r="K4" i="1"/>
</calcChain>
</file>

<file path=xl/sharedStrings.xml><?xml version="1.0" encoding="utf-8"?>
<sst xmlns="http://schemas.openxmlformats.org/spreadsheetml/2006/main" count="2415" uniqueCount="636">
  <si>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</si>
  <si>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</si>
  <si>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</si>
  <si>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</si>
  <si>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</si>
  <si>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</si>
  <si>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</si>
  <si>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</si>
  <si>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</si>
  <si>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</si>
  <si>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</si>
  <si>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</si>
  <si>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</si>
  <si>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</si>
  <si>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</si>
  <si>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</si>
  <si>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</si>
  <si>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</si>
  <si>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</si>
  <si>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</si>
  <si>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</si>
  <si>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</si>
  <si>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</si>
  <si>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</si>
  <si>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</si>
  <si>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</si>
  <si>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</si>
  <si>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</si>
  <si>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</si>
  <si>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</si>
  <si>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</si>
  <si>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</si>
  <si>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</si>
  <si>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</si>
  <si>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</si>
  <si>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</si>
  <si>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</si>
  <si>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</si>
  <si>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</si>
  <si>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</si>
  <si>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</si>
  <si>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</si>
  <si>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</si>
  <si>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</si>
  <si>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</si>
  <si>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</si>
  <si>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</si>
  <si>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</si>
  <si>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</si>
  <si>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</si>
  <si>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</si>
  <si>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</si>
  <si>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</si>
  <si>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</si>
  <si>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</si>
  <si>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</si>
  <si>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</si>
  <si>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</si>
  <si>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</si>
  <si>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</si>
  <si>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</si>
  <si>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</si>
  <si>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</si>
  <si>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</si>
  <si>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</si>
  <si>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</si>
  <si>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</si>
  <si>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</si>
  <si>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</si>
  <si>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</si>
  <si>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</si>
  <si>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</si>
  <si>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</si>
  <si>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</si>
  <si>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</si>
  <si>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</si>
  <si>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</si>
  <si>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</si>
  <si>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</si>
  <si>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</si>
  <si>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</si>
  <si>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</si>
  <si>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</si>
  <si>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</si>
  <si>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</si>
  <si>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</si>
  <si>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</si>
  <si>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</si>
  <si>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</si>
  <si>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</si>
  <si>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</si>
  <si>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</si>
  <si>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</si>
  <si>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</si>
  <si>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</si>
  <si>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</si>
  <si>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</si>
  <si>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</si>
  <si>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</si>
  <si>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</si>
  <si>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</si>
  <si>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</si>
  <si>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</si>
  <si>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</si>
  <si>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</si>
  <si>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</si>
  <si>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</si>
  <si>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</si>
  <si>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</si>
  <si>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</si>
  <si>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</si>
  <si>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</si>
  <si>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</si>
  <si>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</si>
  <si>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</si>
  <si>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</si>
  <si>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</si>
  <si>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</si>
  <si>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</si>
  <si>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</si>
  <si>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</si>
  <si>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</si>
  <si>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</si>
  <si>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</si>
  <si>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</si>
  <si>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</si>
  <si>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</si>
  <si>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</si>
  <si>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</si>
  <si>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</si>
  <si>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</si>
  <si>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</si>
  <si>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</si>
  <si>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</si>
  <si>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</si>
  <si>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</si>
  <si>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</si>
  <si>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</si>
  <si>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</si>
  <si>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</si>
  <si>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</si>
  <si>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</si>
  <si>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</si>
  <si>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</si>
  <si>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</si>
  <si>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</si>
  <si>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</si>
  <si>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</si>
  <si>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</si>
  <si>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</si>
  <si>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</si>
  <si>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</si>
  <si>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</si>
  <si>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</si>
  <si>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</si>
  <si>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</si>
  <si>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</si>
  <si>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</si>
  <si>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</si>
  <si>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</si>
  <si>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</si>
  <si>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</si>
  <si>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</si>
  <si>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</si>
  <si>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</si>
  <si>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</si>
  <si>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</si>
  <si>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</si>
  <si>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</si>
  <si>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</si>
  <si>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</si>
  <si>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</si>
  <si>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</si>
  <si>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</si>
  <si>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</si>
  <si>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</si>
  <si>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</si>
  <si>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</si>
  <si>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</si>
  <si>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</si>
  <si>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</si>
  <si>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</si>
  <si>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</si>
  <si>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</si>
  <si>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</si>
  <si>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</si>
  <si>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</si>
  <si>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</si>
  <si>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</si>
  <si>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</si>
  <si>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</si>
  <si>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</si>
  <si>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</si>
  <si>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</si>
  <si>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</si>
  <si>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</si>
  <si>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</si>
  <si>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</si>
  <si>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</si>
  <si>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</si>
  <si>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</si>
  <si>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</si>
  <si>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</si>
  <si>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</si>
  <si>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</si>
  <si>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</si>
  <si>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</si>
  <si>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</si>
  <si>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</si>
  <si>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</si>
  <si>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</si>
  <si>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</si>
  <si>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</si>
  <si>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</si>
  <si>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</si>
  <si>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</si>
  <si>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</si>
  <si>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</si>
  <si>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</si>
  <si>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</si>
  <si>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</si>
  <si>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</si>
  <si>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</si>
  <si>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</si>
  <si>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</si>
  <si>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</si>
  <si>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</si>
  <si>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</si>
  <si>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</si>
  <si>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</si>
  <si>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</si>
  <si>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</si>
  <si>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</si>
  <si>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</si>
  <si>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</si>
  <si>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</si>
  <si>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</si>
  <si>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</si>
  <si>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</si>
  <si>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</si>
  <si>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</si>
  <si>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</si>
  <si>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</si>
  <si>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</si>
  <si>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</si>
  <si>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</si>
  <si>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</si>
  <si>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</si>
  <si>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</si>
  <si>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</si>
  <si>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</si>
  <si>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</si>
  <si>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</si>
  <si>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</si>
  <si>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</si>
  <si>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</si>
  <si>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</si>
  <si>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</si>
  <si>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</si>
  <si>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</si>
  <si>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</si>
  <si>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</si>
  <si>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</si>
  <si>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</si>
  <si>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</si>
  <si>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</si>
  <si>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</si>
  <si>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</si>
  <si>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</si>
  <si>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</si>
  <si>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</si>
  <si>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</si>
  <si>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</si>
  <si>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</si>
  <si>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</si>
  <si>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</si>
  <si>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</si>
  <si>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</si>
  <si>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</si>
  <si>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</si>
  <si>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</si>
  <si>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</si>
  <si>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</si>
  <si>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</si>
  <si>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</si>
  <si>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</si>
  <si>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</si>
  <si>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</si>
  <si>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</si>
  <si>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</si>
  <si>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</si>
  <si>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</si>
  <si>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</si>
  <si>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</si>
  <si>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</si>
  <si>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</si>
  <si>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</si>
  <si>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</si>
  <si>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</si>
  <si>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</si>
  <si>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</si>
  <si>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</si>
  <si>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</si>
  <si>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</si>
  <si>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</si>
  <si>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</si>
  <si>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</si>
  <si>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</si>
  <si>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</si>
  <si>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</si>
  <si>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</si>
  <si>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</si>
  <si>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</si>
  <si>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</si>
  <si>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</si>
  <si>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</si>
  <si>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</si>
  <si>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</si>
  <si>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</si>
  <si>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</si>
  <si>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</si>
  <si>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</si>
  <si>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</si>
  <si>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</si>
  <si>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</si>
  <si>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</si>
  <si>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</si>
  <si>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</si>
  <si>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</si>
  <si>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</si>
  <si>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</si>
  <si>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</si>
  <si>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</si>
  <si>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</si>
  <si>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</si>
  <si>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</si>
  <si>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</si>
  <si>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</si>
  <si>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</si>
  <si>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</si>
  <si>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</si>
  <si>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</si>
  <si>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</si>
  <si>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</si>
  <si>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</si>
  <si>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</si>
  <si>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</si>
  <si>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</si>
  <si>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</si>
  <si>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</si>
  <si>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</si>
  <si>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</si>
  <si>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</si>
  <si>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</si>
  <si>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</si>
  <si>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</si>
  <si>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</si>
  <si>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</si>
  <si>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</si>
  <si>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</si>
  <si>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</si>
  <si>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</si>
  <si>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</si>
  <si>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</si>
  <si>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</si>
  <si>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</si>
  <si>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</si>
  <si>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</si>
  <si>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</si>
  <si>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</si>
  <si>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</si>
  <si>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</si>
  <si>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</si>
  <si>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</si>
  <si>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</si>
  <si>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</si>
  <si>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</si>
  <si>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</si>
  <si>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</si>
  <si>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</si>
  <si>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</si>
  <si>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</si>
  <si>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</si>
  <si>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</si>
  <si>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</si>
  <si>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</si>
  <si>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</si>
  <si>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</si>
  <si>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</si>
  <si>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</si>
  <si>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</si>
  <si>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</si>
  <si>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</si>
  <si>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</si>
  <si>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</si>
  <si>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</si>
  <si>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</si>
  <si>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</si>
  <si>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</si>
  <si>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</si>
  <si>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</si>
  <si>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</si>
  <si>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Tn_t1_ELOW_tile_02a</t>
  </si>
  <si>
    <t>Tn_t1_ELOW_tile_02b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</si>
  <si>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</si>
  <si>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</si>
  <si>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</si>
  <si>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</si>
  <si>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</si>
  <si>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</si>
  <si>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</si>
  <si>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</si>
  <si>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</si>
  <si>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</si>
  <si>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</si>
  <si>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</si>
  <si>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</si>
  <si>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</si>
  <si>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</si>
  <si>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</si>
  <si>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</si>
  <si>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</si>
  <si>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</si>
  <si>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</si>
  <si>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</si>
  <si>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</si>
  <si>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</si>
  <si>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Tn_t1_LOW_tile_03a</t>
  </si>
  <si>
    <t>Tn_t1_LOW_tile_03b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</si>
  <si>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</si>
  <si>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</si>
  <si>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</si>
  <si>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</si>
  <si>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</si>
  <si>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</si>
  <si>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</si>
  <si>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</si>
  <si>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</si>
  <si>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</si>
  <si>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</si>
  <si>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Tn_t1_LOW_blank_02a</t>
  </si>
  <si>
    <t>Tn_t1_LOW_blank_02b</t>
  </si>
  <si>
    <t>Tn_t1_AMB_tile_01a</t>
  </si>
  <si>
    <t>Tn_t1_AMB_tile_01b</t>
  </si>
  <si>
    <t>Tn_t1_AMB_tile_02a</t>
  </si>
  <si>
    <t>Tn_t1_AMB_tile_02b</t>
  </si>
  <si>
    <t>Tn_t1_AMB_tile_03a</t>
  </si>
  <si>
    <t>Tn_t1_AMB_tile_03b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</si>
  <si>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</si>
  <si>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</si>
  <si>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</si>
  <si>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</si>
  <si>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</si>
  <si>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</si>
  <si>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</si>
  <si>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</si>
  <si>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</si>
  <si>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</si>
  <si>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</si>
  <si>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Tn_t1_AMB_blank_02a</t>
  </si>
  <si>
    <t>Tn_t1_AMB_blank_02b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</si>
  <si>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</si>
  <si>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</si>
  <si>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</si>
  <si>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</si>
  <si>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</si>
  <si>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</si>
  <si>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</si>
  <si>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</si>
  <si>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Tn_t0_LOW_blank_02a</t>
  </si>
  <si>
    <t>Tn_t0_LOW_blank_02b</t>
  </si>
  <si>
    <t>Tn_t0_AMB_blank_01a</t>
  </si>
  <si>
    <t>Tn_t0_AMB_blank_01b</t>
  </si>
  <si>
    <t>Tn_t0_AMB_blank_01c</t>
  </si>
  <si>
    <t>Tn_t0_AMB_blank_02a</t>
  </si>
  <si>
    <t>Tn_t0_AMB_blank_02b</t>
  </si>
  <si>
    <t>T2_t0_ELOW_blank_01a</t>
  </si>
  <si>
    <t>T2_t0_ELOW_blank_01b</t>
  </si>
  <si>
    <t>T2_t0_ELOW_blank_01c</t>
  </si>
  <si>
    <t>T2_t0_ELOW_blank_02a</t>
  </si>
  <si>
    <t>T2_t0_ELOW_blank_02b</t>
  </si>
  <si>
    <t>T2_t1_ELOW_tile_01a</t>
  </si>
  <si>
    <t>T2_t1_ELOW_tile_01b</t>
  </si>
  <si>
    <t>T2_t1_ELOW_tile_02a</t>
  </si>
  <si>
    <t>T2_t1_ELOW_tile_02b</t>
  </si>
  <si>
    <t>T2_t1_ELOW_tile_02c</t>
  </si>
  <si>
    <t>T2_t1_ELOW_tile_03a</t>
  </si>
  <si>
    <t>T2_t1_ELOW_tile_03b</t>
  </si>
  <si>
    <t>T2_t1_ELOW_blank_01a</t>
  </si>
  <si>
    <t>T2_t1_ELOW_blank_01b</t>
  </si>
  <si>
    <t>T2_t1_ELOW_tile_04a</t>
  </si>
  <si>
    <t>T2_t1_ELOW_tile_04b</t>
  </si>
  <si>
    <t>T2_t1_ELOW_tile_05a</t>
  </si>
  <si>
    <t>T2_t1_ELOW_tile_05b</t>
  </si>
  <si>
    <t>T2_t1_ELOW_tile_05c</t>
  </si>
  <si>
    <t>T2_t1_ELOW_tile_06a</t>
  </si>
  <si>
    <t>T2_t1_ELOW_tile_06b</t>
  </si>
  <si>
    <t>T2_t1_ELOW_blank_02a</t>
  </si>
  <si>
    <t>T2_t1_ELOW_blank_02b</t>
  </si>
  <si>
    <t>T2_t0_LOW_blank_01a</t>
  </si>
  <si>
    <t>T2_t0_LOW_blank_01b</t>
  </si>
  <si>
    <t>T2_t0_LOW_blank_02a</t>
  </si>
  <si>
    <t>T2_t0_LOW_blank_02b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</si>
  <si>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</si>
  <si>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</si>
  <si>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</si>
  <si>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</si>
  <si>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</si>
  <si>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</si>
  <si>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</si>
  <si>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</si>
  <si>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</si>
  <si>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</si>
  <si>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</si>
  <si>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T2_t1_LOW_blank_01c</t>
  </si>
  <si>
    <t>T2_t1_LOW_tile_04a</t>
  </si>
  <si>
    <t>T2_t1_LOW_tile_04b</t>
  </si>
  <si>
    <t>T2_t1_LOW_tile_05a</t>
  </si>
  <si>
    <t>T2_t1_LOW_tile_05b</t>
  </si>
  <si>
    <t>T2_t1_LOW_tile_06a</t>
  </si>
  <si>
    <t>T2_t1_LOW_tile_06b</t>
  </si>
  <si>
    <t>T2_t1_LOW_blank_02a</t>
  </si>
  <si>
    <t>T2_t1_LOW_blank_02b</t>
  </si>
  <si>
    <t>T2_t0_AMB_blank_01a</t>
  </si>
  <si>
    <t>T2_t0_AMB_blank_01b</t>
  </si>
  <si>
    <t>T2_t0_AMB_blank_01c</t>
  </si>
  <si>
    <t>T2_t0_AMB_blank_02a</t>
  </si>
  <si>
    <t>T2_t0_AMB_blank_02b</t>
  </si>
  <si>
    <t>T2_t1_AMB_tile_01a</t>
  </si>
  <si>
    <t>T2_t1_AMB_tile_01b</t>
  </si>
  <si>
    <t>T2_t1_AMB_tile_01c</t>
  </si>
  <si>
    <t>T2_t1_AMB_tile_02a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</si>
  <si>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</si>
  <si>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</si>
  <si>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</si>
  <si>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</si>
  <si>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</si>
  <si>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</si>
  <si>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</si>
  <si>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</si>
  <si>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</si>
  <si>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</si>
  <si>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</si>
  <si>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</si>
  <si>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</si>
  <si>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</si>
  <si>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T2_t1_AMB_blank_02a</t>
  </si>
  <si>
    <t>T2_t1_AMB_blank_02b</t>
  </si>
  <si>
    <t>PI_t5_AMB_Tile_3d</t>
  </si>
  <si>
    <t>PI_t6_AMB_Tile_3d</t>
  </si>
  <si>
    <t>Ali e Anto</t>
  </si>
  <si>
    <t>Tn_t1_LOW_blank_01d</t>
  </si>
  <si>
    <t>T2_t1_LOW_blank_01d</t>
  </si>
  <si>
    <t>T2_t1_AMB_tile_02e</t>
  </si>
  <si>
    <t>T2_t1_AMB_tile_06e</t>
  </si>
  <si>
    <t>T3_t0_ELOW_blank_01a</t>
  </si>
  <si>
    <t>T3_t0_ELOW_blank_01b</t>
  </si>
  <si>
    <t>T3_t0_ELOW_blank_01c</t>
  </si>
  <si>
    <t>T3_t0_ELOW_blank_02a</t>
  </si>
  <si>
    <t>T3_t0_ELOW_blank_02b</t>
  </si>
  <si>
    <t>T3_t1_ELOW_tile_01a</t>
  </si>
  <si>
    <t>T3_t1_ELOW_tile_01b</t>
  </si>
  <si>
    <t>T3_t1_ELOW_tile_02a</t>
  </si>
  <si>
    <t>T3_t1_ELOW_tile_02b</t>
  </si>
  <si>
    <t>T3_t1_ELOW_tile_02c</t>
  </si>
  <si>
    <t>T3_t1_ELOW_tile_03a</t>
  </si>
  <si>
    <t>T3_t1_ELOW_tile_03b</t>
  </si>
  <si>
    <t>T3_t1_ELOW_blank_01a</t>
  </si>
  <si>
    <t>T3_t1_ELOW_blank_01b</t>
  </si>
  <si>
    <t>T3_t1_ELOW_tile_04a</t>
  </si>
  <si>
    <t>T3_t1_ELOW_tile_04b</t>
  </si>
  <si>
    <t>T3_t1_ELOW_tile_05a</t>
  </si>
  <si>
    <t>T3_t1_ELOW_tile_05b</t>
  </si>
  <si>
    <t>T3_t1_ELOW_tile_05c</t>
  </si>
  <si>
    <t>T3_t1_ELOW_tile_06a</t>
  </si>
  <si>
    <t>T3_t1_ELOW_tile_06b</t>
  </si>
  <si>
    <t>T3_t1_ELOW_blank_02a</t>
  </si>
  <si>
    <t>T3_t1_ELOW_blank_02b</t>
  </si>
  <si>
    <t>T3_t0_LOW_blank_01a</t>
  </si>
  <si>
    <t>T3_t0_LOW_blank_01b</t>
  </si>
  <si>
    <t>T3_t0_LOW_blank_02a</t>
  </si>
  <si>
    <t>T3_t0_LOW_blank_02b</t>
  </si>
  <si>
    <t>T3_t1_LOW_tile_01a</t>
  </si>
  <si>
    <t>T3_t1_LOW_tile_01b</t>
  </si>
  <si>
    <t>T3_t1_LOW_tile_01c</t>
  </si>
  <si>
    <t>T3_t1_LOW_tile_02a</t>
  </si>
  <si>
    <t>T3_t1_LOW_tile_02b</t>
  </si>
  <si>
    <t>T3_t1_LOW_tile_02c</t>
  </si>
  <si>
    <t>T3_t1_LOW_tile_03a</t>
  </si>
  <si>
    <t>T3_t1_LOW_tile_03b</t>
  </si>
  <si>
    <t>T3_t1_LOW_tile_03c</t>
  </si>
  <si>
    <t>T3_t1_LOW_blank_01a</t>
  </si>
  <si>
    <t>T3_t1_LOW_blank_01b</t>
  </si>
  <si>
    <t>T3_t1_LOW_blank_01c</t>
  </si>
  <si>
    <t>T3_t1_LOW_blank_01d</t>
  </si>
  <si>
    <t>T3_t1_LOW_tile_04a</t>
  </si>
  <si>
    <t>T3_t1_LOW_tile_04b</t>
  </si>
  <si>
    <t>T3_t1_LOW_tile_05a</t>
  </si>
  <si>
    <t>T3_t1_LOW_tile_05b</t>
  </si>
  <si>
    <t>T3_t1_LOW_tile_06a</t>
  </si>
  <si>
    <t>T3_t1_LOW_tile_06b</t>
  </si>
  <si>
    <t>T3_t1_LOW_blank_02a</t>
  </si>
  <si>
    <t>T3_t1_LOW_blank_02b</t>
  </si>
  <si>
    <t>T3_t0_AMB_blank_01a</t>
  </si>
  <si>
    <t>T3_t0_AMB_blank_01b</t>
  </si>
  <si>
    <t>T3_t0_AMB_blank_01c</t>
  </si>
  <si>
    <t>T3_t0_AMB_blank_02a</t>
  </si>
  <si>
    <t>T3_t0_AMB_blank_02b</t>
  </si>
  <si>
    <t>T3_t1_AMB_tile_01a</t>
  </si>
  <si>
    <t>T3_t1_AMB_tile_01b</t>
  </si>
  <si>
    <t>T3_t1_AMB_tile_01c</t>
  </si>
  <si>
    <t>T3_t1_AMB_tile_02a</t>
  </si>
  <si>
    <t>T3_t1_AMB_tile_02c</t>
  </si>
  <si>
    <t>T3_t1_AMB_tile_02e</t>
  </si>
  <si>
    <t>T3_t1_AMB_tile_03a</t>
  </si>
  <si>
    <t>T3_t1_AMB_tile_03b</t>
  </si>
  <si>
    <t>T3_t1_AMB_tile_03c</t>
  </si>
  <si>
    <t>T3_t1_AMB_blank_01a</t>
  </si>
  <si>
    <t>T3_t1_AMB_blank_01b</t>
  </si>
  <si>
    <t>T3_t1_AMB_tile_04a</t>
  </si>
  <si>
    <t>T3_t1_AMB_tile_04b</t>
  </si>
  <si>
    <t>T3_t1_AMB_tile_04c</t>
  </si>
  <si>
    <t>T3_t1_AMB_tile_05a</t>
  </si>
  <si>
    <t>T3_t1_AMB_tile_05b</t>
  </si>
  <si>
    <t>T3_t1_AMB_tile_05c</t>
  </si>
  <si>
    <t>T3_t1_AMB_tile_06a</t>
  </si>
  <si>
    <t>T3_t1_AMB_tile_06b</t>
  </si>
  <si>
    <t>T3_t1_AMB_tile_06e</t>
  </si>
  <si>
    <t>T3_t1_AMB_blank_02a</t>
  </si>
  <si>
    <t>T3_t1_AMB_blank_02b</t>
  </si>
  <si>
    <t>CRM4</t>
  </si>
  <si>
    <t>T3_t1_ELOW_tile_01c</t>
  </si>
  <si>
    <t>T3_t1_ELOW_blank_02c</t>
  </si>
  <si>
    <t>T3_t1_ELOW_tile_06c</t>
  </si>
  <si>
    <t>T3_t1_ELOW_tile_04c</t>
  </si>
  <si>
    <t>T3_t1_ELOW_blank_01c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</si>
</sst>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05"/>
  <sheetViews>
    <sheetView tabSelected="1" zoomScale="90" zoomScaleNormal="73" workbookViewId="0">
      <pane ySplit="1" topLeftCell="A626" activePane="bottomLeft" state="frozen"/>
      <selection pane="bottomLeft" activeCell="K645" sqref="K645"/>
    </sheetView>
  </sheetViews>
  <sheetFormatPr defaultColWidth="9.1796875" defaultRowHeight="14.5" x14ac:dyDescent="0.35"/>
  <cols>
    <col min="1" max="1" width="10.36328125" style="15" bestFit="1" customWidth="1"/>
    <col min="2" max="2" width="14.36328125" style="31" bestFit="1" customWidth="1"/>
    <col min="3" max="3" width="13.81640625" style="15" bestFit="1" customWidth="1"/>
    <col min="4" max="4" width="10.1796875" style="5" bestFit="1" customWidth="1"/>
    <col min="5" max="5" width="11" style="5" bestFit="1" customWidth="1"/>
    <col min="6" max="6" width="22.6328125" style="17" bestFit="1" customWidth="1"/>
    <col min="7" max="7" width="12.81640625" style="15" bestFit="1" customWidth="1"/>
    <col min="8" max="8" width="9.6328125" style="15" bestFit="1" customWidth="1"/>
    <col min="9" max="9" width="15" style="15" customWidth="1"/>
    <col min="10" max="10" width="12.453125" style="15" bestFit="1" customWidth="1"/>
    <col min="11" max="11" width="11.453125" style="15" bestFit="1" customWidth="1"/>
    <col min="12" max="12" width="5.81640625" style="1" bestFit="1" customWidth="1"/>
    <col min="13" max="16384" width="9.1796875" style="1"/>
  </cols>
  <sheetData>
    <row r="1" spans="1:12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35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35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35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35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35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35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35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35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35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35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35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35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35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35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35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35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35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35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35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35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35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35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35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35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35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35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35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35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35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35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35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35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35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35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35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35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35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35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35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35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35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35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35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35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35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35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35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35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35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35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35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35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35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35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35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35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35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35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35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35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35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35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35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35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35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35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35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35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35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35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35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35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35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35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35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35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35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35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35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35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35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35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35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35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35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35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35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35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35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35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35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35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35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35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35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35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35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35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35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35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35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35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35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35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35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35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35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35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35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35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35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35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35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35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35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35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35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35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35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35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35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35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35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35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35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35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35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35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35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35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35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35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35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35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35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35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35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35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35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35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35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35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35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35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35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35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35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35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35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35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35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35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35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35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35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35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35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35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35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35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35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35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35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35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35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35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35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35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35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35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35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35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35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35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35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35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35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35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35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35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35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35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35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35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35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35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35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35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35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35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35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35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35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35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35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35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35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35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35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35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35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35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35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35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35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35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35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35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35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35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35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35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35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35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35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35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35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35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35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35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35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35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35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35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35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35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35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35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35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35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35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35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35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35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35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35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35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35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35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35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35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35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35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35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35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35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35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35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35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35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35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35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35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35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35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35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35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35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35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35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35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35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35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35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35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35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35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35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35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35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35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35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35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35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35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35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35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35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35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35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35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35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35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35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35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35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35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35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35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35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35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35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35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35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35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35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35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35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35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35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35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35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35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35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35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35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35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35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35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35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35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35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35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35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35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35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35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35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35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35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35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35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35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35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35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35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35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35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35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35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35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35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35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35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35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35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35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35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35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35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35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35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35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35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35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35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35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35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35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35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35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35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35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35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35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35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35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35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35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35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35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35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35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35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35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35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35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35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35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35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35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35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35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35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35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35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35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35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35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35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35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35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35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35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35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35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35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35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35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35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35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35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35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35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35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35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35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35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35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35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35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35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35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35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35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35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35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35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35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35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35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35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35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35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35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35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35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35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35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35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35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35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35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548</v>
      </c>
    </row>
    <row r="425" spans="1:11" x14ac:dyDescent="0.35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35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35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35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35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35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35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35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549</v>
      </c>
    </row>
    <row r="433" spans="1:12" x14ac:dyDescent="0.35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35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2" x14ac:dyDescent="0.35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2" x14ac:dyDescent="0.35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35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2" x14ac:dyDescent="0.35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35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2" x14ac:dyDescent="0.35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2" x14ac:dyDescent="0.35">
      <c r="A441" s="9" t="s">
        <v>11</v>
      </c>
      <c r="B441" s="31">
        <v>45090</v>
      </c>
      <c r="C441" s="10" t="s">
        <v>12</v>
      </c>
      <c r="D441" s="5">
        <v>50.05</v>
      </c>
      <c r="E441" s="14">
        <v>2312.7800000000002</v>
      </c>
      <c r="F441" s="16" t="s">
        <v>8</v>
      </c>
      <c r="G441" s="13">
        <f>AVERAGE(E442,E443)</f>
        <v>2232.69</v>
      </c>
      <c r="H441" s="18">
        <f>STDEV(E442,E443)</f>
        <v>2.9698484809833712</v>
      </c>
      <c r="I441" s="3">
        <v>2226.44</v>
      </c>
      <c r="J441" s="4">
        <f>I441-G441</f>
        <v>-6.25</v>
      </c>
      <c r="K441" s="5">
        <f>G441+J441</f>
        <v>2226.44</v>
      </c>
      <c r="L441" s="2" t="s">
        <v>94</v>
      </c>
    </row>
    <row r="442" spans="1:12" x14ac:dyDescent="0.35">
      <c r="A442" s="9" t="s">
        <v>11</v>
      </c>
      <c r="B442" s="31">
        <v>45090</v>
      </c>
      <c r="C442" s="10" t="s">
        <v>12</v>
      </c>
      <c r="D442" s="5">
        <v>48.78</v>
      </c>
      <c r="E442" s="5">
        <v>2230.59</v>
      </c>
      <c r="F442" s="16" t="s">
        <v>9</v>
      </c>
    </row>
    <row r="443" spans="1:12" x14ac:dyDescent="0.35">
      <c r="A443" s="9" t="s">
        <v>11</v>
      </c>
      <c r="B443" s="31">
        <v>45090</v>
      </c>
      <c r="C443" s="10" t="s">
        <v>12</v>
      </c>
      <c r="D443" s="5">
        <v>51.78</v>
      </c>
      <c r="E443" s="5">
        <v>2234.79</v>
      </c>
      <c r="F443" s="16" t="s">
        <v>96</v>
      </c>
    </row>
    <row r="444" spans="1:12" x14ac:dyDescent="0.35">
      <c r="A444" s="9" t="s">
        <v>11</v>
      </c>
      <c r="B444" s="31">
        <v>45090</v>
      </c>
      <c r="C444" s="10" t="s">
        <v>12</v>
      </c>
      <c r="D444" s="5">
        <v>49.72</v>
      </c>
      <c r="E444" s="5">
        <v>2797.88</v>
      </c>
      <c r="F444" s="16" t="s">
        <v>461</v>
      </c>
      <c r="G444" s="13">
        <f>AVERAGE(E444,E446)</f>
        <v>2794.82</v>
      </c>
      <c r="H444" s="18">
        <f>STDEV(E444,E446)</f>
        <v>4.3274935008615936</v>
      </c>
      <c r="K444" s="5">
        <f>G444+$J$416</f>
        <v>2791.2750000000001</v>
      </c>
    </row>
    <row r="445" spans="1:12" x14ac:dyDescent="0.35">
      <c r="A445" s="9" t="s">
        <v>11</v>
      </c>
      <c r="B445" s="31">
        <v>45090</v>
      </c>
      <c r="C445" s="10" t="s">
        <v>12</v>
      </c>
      <c r="D445" s="5">
        <v>48.28</v>
      </c>
      <c r="E445" s="14">
        <v>2892.7</v>
      </c>
      <c r="F445" s="16" t="s">
        <v>462</v>
      </c>
    </row>
    <row r="446" spans="1:12" x14ac:dyDescent="0.35">
      <c r="A446" s="9" t="s">
        <v>11</v>
      </c>
      <c r="B446" s="31">
        <v>45090</v>
      </c>
      <c r="C446" s="10" t="s">
        <v>12</v>
      </c>
      <c r="D446" s="5">
        <v>50.26</v>
      </c>
      <c r="E446" s="5">
        <v>2791.76</v>
      </c>
      <c r="F446" s="16" t="s">
        <v>463</v>
      </c>
    </row>
    <row r="447" spans="1:12" x14ac:dyDescent="0.35">
      <c r="A447" s="9" t="s">
        <v>11</v>
      </c>
      <c r="B447" s="31">
        <v>45090</v>
      </c>
      <c r="C447" s="10" t="s">
        <v>12</v>
      </c>
      <c r="D447" s="5">
        <v>50.21</v>
      </c>
      <c r="E447" s="14">
        <v>2776.09</v>
      </c>
      <c r="F447" s="16" t="s">
        <v>464</v>
      </c>
      <c r="G447" s="13">
        <f>AVERAGE(E448,E449)</f>
        <v>2792.2950000000001</v>
      </c>
      <c r="H447" s="18">
        <f>STDEV(E448,E449)</f>
        <v>3.995153313704058</v>
      </c>
      <c r="K447" s="5">
        <f>G447+$J$416</f>
        <v>2788.75</v>
      </c>
    </row>
    <row r="448" spans="1:12" x14ac:dyDescent="0.35">
      <c r="A448" s="9" t="s">
        <v>11</v>
      </c>
      <c r="B448" s="31">
        <v>45090</v>
      </c>
      <c r="C448" s="10" t="s">
        <v>12</v>
      </c>
      <c r="D448" s="5">
        <v>48.31</v>
      </c>
      <c r="E448" s="5">
        <v>2789.47</v>
      </c>
      <c r="F448" s="16" t="s">
        <v>465</v>
      </c>
    </row>
    <row r="449" spans="1:11" x14ac:dyDescent="0.35">
      <c r="A449" s="9" t="s">
        <v>11</v>
      </c>
      <c r="B449" s="31">
        <v>45090</v>
      </c>
      <c r="C449" s="10" t="s">
        <v>12</v>
      </c>
      <c r="D449" s="5">
        <v>51.2</v>
      </c>
      <c r="E449" s="5">
        <v>2795.12</v>
      </c>
      <c r="F449" s="16" t="s">
        <v>466</v>
      </c>
    </row>
    <row r="450" spans="1:11" x14ac:dyDescent="0.35">
      <c r="A450" s="9" t="s">
        <v>11</v>
      </c>
      <c r="B450" s="31">
        <v>45090</v>
      </c>
      <c r="C450" s="10" t="s">
        <v>12</v>
      </c>
      <c r="D450" s="5">
        <v>50.61</v>
      </c>
      <c r="E450" s="5">
        <v>2738.11</v>
      </c>
      <c r="F450" s="16" t="s">
        <v>400</v>
      </c>
      <c r="G450" s="13">
        <f>AVERAGE(E451,E450)</f>
        <v>2736.45</v>
      </c>
      <c r="H450" s="18">
        <f>STDEV(E451,E450)</f>
        <v>2.3475945135394536</v>
      </c>
      <c r="K450" s="5">
        <f>G450+$J$416</f>
        <v>2732.9049999999997</v>
      </c>
    </row>
    <row r="451" spans="1:11" x14ac:dyDescent="0.35">
      <c r="A451" s="9" t="s">
        <v>11</v>
      </c>
      <c r="B451" s="31">
        <v>45090</v>
      </c>
      <c r="C451" s="10" t="s">
        <v>12</v>
      </c>
      <c r="D451" s="5">
        <v>50.35</v>
      </c>
      <c r="E451" s="5">
        <v>2734.79</v>
      </c>
      <c r="F451" s="16" t="s">
        <v>401</v>
      </c>
    </row>
    <row r="452" spans="1:11" x14ac:dyDescent="0.35">
      <c r="A452" s="9" t="s">
        <v>11</v>
      </c>
      <c r="B452" s="31">
        <v>45090</v>
      </c>
      <c r="C452" s="10" t="s">
        <v>12</v>
      </c>
      <c r="D452" s="5">
        <v>51.43</v>
      </c>
      <c r="E452" s="5">
        <v>2773.66</v>
      </c>
      <c r="F452" s="16" t="s">
        <v>402</v>
      </c>
      <c r="G452" s="13">
        <f>AVERAGE(E452:E453)</f>
        <v>2775.7049999999999</v>
      </c>
      <c r="H452" s="18">
        <f>STDEV(E452:E453)</f>
        <v>2.8920667350530822</v>
      </c>
      <c r="K452" s="5">
        <f>G452+$J$416</f>
        <v>2772.16</v>
      </c>
    </row>
    <row r="453" spans="1:11" x14ac:dyDescent="0.35">
      <c r="A453" s="9" t="s">
        <v>11</v>
      </c>
      <c r="B453" s="31">
        <v>45090</v>
      </c>
      <c r="C453" s="10" t="s">
        <v>12</v>
      </c>
      <c r="D453" s="5">
        <v>51.73</v>
      </c>
      <c r="E453" s="5">
        <v>2777.75</v>
      </c>
      <c r="F453" s="16" t="s">
        <v>403</v>
      </c>
    </row>
    <row r="454" spans="1:11" x14ac:dyDescent="0.35">
      <c r="A454" s="9" t="s">
        <v>152</v>
      </c>
      <c r="B454" s="31">
        <v>45091</v>
      </c>
      <c r="C454" s="10" t="s">
        <v>12</v>
      </c>
      <c r="D454" s="5">
        <v>53.38</v>
      </c>
      <c r="E454" s="14">
        <v>2759.05</v>
      </c>
      <c r="F454" s="16" t="s">
        <v>404</v>
      </c>
      <c r="G454" s="13">
        <f>AVERAGE(E455,E456)</f>
        <v>2765.8450000000003</v>
      </c>
      <c r="H454" s="18">
        <f>STDEV(E455,E456)</f>
        <v>1.8879751057678118</v>
      </c>
      <c r="K454" s="5">
        <f>G454+$J$472</f>
        <v>2756.5550000000003</v>
      </c>
    </row>
    <row r="455" spans="1:11" x14ac:dyDescent="0.35">
      <c r="A455" s="9" t="s">
        <v>152</v>
      </c>
      <c r="B455" s="31">
        <v>45091</v>
      </c>
      <c r="C455" s="10" t="s">
        <v>12</v>
      </c>
      <c r="D455" s="5">
        <v>54.79</v>
      </c>
      <c r="E455" s="5">
        <v>2764.51</v>
      </c>
      <c r="F455" s="16" t="s">
        <v>405</v>
      </c>
    </row>
    <row r="456" spans="1:11" x14ac:dyDescent="0.35">
      <c r="A456" s="9" t="s">
        <v>152</v>
      </c>
      <c r="B456" s="31">
        <v>45091</v>
      </c>
      <c r="C456" s="10" t="s">
        <v>12</v>
      </c>
      <c r="D456" s="5">
        <v>50.74</v>
      </c>
      <c r="E456" s="5">
        <v>2767.18</v>
      </c>
      <c r="F456" s="16" t="s">
        <v>406</v>
      </c>
    </row>
    <row r="457" spans="1:11" x14ac:dyDescent="0.35">
      <c r="A457" s="9" t="s">
        <v>152</v>
      </c>
      <c r="B457" s="31">
        <v>45091</v>
      </c>
      <c r="C457" s="10" t="s">
        <v>12</v>
      </c>
      <c r="D457" s="5">
        <v>52.02</v>
      </c>
      <c r="E457" s="5">
        <v>2799.11</v>
      </c>
      <c r="F457" s="16" t="s">
        <v>407</v>
      </c>
      <c r="G457" s="13">
        <f>AVERAGE(E457,E459)</f>
        <v>2795.8500000000004</v>
      </c>
      <c r="H457" s="18">
        <f>STDEV(E457,E459)</f>
        <v>4.6103362133362769</v>
      </c>
      <c r="K457" s="5">
        <f>G457+$J$472</f>
        <v>2786.5600000000004</v>
      </c>
    </row>
    <row r="458" spans="1:11" x14ac:dyDescent="0.35">
      <c r="A458" s="9" t="s">
        <v>152</v>
      </c>
      <c r="B458" s="31">
        <v>45091</v>
      </c>
      <c r="C458" s="10" t="s">
        <v>12</v>
      </c>
      <c r="D458" s="5">
        <v>49.72</v>
      </c>
      <c r="E458" s="14">
        <v>2776.97</v>
      </c>
      <c r="F458" s="16" t="s">
        <v>408</v>
      </c>
    </row>
    <row r="459" spans="1:11" x14ac:dyDescent="0.35">
      <c r="A459" s="9" t="s">
        <v>152</v>
      </c>
      <c r="B459" s="31">
        <v>45091</v>
      </c>
      <c r="C459" s="10" t="s">
        <v>12</v>
      </c>
      <c r="D459" s="5">
        <v>52.05</v>
      </c>
      <c r="E459" s="5">
        <v>2792.59</v>
      </c>
      <c r="F459" s="16" t="s">
        <v>409</v>
      </c>
    </row>
    <row r="460" spans="1:11" x14ac:dyDescent="0.35">
      <c r="A460" s="9" t="s">
        <v>152</v>
      </c>
      <c r="B460" s="31">
        <v>45091</v>
      </c>
      <c r="C460" s="10" t="s">
        <v>12</v>
      </c>
      <c r="D460" s="5">
        <v>49.12</v>
      </c>
      <c r="E460" s="5">
        <v>2820.28</v>
      </c>
      <c r="F460" s="16" t="s">
        <v>410</v>
      </c>
      <c r="G460" s="13">
        <f>AVERAGE(E460,E462)</f>
        <v>2816.7449999999999</v>
      </c>
      <c r="H460" s="18">
        <f>STDEV(E460,E462)</f>
        <v>4.9992449429890069</v>
      </c>
      <c r="K460" s="5">
        <f>G460+$J$472</f>
        <v>2807.4549999999999</v>
      </c>
    </row>
    <row r="461" spans="1:11" x14ac:dyDescent="0.35">
      <c r="A461" s="9" t="s">
        <v>152</v>
      </c>
      <c r="B461" s="31">
        <v>45091</v>
      </c>
      <c r="C461" s="10" t="s">
        <v>12</v>
      </c>
      <c r="D461" s="5">
        <v>50.75</v>
      </c>
      <c r="E461" s="14">
        <v>2805.14</v>
      </c>
      <c r="F461" s="16" t="s">
        <v>411</v>
      </c>
    </row>
    <row r="462" spans="1:11" x14ac:dyDescent="0.35">
      <c r="A462" s="9" t="s">
        <v>152</v>
      </c>
      <c r="B462" s="31">
        <v>45091</v>
      </c>
      <c r="C462" s="10" t="s">
        <v>12</v>
      </c>
      <c r="D462" s="5">
        <v>53.14</v>
      </c>
      <c r="E462" s="5">
        <v>2813.21</v>
      </c>
      <c r="F462" s="16" t="s">
        <v>412</v>
      </c>
    </row>
    <row r="463" spans="1:11" x14ac:dyDescent="0.35">
      <c r="A463" s="9" t="s">
        <v>152</v>
      </c>
      <c r="B463" s="31">
        <v>45091</v>
      </c>
      <c r="C463" s="10" t="s">
        <v>12</v>
      </c>
      <c r="D463" s="5">
        <v>47.87</v>
      </c>
      <c r="E463" s="5">
        <v>2834.96</v>
      </c>
      <c r="F463" s="16" t="s">
        <v>413</v>
      </c>
      <c r="G463" s="13">
        <f>AVERAGE(E463,E464,E465)</f>
        <v>2835.0566666666668</v>
      </c>
      <c r="H463" s="18">
        <f>STDEV(E463,E464,E465)</f>
        <v>4.4457882690626178</v>
      </c>
      <c r="K463" s="5">
        <f>G463+$J$472</f>
        <v>2825.7666666666669</v>
      </c>
    </row>
    <row r="464" spans="1:11" x14ac:dyDescent="0.35">
      <c r="A464" s="9" t="s">
        <v>152</v>
      </c>
      <c r="B464" s="31">
        <v>45091</v>
      </c>
      <c r="C464" s="10" t="s">
        <v>12</v>
      </c>
      <c r="D464" s="5">
        <v>52.1</v>
      </c>
      <c r="E464" s="5">
        <v>2830.66</v>
      </c>
      <c r="F464" s="16" t="s">
        <v>414</v>
      </c>
    </row>
    <row r="465" spans="1:12" x14ac:dyDescent="0.35">
      <c r="A465" s="9" t="s">
        <v>152</v>
      </c>
      <c r="B465" s="31">
        <v>45091</v>
      </c>
      <c r="C465" s="10" t="s">
        <v>12</v>
      </c>
      <c r="D465" s="5">
        <v>49.24</v>
      </c>
      <c r="E465" s="5">
        <v>2839.55</v>
      </c>
      <c r="F465" s="16" t="s">
        <v>415</v>
      </c>
    </row>
    <row r="466" spans="1:12" x14ac:dyDescent="0.35">
      <c r="A466" s="9" t="s">
        <v>152</v>
      </c>
      <c r="B466" s="31">
        <v>45091</v>
      </c>
      <c r="C466" s="10" t="s">
        <v>12</v>
      </c>
      <c r="D466" s="5">
        <v>53.72</v>
      </c>
      <c r="E466" s="5">
        <v>2817.37</v>
      </c>
      <c r="F466" s="16" t="s">
        <v>416</v>
      </c>
      <c r="G466" s="13">
        <f>AVERAGE(E466,E468)</f>
        <v>2818.42</v>
      </c>
      <c r="H466" s="18">
        <f>STDEV(E466,E468)</f>
        <v>1.4849242404916856</v>
      </c>
      <c r="K466" s="5">
        <f>G466+$J$472</f>
        <v>2809.13</v>
      </c>
    </row>
    <row r="467" spans="1:12" x14ac:dyDescent="0.35">
      <c r="A467" s="9" t="s">
        <v>152</v>
      </c>
      <c r="B467" s="31">
        <v>45091</v>
      </c>
      <c r="C467" s="10" t="s">
        <v>12</v>
      </c>
      <c r="D467" s="5">
        <v>50.92</v>
      </c>
      <c r="E467" s="14">
        <v>2802.53</v>
      </c>
      <c r="F467" s="16" t="s">
        <v>417</v>
      </c>
    </row>
    <row r="468" spans="1:12" x14ac:dyDescent="0.35">
      <c r="A468" s="9" t="s">
        <v>152</v>
      </c>
      <c r="B468" s="31">
        <v>45091</v>
      </c>
      <c r="C468" s="10" t="s">
        <v>12</v>
      </c>
      <c r="D468" s="5">
        <v>52.46</v>
      </c>
      <c r="E468" s="5">
        <v>2819.47</v>
      </c>
      <c r="F468" s="16" t="s">
        <v>418</v>
      </c>
    </row>
    <row r="469" spans="1:12" x14ac:dyDescent="0.35">
      <c r="A469" s="9" t="s">
        <v>152</v>
      </c>
      <c r="B469" s="31">
        <v>45091</v>
      </c>
      <c r="C469" s="10" t="s">
        <v>12</v>
      </c>
      <c r="D469" s="5">
        <v>54.89</v>
      </c>
      <c r="E469" s="5">
        <v>2796.16</v>
      </c>
      <c r="F469" s="16" t="s">
        <v>419</v>
      </c>
      <c r="G469" s="13">
        <f>AVERAGE(E469,E471)</f>
        <v>2797.2049999999999</v>
      </c>
      <c r="H469" s="18">
        <f>STDEV(E469,E471)</f>
        <v>1.4778531726799873</v>
      </c>
      <c r="K469" s="5">
        <f>G469+$J$472</f>
        <v>2787.915</v>
      </c>
    </row>
    <row r="470" spans="1:12" x14ac:dyDescent="0.35">
      <c r="A470" s="9" t="s">
        <v>152</v>
      </c>
      <c r="B470" s="31">
        <v>45091</v>
      </c>
      <c r="C470" s="10" t="s">
        <v>12</v>
      </c>
      <c r="D470" s="5">
        <v>53.11</v>
      </c>
      <c r="E470" s="14">
        <v>2788.74</v>
      </c>
      <c r="F470" s="16" t="s">
        <v>420</v>
      </c>
    </row>
    <row r="471" spans="1:12" x14ac:dyDescent="0.35">
      <c r="A471" s="9" t="s">
        <v>152</v>
      </c>
      <c r="B471" s="31">
        <v>45091</v>
      </c>
      <c r="C471" s="10" t="s">
        <v>12</v>
      </c>
      <c r="D471" s="5">
        <v>48.88</v>
      </c>
      <c r="E471" s="5">
        <v>2798.25</v>
      </c>
      <c r="F471" s="16" t="s">
        <v>421</v>
      </c>
    </row>
    <row r="472" spans="1:12" x14ac:dyDescent="0.35">
      <c r="A472" s="9" t="s">
        <v>152</v>
      </c>
      <c r="B472" s="31">
        <v>45091</v>
      </c>
      <c r="C472" s="10" t="s">
        <v>12</v>
      </c>
      <c r="D472" s="5">
        <v>54.11</v>
      </c>
      <c r="E472" s="5">
        <v>2234.58</v>
      </c>
      <c r="F472" s="16" t="s">
        <v>8</v>
      </c>
      <c r="G472" s="13">
        <f>AVERAGE(E472,E474)</f>
        <v>2235.73</v>
      </c>
      <c r="H472" s="18">
        <f>STDEV(E472,E474)</f>
        <v>1.626345596729188</v>
      </c>
      <c r="I472" s="3">
        <v>2226.44</v>
      </c>
      <c r="J472" s="4">
        <f>I472-G472</f>
        <v>-9.2899999999999636</v>
      </c>
      <c r="K472" s="5">
        <f>G472+J472</f>
        <v>2226.44</v>
      </c>
      <c r="L472" s="2" t="s">
        <v>94</v>
      </c>
    </row>
    <row r="473" spans="1:12" x14ac:dyDescent="0.35">
      <c r="A473" s="9" t="s">
        <v>152</v>
      </c>
      <c r="B473" s="31">
        <v>45091</v>
      </c>
      <c r="C473" s="10" t="s">
        <v>12</v>
      </c>
      <c r="D473" s="5">
        <v>51.07</v>
      </c>
      <c r="E473" s="5">
        <v>2230.42</v>
      </c>
      <c r="F473" s="16" t="s">
        <v>9</v>
      </c>
    </row>
    <row r="474" spans="1:12" x14ac:dyDescent="0.35">
      <c r="A474" s="9" t="s">
        <v>152</v>
      </c>
      <c r="B474" s="31">
        <v>45091</v>
      </c>
      <c r="C474" s="10" t="s">
        <v>12</v>
      </c>
      <c r="D474" s="5">
        <v>55.91</v>
      </c>
      <c r="E474" s="5">
        <v>2236.88</v>
      </c>
      <c r="F474" s="16" t="s">
        <v>96</v>
      </c>
    </row>
    <row r="475" spans="1:12" x14ac:dyDescent="0.35">
      <c r="A475" s="9" t="s">
        <v>11</v>
      </c>
      <c r="B475" s="31">
        <v>45091</v>
      </c>
      <c r="C475" s="10" t="s">
        <v>12</v>
      </c>
      <c r="D475" s="5">
        <v>50.54</v>
      </c>
      <c r="E475" s="5">
        <v>2724.69</v>
      </c>
      <c r="F475" s="16" t="s">
        <v>467</v>
      </c>
      <c r="G475" s="13">
        <f>AVERAGE(E475:E476)</f>
        <v>2723.1849999999999</v>
      </c>
      <c r="H475" s="18">
        <f>STDEV(E475,E476)</f>
        <v>2.1283914113716627</v>
      </c>
      <c r="K475" s="5">
        <f>G475+$J$472</f>
        <v>2713.895</v>
      </c>
    </row>
    <row r="476" spans="1:12" x14ac:dyDescent="0.35">
      <c r="A476" s="9" t="s">
        <v>11</v>
      </c>
      <c r="B476" s="31">
        <v>45091</v>
      </c>
      <c r="C476" s="10" t="s">
        <v>12</v>
      </c>
      <c r="D476" s="5">
        <v>48.78</v>
      </c>
      <c r="E476" s="5">
        <v>2721.68</v>
      </c>
      <c r="F476" s="16" t="s">
        <v>468</v>
      </c>
    </row>
    <row r="477" spans="1:12" x14ac:dyDescent="0.35">
      <c r="A477" s="9" t="s">
        <v>11</v>
      </c>
      <c r="B477" s="31">
        <v>45091</v>
      </c>
      <c r="C477" s="10" t="s">
        <v>12</v>
      </c>
      <c r="D477" s="5">
        <v>49.21</v>
      </c>
      <c r="E477" s="5">
        <v>2703.56</v>
      </c>
      <c r="F477" s="16" t="s">
        <v>469</v>
      </c>
      <c r="G477" s="13">
        <f>AVERAGE(E477,E479)</f>
        <v>2680.0749999999998</v>
      </c>
      <c r="H477" s="18">
        <f>STDEV(E477,E478)</f>
        <v>4.0305086527631921</v>
      </c>
      <c r="K477" s="5">
        <f>G477+$J$472</f>
        <v>2670.7849999999999</v>
      </c>
    </row>
    <row r="478" spans="1:12" x14ac:dyDescent="0.35">
      <c r="A478" s="9" t="s">
        <v>11</v>
      </c>
      <c r="B478" s="31">
        <v>45091</v>
      </c>
      <c r="C478" s="10" t="s">
        <v>12</v>
      </c>
      <c r="D478" s="5">
        <v>49.8</v>
      </c>
      <c r="E478" s="5">
        <v>2697.86</v>
      </c>
      <c r="F478" s="16" t="s">
        <v>470</v>
      </c>
    </row>
    <row r="479" spans="1:12" x14ac:dyDescent="0.35">
      <c r="A479" s="9" t="s">
        <v>11</v>
      </c>
      <c r="B479" s="31">
        <v>45091</v>
      </c>
      <c r="C479" s="10" t="s">
        <v>12</v>
      </c>
      <c r="D479" s="5">
        <v>51.62</v>
      </c>
      <c r="E479" s="14">
        <v>2656.59</v>
      </c>
      <c r="F479" s="16" t="s">
        <v>422</v>
      </c>
      <c r="G479" s="13">
        <f>AVERAGE(E480,E481)</f>
        <v>2647.81</v>
      </c>
      <c r="H479" s="18">
        <f>STDEV(E480,E481)</f>
        <v>0.82024386617629219</v>
      </c>
      <c r="K479" s="5">
        <f>G479+$J$472</f>
        <v>2638.52</v>
      </c>
    </row>
    <row r="480" spans="1:12" x14ac:dyDescent="0.35">
      <c r="A480" s="9" t="s">
        <v>11</v>
      </c>
      <c r="B480" s="31">
        <v>45091</v>
      </c>
      <c r="C480" s="10" t="s">
        <v>12</v>
      </c>
      <c r="D480" s="5">
        <v>49.21</v>
      </c>
      <c r="E480" s="5">
        <v>2647.23</v>
      </c>
      <c r="F480" s="16" t="s">
        <v>423</v>
      </c>
    </row>
    <row r="481" spans="1:12" x14ac:dyDescent="0.35">
      <c r="A481" s="9" t="s">
        <v>11</v>
      </c>
      <c r="B481" s="31">
        <v>45091</v>
      </c>
      <c r="C481" s="10" t="s">
        <v>12</v>
      </c>
      <c r="D481" s="5">
        <v>48.69</v>
      </c>
      <c r="E481" s="5">
        <v>2648.39</v>
      </c>
      <c r="F481" s="16" t="s">
        <v>424</v>
      </c>
    </row>
    <row r="482" spans="1:12" x14ac:dyDescent="0.35">
      <c r="A482" s="9" t="s">
        <v>11</v>
      </c>
      <c r="B482" s="31">
        <v>45091</v>
      </c>
      <c r="C482" s="10" t="s">
        <v>12</v>
      </c>
      <c r="D482" s="5">
        <v>51.12</v>
      </c>
      <c r="E482" s="5">
        <v>2656.91</v>
      </c>
      <c r="F482" s="16" t="s">
        <v>425</v>
      </c>
      <c r="G482" s="13">
        <f>AVERAGE(E482,E483)</f>
        <v>2656.1099999999997</v>
      </c>
      <c r="H482" s="18">
        <f>STDEV(E482,E483)</f>
        <v>1.1313708498984119</v>
      </c>
      <c r="K482" s="5">
        <f>G482+$J$472</f>
        <v>2646.8199999999997</v>
      </c>
    </row>
    <row r="483" spans="1:12" x14ac:dyDescent="0.35">
      <c r="A483" s="9" t="s">
        <v>11</v>
      </c>
      <c r="B483" s="31">
        <v>45091</v>
      </c>
      <c r="C483" s="10" t="s">
        <v>12</v>
      </c>
      <c r="D483" s="5">
        <v>51.4</v>
      </c>
      <c r="E483" s="5">
        <v>2655.31</v>
      </c>
      <c r="F483" s="16" t="s">
        <v>426</v>
      </c>
    </row>
    <row r="484" spans="1:12" x14ac:dyDescent="0.35">
      <c r="A484" s="9" t="s">
        <v>11</v>
      </c>
      <c r="B484" s="31">
        <v>45091</v>
      </c>
      <c r="C484" s="10" t="s">
        <v>12</v>
      </c>
      <c r="D484" s="5">
        <v>49.41</v>
      </c>
      <c r="E484" s="5">
        <v>2684.74</v>
      </c>
      <c r="F484" s="16" t="s">
        <v>427</v>
      </c>
      <c r="G484" s="13">
        <f>AVERAGE(E484,E485)</f>
        <v>2684.2649999999999</v>
      </c>
      <c r="H484" s="18">
        <f>STDEV(E484,E485)</f>
        <v>0.67175144212709148</v>
      </c>
      <c r="K484" s="5">
        <f>G484+$J$472</f>
        <v>2674.9749999999999</v>
      </c>
    </row>
    <row r="485" spans="1:12" x14ac:dyDescent="0.35">
      <c r="A485" s="9" t="s">
        <v>11</v>
      </c>
      <c r="B485" s="31">
        <v>45091</v>
      </c>
      <c r="C485" s="10" t="s">
        <v>12</v>
      </c>
      <c r="D485" s="5">
        <v>49.72</v>
      </c>
      <c r="E485" s="5">
        <v>2683.79</v>
      </c>
      <c r="F485" s="16" t="s">
        <v>428</v>
      </c>
    </row>
    <row r="486" spans="1:12" x14ac:dyDescent="0.35">
      <c r="A486" s="9" t="s">
        <v>11</v>
      </c>
      <c r="B486" s="31">
        <v>45091</v>
      </c>
      <c r="C486" s="10" t="s">
        <v>12</v>
      </c>
      <c r="D486" s="5">
        <v>50.83</v>
      </c>
      <c r="E486" s="14">
        <v>2735.14</v>
      </c>
      <c r="F486" s="16" t="s">
        <v>429</v>
      </c>
      <c r="G486" s="13">
        <f>AVERAGE(E487,E489)</f>
        <v>2724.0650000000001</v>
      </c>
      <c r="H486" s="18">
        <f>STDEV(E487,E489)</f>
        <v>1.0960155108392773</v>
      </c>
      <c r="K486" s="5">
        <f>G486+$J$472</f>
        <v>2714.7750000000001</v>
      </c>
    </row>
    <row r="487" spans="1:12" x14ac:dyDescent="0.35">
      <c r="A487" s="9" t="s">
        <v>11</v>
      </c>
      <c r="B487" s="31">
        <v>45091</v>
      </c>
      <c r="C487" s="10" t="s">
        <v>12</v>
      </c>
      <c r="D487" s="5">
        <v>48.96</v>
      </c>
      <c r="E487" s="5">
        <v>2723.29</v>
      </c>
      <c r="F487" s="16" t="s">
        <v>430</v>
      </c>
    </row>
    <row r="488" spans="1:12" x14ac:dyDescent="0.35">
      <c r="A488" s="9" t="s">
        <v>11</v>
      </c>
      <c r="B488" s="31">
        <v>45091</v>
      </c>
      <c r="C488" s="10" t="s">
        <v>12</v>
      </c>
      <c r="D488" s="5">
        <v>50.39</v>
      </c>
      <c r="E488" s="14">
        <v>2558.9699999999998</v>
      </c>
      <c r="F488" s="16" t="s">
        <v>431</v>
      </c>
    </row>
    <row r="489" spans="1:12" x14ac:dyDescent="0.35">
      <c r="A489" s="9" t="s">
        <v>550</v>
      </c>
      <c r="B489" s="31">
        <v>45092</v>
      </c>
      <c r="C489" s="10" t="s">
        <v>12</v>
      </c>
      <c r="D489" s="5">
        <v>53.63</v>
      </c>
      <c r="E489" s="5">
        <v>2724.84</v>
      </c>
      <c r="F489" s="16" t="s">
        <v>551</v>
      </c>
    </row>
    <row r="490" spans="1:12" x14ac:dyDescent="0.35">
      <c r="A490" s="9" t="s">
        <v>550</v>
      </c>
      <c r="B490" s="31">
        <v>45092</v>
      </c>
      <c r="C490" s="10" t="s">
        <v>12</v>
      </c>
      <c r="D490" s="5">
        <v>50.86</v>
      </c>
      <c r="E490" s="5">
        <v>2237.83</v>
      </c>
      <c r="F490" s="16" t="s">
        <v>8</v>
      </c>
      <c r="G490" s="13">
        <f>AVERAGE(E490:E491)</f>
        <v>2236.6949999999997</v>
      </c>
      <c r="H490" s="18">
        <f>STDEV(E490:E491)</f>
        <v>1.60513239329345</v>
      </c>
      <c r="I490" s="3">
        <v>2226.44</v>
      </c>
      <c r="J490" s="4">
        <f>I490-G490</f>
        <v>-10.254999999999654</v>
      </c>
      <c r="K490" s="5">
        <f>G490+J490</f>
        <v>2226.44</v>
      </c>
      <c r="L490" s="2" t="s">
        <v>94</v>
      </c>
    </row>
    <row r="491" spans="1:12" x14ac:dyDescent="0.35">
      <c r="A491" s="9" t="s">
        <v>550</v>
      </c>
      <c r="B491" s="31">
        <v>45092</v>
      </c>
      <c r="C491" s="10" t="s">
        <v>12</v>
      </c>
      <c r="D491" s="5">
        <v>50.82</v>
      </c>
      <c r="E491" s="5">
        <v>2235.56</v>
      </c>
      <c r="F491" s="16" t="s">
        <v>9</v>
      </c>
    </row>
    <row r="492" spans="1:12" x14ac:dyDescent="0.35">
      <c r="A492" s="9" t="s">
        <v>550</v>
      </c>
      <c r="B492" s="31">
        <v>45092</v>
      </c>
      <c r="C492" s="10" t="s">
        <v>12</v>
      </c>
      <c r="D492" s="5">
        <v>50.73</v>
      </c>
      <c r="E492" s="14">
        <v>2249.09</v>
      </c>
      <c r="F492" s="16" t="s">
        <v>96</v>
      </c>
    </row>
    <row r="493" spans="1:12" x14ac:dyDescent="0.35">
      <c r="A493" s="9" t="s">
        <v>550</v>
      </c>
      <c r="B493" s="31">
        <v>45092</v>
      </c>
      <c r="C493" s="10" t="s">
        <v>12</v>
      </c>
      <c r="D493" s="5">
        <v>53.5</v>
      </c>
      <c r="E493" s="5">
        <v>2646.16</v>
      </c>
      <c r="F493" s="16" t="s">
        <v>432</v>
      </c>
      <c r="G493" s="13">
        <f>AVERAGE(E493:E494)</f>
        <v>2648.3599999999997</v>
      </c>
      <c r="H493" s="18">
        <f>STDEV(E493:E494)</f>
        <v>3.1112698372208736</v>
      </c>
      <c r="K493" s="5">
        <f>G493+$J$490</f>
        <v>2638.105</v>
      </c>
    </row>
    <row r="494" spans="1:12" x14ac:dyDescent="0.35">
      <c r="A494" s="9" t="s">
        <v>550</v>
      </c>
      <c r="B494" s="31">
        <v>45092</v>
      </c>
      <c r="C494" s="10" t="s">
        <v>12</v>
      </c>
      <c r="D494" s="5">
        <v>53.83</v>
      </c>
      <c r="E494" s="5">
        <v>2650.56</v>
      </c>
      <c r="F494" s="16" t="s">
        <v>433</v>
      </c>
    </row>
    <row r="495" spans="1:12" x14ac:dyDescent="0.35">
      <c r="A495" s="9" t="s">
        <v>550</v>
      </c>
      <c r="B495" s="31">
        <v>45092</v>
      </c>
      <c r="C495" s="10" t="s">
        <v>12</v>
      </c>
      <c r="D495" s="5">
        <v>51.93</v>
      </c>
      <c r="E495" s="14">
        <v>2665.89</v>
      </c>
      <c r="F495" s="16" t="s">
        <v>434</v>
      </c>
    </row>
    <row r="496" spans="1:12" x14ac:dyDescent="0.35">
      <c r="A496" s="9" t="s">
        <v>11</v>
      </c>
      <c r="B496" s="31">
        <v>45092</v>
      </c>
      <c r="C496" s="10" t="s">
        <v>12</v>
      </c>
      <c r="D496" s="5">
        <v>48.59</v>
      </c>
      <c r="E496" s="14">
        <v>2623.61</v>
      </c>
      <c r="F496" s="16" t="s">
        <v>435</v>
      </c>
      <c r="G496" s="13">
        <f>AVERAGE(E497:E498)</f>
        <v>2562.915</v>
      </c>
      <c r="H496" s="18">
        <f>STDEV(E497:E498)</f>
        <v>1.2798632739476123</v>
      </c>
      <c r="K496" s="5">
        <f>G496+$J$490</f>
        <v>2552.6600000000003</v>
      </c>
    </row>
    <row r="497" spans="1:11" x14ac:dyDescent="0.35">
      <c r="A497" s="9" t="s">
        <v>11</v>
      </c>
      <c r="B497" s="31">
        <v>45092</v>
      </c>
      <c r="C497" s="10" t="s">
        <v>12</v>
      </c>
      <c r="D497" s="5">
        <v>50.54</v>
      </c>
      <c r="E497" s="5">
        <v>2563.8200000000002</v>
      </c>
      <c r="F497" s="16" t="s">
        <v>436</v>
      </c>
    </row>
    <row r="498" spans="1:11" x14ac:dyDescent="0.35">
      <c r="A498" s="9" t="s">
        <v>11</v>
      </c>
      <c r="B498" s="31">
        <v>45092</v>
      </c>
      <c r="C498" s="10" t="s">
        <v>12</v>
      </c>
      <c r="D498" s="5">
        <v>51.73</v>
      </c>
      <c r="E498" s="5">
        <v>2562.0100000000002</v>
      </c>
      <c r="F498" s="16" t="s">
        <v>437</v>
      </c>
    </row>
    <row r="499" spans="1:11" x14ac:dyDescent="0.35">
      <c r="A499" s="9" t="s">
        <v>11</v>
      </c>
      <c r="B499" s="31">
        <v>45092</v>
      </c>
      <c r="C499" s="10" t="s">
        <v>12</v>
      </c>
      <c r="D499" s="5">
        <v>50.45</v>
      </c>
      <c r="E499" s="5">
        <v>2596.41</v>
      </c>
      <c r="F499" s="16" t="s">
        <v>438</v>
      </c>
      <c r="G499" s="13">
        <f>AVERAGE(E499:E500)</f>
        <v>2595.605</v>
      </c>
      <c r="H499" s="18">
        <f>STDEV(E499:E500)</f>
        <v>1.1384419177101099</v>
      </c>
      <c r="K499" s="5">
        <f>G499+$J$490</f>
        <v>2585.3500000000004</v>
      </c>
    </row>
    <row r="500" spans="1:11" x14ac:dyDescent="0.35">
      <c r="A500" s="9" t="s">
        <v>11</v>
      </c>
      <c r="B500" s="31">
        <v>45092</v>
      </c>
      <c r="C500" s="10" t="s">
        <v>12</v>
      </c>
      <c r="D500" s="5">
        <v>49.91</v>
      </c>
      <c r="E500" s="5">
        <v>2594.8000000000002</v>
      </c>
      <c r="F500" s="16" t="s">
        <v>439</v>
      </c>
    </row>
    <row r="501" spans="1:11" x14ac:dyDescent="0.35">
      <c r="A501" s="9" t="s">
        <v>11</v>
      </c>
      <c r="B501" s="31">
        <v>45092</v>
      </c>
      <c r="C501" s="10" t="s">
        <v>12</v>
      </c>
      <c r="D501" s="5">
        <v>49.75</v>
      </c>
      <c r="E501" s="5">
        <v>2716.89</v>
      </c>
      <c r="F501" s="16" t="s">
        <v>440</v>
      </c>
      <c r="G501" s="13">
        <f>AVERAGE(E501:E502)</f>
        <v>2715.01</v>
      </c>
      <c r="H501" s="18">
        <f>STDEV(E501:E502)</f>
        <v>2.6587214972612516</v>
      </c>
      <c r="K501" s="5">
        <f>G501+$J$490</f>
        <v>2704.7550000000006</v>
      </c>
    </row>
    <row r="502" spans="1:11" x14ac:dyDescent="0.35">
      <c r="A502" s="9" t="s">
        <v>11</v>
      </c>
      <c r="B502" s="31">
        <v>45092</v>
      </c>
      <c r="C502" s="10" t="s">
        <v>12</v>
      </c>
      <c r="D502" s="5">
        <v>51.38</v>
      </c>
      <c r="E502" s="5">
        <v>2713.13</v>
      </c>
      <c r="F502" s="16" t="s">
        <v>441</v>
      </c>
    </row>
    <row r="503" spans="1:11" x14ac:dyDescent="0.35">
      <c r="A503" s="9" t="s">
        <v>11</v>
      </c>
      <c r="B503" s="31">
        <v>45093</v>
      </c>
      <c r="C503" s="10" t="s">
        <v>12</v>
      </c>
      <c r="D503" s="5">
        <v>51.01</v>
      </c>
      <c r="E503" s="5">
        <v>2223.71</v>
      </c>
      <c r="F503" s="16" t="s">
        <v>8</v>
      </c>
      <c r="G503" s="13">
        <f>AVERAGE(E503:E504)</f>
        <v>2226.5150000000003</v>
      </c>
      <c r="H503" s="18">
        <f>STDEV(E503:E504)</f>
        <v>3.9668690424566218</v>
      </c>
      <c r="I503" s="3">
        <v>2226.44</v>
      </c>
      <c r="J503" s="4">
        <f>I503-G503</f>
        <v>-7.5000000000272848E-2</v>
      </c>
      <c r="K503" s="5">
        <f>G503+J503</f>
        <v>2226.44</v>
      </c>
    </row>
    <row r="504" spans="1:11" x14ac:dyDescent="0.35">
      <c r="A504" s="9" t="s">
        <v>11</v>
      </c>
      <c r="B504" s="31">
        <v>45093</v>
      </c>
      <c r="C504" s="10" t="s">
        <v>12</v>
      </c>
      <c r="D504" s="5">
        <v>51.14</v>
      </c>
      <c r="E504" s="5">
        <v>2229.3200000000002</v>
      </c>
      <c r="F504" s="16" t="s">
        <v>9</v>
      </c>
    </row>
    <row r="505" spans="1:11" x14ac:dyDescent="0.35">
      <c r="A505" s="9" t="s">
        <v>11</v>
      </c>
      <c r="B505" s="31">
        <v>45092</v>
      </c>
      <c r="C505" s="10" t="s">
        <v>12</v>
      </c>
      <c r="D505" s="5">
        <v>50.1</v>
      </c>
      <c r="E505" s="14">
        <v>2667.86</v>
      </c>
      <c r="F505" s="16" t="s">
        <v>471</v>
      </c>
      <c r="G505" s="13">
        <f>AVERAGE(E506:E507)</f>
        <v>2658.04</v>
      </c>
      <c r="H505" s="18">
        <f>STDEV(E506:E507)</f>
        <v>1.9657568516984221</v>
      </c>
      <c r="K505" s="5">
        <f>G505+$J$490</f>
        <v>2647.7850000000003</v>
      </c>
    </row>
    <row r="506" spans="1:11" x14ac:dyDescent="0.35">
      <c r="A506" s="9" t="s">
        <v>11</v>
      </c>
      <c r="B506" s="31">
        <v>45092</v>
      </c>
      <c r="C506" s="10" t="s">
        <v>12</v>
      </c>
      <c r="D506" s="5">
        <v>49.52</v>
      </c>
      <c r="E506" s="5">
        <v>2656.65</v>
      </c>
      <c r="F506" s="16" t="s">
        <v>472</v>
      </c>
    </row>
    <row r="507" spans="1:11" x14ac:dyDescent="0.35">
      <c r="A507" s="9" t="s">
        <v>11</v>
      </c>
      <c r="B507" s="31">
        <v>45092</v>
      </c>
      <c r="C507" s="10" t="s">
        <v>12</v>
      </c>
      <c r="D507" s="5">
        <v>49.55</v>
      </c>
      <c r="E507" s="5">
        <v>2659.43</v>
      </c>
      <c r="F507" s="16" t="s">
        <v>473</v>
      </c>
    </row>
    <row r="508" spans="1:11" x14ac:dyDescent="0.35">
      <c r="A508" s="9" t="s">
        <v>11</v>
      </c>
      <c r="B508" s="31">
        <v>45092</v>
      </c>
      <c r="C508" s="10" t="s">
        <v>12</v>
      </c>
      <c r="D508" s="5">
        <v>48.88</v>
      </c>
      <c r="E508" s="5">
        <v>2642.93</v>
      </c>
      <c r="F508" s="16" t="s">
        <v>474</v>
      </c>
      <c r="G508" s="13">
        <f>AVERAGE(E508:E509)</f>
        <v>2640.355</v>
      </c>
      <c r="H508" s="18">
        <f>STDEV(E508:E509)</f>
        <v>3.6415999231104625</v>
      </c>
      <c r="K508" s="5">
        <f>G508+$J$490</f>
        <v>2630.1000000000004</v>
      </c>
    </row>
    <row r="509" spans="1:11" x14ac:dyDescent="0.35">
      <c r="A509" s="9" t="s">
        <v>11</v>
      </c>
      <c r="B509" s="31">
        <v>45092</v>
      </c>
      <c r="C509" s="10" t="s">
        <v>12</v>
      </c>
      <c r="D509" s="5">
        <v>50.76</v>
      </c>
      <c r="E509" s="5">
        <v>2637.78</v>
      </c>
      <c r="F509" s="16" t="s">
        <v>475</v>
      </c>
    </row>
    <row r="510" spans="1:11" x14ac:dyDescent="0.35">
      <c r="A510" s="9" t="s">
        <v>11</v>
      </c>
      <c r="B510" s="31">
        <v>45092</v>
      </c>
      <c r="C510" s="10" t="s">
        <v>12</v>
      </c>
      <c r="D510" s="5">
        <v>50.53</v>
      </c>
      <c r="E510" s="5">
        <v>2563.23</v>
      </c>
      <c r="F510" s="16" t="s">
        <v>442</v>
      </c>
      <c r="G510" s="13">
        <f>AVERAGE(E510:E511)</f>
        <v>2560.4749999999999</v>
      </c>
      <c r="H510" s="18">
        <f>STDEV(E510:E511)</f>
        <v>3.8961583643380311</v>
      </c>
      <c r="K510" s="5">
        <f>G510+$J$490</f>
        <v>2550.2200000000003</v>
      </c>
    </row>
    <row r="511" spans="1:11" x14ac:dyDescent="0.35">
      <c r="A511" s="9" t="s">
        <v>11</v>
      </c>
      <c r="B511" s="31">
        <v>45092</v>
      </c>
      <c r="C511" s="10" t="s">
        <v>12</v>
      </c>
      <c r="D511" s="5">
        <v>50.23</v>
      </c>
      <c r="E511" s="5">
        <v>2557.7199999999998</v>
      </c>
      <c r="F511" s="16" t="s">
        <v>443</v>
      </c>
    </row>
    <row r="512" spans="1:11" x14ac:dyDescent="0.35">
      <c r="A512" s="9" t="s">
        <v>11</v>
      </c>
      <c r="B512" s="31">
        <v>45092</v>
      </c>
      <c r="C512" s="10" t="s">
        <v>12</v>
      </c>
      <c r="D512" s="5">
        <v>49.45</v>
      </c>
      <c r="E512" s="5">
        <v>2567.5</v>
      </c>
      <c r="F512" s="16" t="s">
        <v>444</v>
      </c>
      <c r="G512" s="13">
        <f>AVERAGE(E512:E513)</f>
        <v>2567.0150000000003</v>
      </c>
      <c r="H512" s="18">
        <f>STDEV(E512:E513)</f>
        <v>0.68589357775080961</v>
      </c>
      <c r="K512" s="5">
        <f>G512+$J$490</f>
        <v>2556.7600000000007</v>
      </c>
    </row>
    <row r="513" spans="1:11" x14ac:dyDescent="0.35">
      <c r="A513" s="9" t="s">
        <v>11</v>
      </c>
      <c r="B513" s="31">
        <v>45092</v>
      </c>
      <c r="C513" s="10" t="s">
        <v>12</v>
      </c>
      <c r="D513" s="5">
        <v>48.68</v>
      </c>
      <c r="E513" s="5">
        <v>2566.5300000000002</v>
      </c>
      <c r="F513" s="16" t="s">
        <v>445</v>
      </c>
    </row>
    <row r="514" spans="1:11" x14ac:dyDescent="0.35">
      <c r="A514" s="9" t="s">
        <v>11</v>
      </c>
      <c r="B514" s="31">
        <v>45093</v>
      </c>
      <c r="C514" s="10" t="s">
        <v>12</v>
      </c>
      <c r="D514" s="5">
        <v>48.97</v>
      </c>
      <c r="E514" s="5">
        <v>2517.75</v>
      </c>
      <c r="F514" s="16" t="s">
        <v>446</v>
      </c>
      <c r="G514" s="13">
        <f>AVERAGE(E514:E515)</f>
        <v>2517.4049999999997</v>
      </c>
      <c r="H514" s="18">
        <f>STDEV(E514:E515)</f>
        <v>0.48790367901875636</v>
      </c>
      <c r="K514" s="5">
        <f>G514+$J$503</f>
        <v>2517.3299999999995</v>
      </c>
    </row>
    <row r="515" spans="1:11" x14ac:dyDescent="0.35">
      <c r="A515" s="9" t="s">
        <v>11</v>
      </c>
      <c r="B515" s="31">
        <v>45093</v>
      </c>
      <c r="C515" s="10" t="s">
        <v>12</v>
      </c>
      <c r="D515" s="5">
        <v>49.58</v>
      </c>
      <c r="E515" s="5">
        <v>2517.06</v>
      </c>
      <c r="F515" s="16" t="s">
        <v>447</v>
      </c>
    </row>
    <row r="516" spans="1:11" x14ac:dyDescent="0.35">
      <c r="A516" s="9" t="s">
        <v>11</v>
      </c>
      <c r="B516" s="31">
        <v>45093</v>
      </c>
      <c r="C516" s="10" t="s">
        <v>12</v>
      </c>
      <c r="D516" s="5" t="s">
        <v>153</v>
      </c>
      <c r="E516" s="5" t="s">
        <v>153</v>
      </c>
      <c r="F516" s="16" t="s">
        <v>448</v>
      </c>
      <c r="G516" s="13" t="s">
        <v>153</v>
      </c>
      <c r="H516" s="18" t="s">
        <v>153</v>
      </c>
      <c r="K516" s="5" t="s">
        <v>153</v>
      </c>
    </row>
    <row r="517" spans="1:11" x14ac:dyDescent="0.35">
      <c r="A517" s="9" t="s">
        <v>11</v>
      </c>
      <c r="B517" s="31">
        <v>45093</v>
      </c>
      <c r="C517" s="10" t="s">
        <v>12</v>
      </c>
      <c r="D517" s="5" t="s">
        <v>153</v>
      </c>
      <c r="E517" s="5" t="s">
        <v>153</v>
      </c>
      <c r="F517" s="16" t="s">
        <v>449</v>
      </c>
    </row>
    <row r="518" spans="1:11" x14ac:dyDescent="0.35">
      <c r="A518" s="9" t="s">
        <v>11</v>
      </c>
      <c r="B518" s="31">
        <v>45093</v>
      </c>
      <c r="C518" s="10" t="s">
        <v>12</v>
      </c>
      <c r="D518" s="5" t="s">
        <v>153</v>
      </c>
      <c r="E518" s="5" t="s">
        <v>153</v>
      </c>
      <c r="F518" s="16" t="s">
        <v>450</v>
      </c>
    </row>
    <row r="519" spans="1:11" x14ac:dyDescent="0.35">
      <c r="A519" s="9" t="s">
        <v>11</v>
      </c>
      <c r="B519" s="31">
        <v>45093</v>
      </c>
      <c r="C519" s="10" t="s">
        <v>12</v>
      </c>
      <c r="D519" s="5">
        <v>50.4</v>
      </c>
      <c r="E519" s="5">
        <v>2507.29</v>
      </c>
      <c r="F519" s="16" t="s">
        <v>451</v>
      </c>
      <c r="G519" s="13">
        <f>AVERAGE(E519,E521)</f>
        <v>2506.02</v>
      </c>
      <c r="H519" s="18">
        <f>STDEV(E519,E521)</f>
        <v>1.7960512242138049</v>
      </c>
      <c r="K519" s="5">
        <f>G519+$J$503</f>
        <v>2505.9449999999997</v>
      </c>
    </row>
    <row r="520" spans="1:11" x14ac:dyDescent="0.35">
      <c r="A520" s="9" t="s">
        <v>11</v>
      </c>
      <c r="B520" s="31">
        <v>45093</v>
      </c>
      <c r="C520" s="10" t="s">
        <v>12</v>
      </c>
      <c r="D520" s="5">
        <v>49.48</v>
      </c>
      <c r="E520" s="14">
        <v>2496.6</v>
      </c>
      <c r="F520" s="16" t="s">
        <v>452</v>
      </c>
    </row>
    <row r="521" spans="1:11" x14ac:dyDescent="0.35">
      <c r="A521" s="9" t="s">
        <v>11</v>
      </c>
      <c r="B521" s="31">
        <v>45093</v>
      </c>
      <c r="C521" s="10" t="s">
        <v>12</v>
      </c>
      <c r="D521" s="5">
        <v>48.81</v>
      </c>
      <c r="E521" s="5">
        <v>2504.75</v>
      </c>
      <c r="F521" s="16" t="s">
        <v>453</v>
      </c>
    </row>
    <row r="522" spans="1:11" x14ac:dyDescent="0.35">
      <c r="A522" s="9" t="s">
        <v>11</v>
      </c>
      <c r="B522" s="31">
        <v>45093</v>
      </c>
      <c r="C522" s="10" t="s">
        <v>12</v>
      </c>
      <c r="D522" s="5">
        <v>48.83</v>
      </c>
      <c r="E522" s="5">
        <v>2568.86</v>
      </c>
      <c r="F522" s="16" t="s">
        <v>454</v>
      </c>
      <c r="G522" s="13">
        <f>AVERAGE(E522,E524)</f>
        <v>2567.92</v>
      </c>
      <c r="H522" s="18">
        <f>STDEV(E522,E524)</f>
        <v>1.3293607486307866</v>
      </c>
      <c r="K522" s="5">
        <f>G522+$J$503</f>
        <v>2567.8449999999998</v>
      </c>
    </row>
    <row r="523" spans="1:11" x14ac:dyDescent="0.35">
      <c r="A523" s="9" t="s">
        <v>11</v>
      </c>
      <c r="B523" s="31">
        <v>45093</v>
      </c>
      <c r="C523" s="10" t="s">
        <v>12</v>
      </c>
      <c r="D523" s="5">
        <v>51.07</v>
      </c>
      <c r="E523" s="14">
        <v>2558.5700000000002</v>
      </c>
      <c r="F523" s="16" t="s">
        <v>455</v>
      </c>
    </row>
    <row r="524" spans="1:11" x14ac:dyDescent="0.35">
      <c r="A524" s="9" t="s">
        <v>11</v>
      </c>
      <c r="B524" s="31">
        <v>45093</v>
      </c>
      <c r="C524" s="10" t="s">
        <v>12</v>
      </c>
      <c r="D524" s="5">
        <v>49.28</v>
      </c>
      <c r="E524" s="5">
        <v>2566.98</v>
      </c>
      <c r="F524" s="16" t="s">
        <v>456</v>
      </c>
    </row>
    <row r="525" spans="1:11" x14ac:dyDescent="0.35">
      <c r="A525" s="9" t="s">
        <v>11</v>
      </c>
      <c r="B525" s="31">
        <v>45093</v>
      </c>
      <c r="C525" s="10" t="s">
        <v>12</v>
      </c>
      <c r="D525" s="5">
        <v>50.65</v>
      </c>
      <c r="E525" s="5">
        <v>2515.42</v>
      </c>
      <c r="F525" s="16" t="s">
        <v>457</v>
      </c>
      <c r="G525" s="13">
        <f>AVERAGE(E525:E526)</f>
        <v>2516.4650000000001</v>
      </c>
      <c r="H525" s="18">
        <f>STDEV(E525:E526)</f>
        <v>1.4778531726799873</v>
      </c>
      <c r="K525" s="5">
        <f>G525+$J$503</f>
        <v>2516.39</v>
      </c>
    </row>
    <row r="526" spans="1:11" x14ac:dyDescent="0.35">
      <c r="A526" s="9" t="s">
        <v>11</v>
      </c>
      <c r="B526" s="31">
        <v>45093</v>
      </c>
      <c r="C526" s="10" t="s">
        <v>12</v>
      </c>
      <c r="D526" s="5">
        <v>49.4</v>
      </c>
      <c r="E526" s="5">
        <v>2517.5100000000002</v>
      </c>
      <c r="F526" s="16" t="s">
        <v>458</v>
      </c>
    </row>
    <row r="527" spans="1:11" x14ac:dyDescent="0.35">
      <c r="A527" s="9" t="s">
        <v>11</v>
      </c>
      <c r="B527" s="31">
        <v>45093</v>
      </c>
      <c r="C527" s="10" t="s">
        <v>12</v>
      </c>
      <c r="D527" s="5">
        <v>50.65</v>
      </c>
      <c r="E527" s="5">
        <v>2632.19</v>
      </c>
      <c r="F527" s="16" t="s">
        <v>459</v>
      </c>
      <c r="G527" s="13">
        <f>AVERAGE(E527:E528)</f>
        <v>2633.46</v>
      </c>
      <c r="H527" s="18">
        <f>STDEV(E527:E528)</f>
        <v>1.7960512242138049</v>
      </c>
      <c r="K527" s="5">
        <f>G527+$J$503</f>
        <v>2633.3849999999998</v>
      </c>
    </row>
    <row r="528" spans="1:11" x14ac:dyDescent="0.35">
      <c r="A528" s="9" t="s">
        <v>11</v>
      </c>
      <c r="B528" s="31">
        <v>45093</v>
      </c>
      <c r="C528" s="10" t="s">
        <v>12</v>
      </c>
      <c r="D528" s="5">
        <v>49.16</v>
      </c>
      <c r="E528" s="5">
        <v>2634.73</v>
      </c>
      <c r="F528" s="16" t="s">
        <v>460</v>
      </c>
    </row>
    <row r="529" spans="1:12" x14ac:dyDescent="0.35">
      <c r="A529" s="15" t="s">
        <v>11</v>
      </c>
      <c r="B529" s="31">
        <v>45096</v>
      </c>
      <c r="C529" s="10" t="s">
        <v>12</v>
      </c>
      <c r="D529" s="5">
        <v>47.84</v>
      </c>
      <c r="E529" s="14">
        <v>2289.73</v>
      </c>
      <c r="F529" s="16" t="s">
        <v>8</v>
      </c>
      <c r="G529" s="13">
        <f>AVERAGE(E530:E531)</f>
        <v>2232.855</v>
      </c>
      <c r="H529" s="18">
        <f>STDEV(E530:E531)</f>
        <v>3.387041481883537</v>
      </c>
      <c r="I529" s="3">
        <v>2226.44</v>
      </c>
      <c r="J529" s="4">
        <f>I529-G529</f>
        <v>-6.4149999999999636</v>
      </c>
      <c r="K529" s="5">
        <f>G529+J529</f>
        <v>2226.44</v>
      </c>
      <c r="L529" s="2" t="s">
        <v>94</v>
      </c>
    </row>
    <row r="530" spans="1:12" x14ac:dyDescent="0.35">
      <c r="A530" s="15" t="s">
        <v>11</v>
      </c>
      <c r="B530" s="31">
        <v>45096</v>
      </c>
      <c r="C530" s="10" t="s">
        <v>12</v>
      </c>
      <c r="D530" s="5">
        <v>49.84</v>
      </c>
      <c r="E530" s="5">
        <v>2235.25</v>
      </c>
      <c r="F530" s="16" t="s">
        <v>9</v>
      </c>
    </row>
    <row r="531" spans="1:12" x14ac:dyDescent="0.35">
      <c r="A531" s="15" t="s">
        <v>11</v>
      </c>
      <c r="B531" s="31">
        <v>45096</v>
      </c>
      <c r="C531" s="10" t="s">
        <v>12</v>
      </c>
      <c r="D531" s="5">
        <v>49.74</v>
      </c>
      <c r="E531" s="5">
        <v>2230.46</v>
      </c>
      <c r="F531" s="16" t="s">
        <v>96</v>
      </c>
    </row>
    <row r="532" spans="1:12" x14ac:dyDescent="0.35">
      <c r="A532" s="15" t="s">
        <v>11</v>
      </c>
      <c r="B532" s="31">
        <v>45096</v>
      </c>
      <c r="C532" s="10" t="s">
        <v>12</v>
      </c>
      <c r="D532" s="5">
        <v>51.05</v>
      </c>
      <c r="E532" s="5">
        <v>2715.31</v>
      </c>
      <c r="F532" s="16" t="s">
        <v>476</v>
      </c>
      <c r="G532" s="13">
        <f>AVERAGE(E532,E534)</f>
        <v>2715.12</v>
      </c>
      <c r="H532" s="18">
        <f>STDEV(E532,E534)</f>
        <v>0.26870057685096521</v>
      </c>
      <c r="K532" s="5">
        <f>G532+$J$529</f>
        <v>2708.7049999999999</v>
      </c>
    </row>
    <row r="533" spans="1:12" x14ac:dyDescent="0.35">
      <c r="A533" s="15" t="s">
        <v>11</v>
      </c>
      <c r="B533" s="31">
        <v>45096</v>
      </c>
      <c r="C533" s="10" t="s">
        <v>12</v>
      </c>
      <c r="D533" s="5">
        <v>51.15</v>
      </c>
      <c r="E533" s="14">
        <v>2703.06</v>
      </c>
      <c r="F533" s="16" t="s">
        <v>477</v>
      </c>
    </row>
    <row r="534" spans="1:12" x14ac:dyDescent="0.35">
      <c r="A534" s="15" t="s">
        <v>11</v>
      </c>
      <c r="B534" s="31">
        <v>45096</v>
      </c>
      <c r="C534" s="10" t="s">
        <v>12</v>
      </c>
      <c r="D534" s="5">
        <v>51.33</v>
      </c>
      <c r="E534" s="5">
        <v>2714.93</v>
      </c>
      <c r="F534" s="16" t="s">
        <v>478</v>
      </c>
    </row>
    <row r="535" spans="1:12" x14ac:dyDescent="0.35">
      <c r="A535" s="15" t="s">
        <v>11</v>
      </c>
      <c r="B535" s="31">
        <v>45096</v>
      </c>
      <c r="C535" s="10" t="s">
        <v>12</v>
      </c>
      <c r="D535" s="5">
        <v>49.91</v>
      </c>
      <c r="E535" s="5">
        <v>2713.86</v>
      </c>
      <c r="F535" s="16" t="s">
        <v>479</v>
      </c>
      <c r="G535" s="13">
        <f>AVERAGE(E535:E536)</f>
        <v>2712.165</v>
      </c>
      <c r="H535" s="18">
        <f>STDEV(E535:E536)</f>
        <v>2.3970919882226274</v>
      </c>
      <c r="K535" s="5">
        <f>G535+$J$529</f>
        <v>2705.75</v>
      </c>
    </row>
    <row r="536" spans="1:12" x14ac:dyDescent="0.35">
      <c r="A536" s="15" t="s">
        <v>11</v>
      </c>
      <c r="B536" s="31">
        <v>45096</v>
      </c>
      <c r="C536" s="10" t="s">
        <v>12</v>
      </c>
      <c r="D536" s="5">
        <v>50.17</v>
      </c>
      <c r="E536" s="5">
        <v>2710.47</v>
      </c>
      <c r="F536" s="16" t="s">
        <v>480</v>
      </c>
    </row>
    <row r="537" spans="1:12" x14ac:dyDescent="0.35">
      <c r="A537" s="15" t="s">
        <v>11</v>
      </c>
      <c r="B537" s="31">
        <v>45096</v>
      </c>
      <c r="C537" s="10" t="s">
        <v>12</v>
      </c>
      <c r="D537" s="5">
        <v>50.84</v>
      </c>
      <c r="E537" s="5">
        <v>2603.8000000000002</v>
      </c>
      <c r="F537" s="16" t="s">
        <v>481</v>
      </c>
      <c r="G537" s="13">
        <f>AVERAGE(E537:E538)</f>
        <v>2604.88</v>
      </c>
      <c r="H537" s="18">
        <f>STDEV(E537:E538)</f>
        <v>1.5273506473628398</v>
      </c>
      <c r="K537" s="5">
        <f>G537+$J$529</f>
        <v>2598.4650000000001</v>
      </c>
    </row>
    <row r="538" spans="1:12" x14ac:dyDescent="0.35">
      <c r="A538" s="15" t="s">
        <v>11</v>
      </c>
      <c r="B538" s="31">
        <v>45096</v>
      </c>
      <c r="C538" s="10" t="s">
        <v>12</v>
      </c>
      <c r="D538" s="5">
        <v>50.31</v>
      </c>
      <c r="E538" s="5">
        <v>2605.96</v>
      </c>
      <c r="F538" s="16" t="s">
        <v>482</v>
      </c>
    </row>
    <row r="539" spans="1:12" x14ac:dyDescent="0.35">
      <c r="A539" s="15" t="s">
        <v>11</v>
      </c>
      <c r="B539" s="31">
        <v>45096</v>
      </c>
      <c r="C539" s="10" t="s">
        <v>12</v>
      </c>
      <c r="D539" s="5">
        <v>51.51</v>
      </c>
      <c r="E539" s="5">
        <v>2699.83</v>
      </c>
      <c r="F539" s="16" t="s">
        <v>483</v>
      </c>
      <c r="G539" s="13">
        <f>AVERAGE(E539,E541)</f>
        <v>2700.51</v>
      </c>
      <c r="H539" s="18">
        <f>STDEV(E539,E541)</f>
        <v>0.96166522241379471</v>
      </c>
      <c r="K539" s="5">
        <f>G539+$J$529</f>
        <v>2694.0950000000003</v>
      </c>
    </row>
    <row r="540" spans="1:12" x14ac:dyDescent="0.35">
      <c r="A540" s="15" t="s">
        <v>11</v>
      </c>
      <c r="B540" s="31">
        <v>45096</v>
      </c>
      <c r="C540" s="10" t="s">
        <v>12</v>
      </c>
      <c r="D540" s="5">
        <v>49.63</v>
      </c>
      <c r="E540" s="14">
        <v>2712.05</v>
      </c>
      <c r="F540" s="16" t="s">
        <v>484</v>
      </c>
    </row>
    <row r="541" spans="1:12" x14ac:dyDescent="0.35">
      <c r="A541" s="15" t="s">
        <v>11</v>
      </c>
      <c r="B541" s="31">
        <v>45096</v>
      </c>
      <c r="C541" s="10" t="s">
        <v>12</v>
      </c>
      <c r="D541" s="5">
        <v>49.62</v>
      </c>
      <c r="E541" s="5">
        <v>2701.19</v>
      </c>
      <c r="F541" s="16" t="s">
        <v>485</v>
      </c>
    </row>
    <row r="542" spans="1:12" x14ac:dyDescent="0.35">
      <c r="A542" s="15" t="s">
        <v>11</v>
      </c>
      <c r="B542" s="31">
        <v>45096</v>
      </c>
      <c r="C542" s="10" t="s">
        <v>12</v>
      </c>
      <c r="D542" s="5">
        <v>49.51</v>
      </c>
      <c r="E542" s="5">
        <v>2692.09</v>
      </c>
      <c r="F542" s="16" t="s">
        <v>486</v>
      </c>
      <c r="G542" s="13">
        <f>AVERAGE(E542:E543)</f>
        <v>2688.82</v>
      </c>
      <c r="H542" s="18">
        <f>STDEV(E542:E543)</f>
        <v>4.624478348959995</v>
      </c>
      <c r="K542" s="5">
        <f>G542+$J$529</f>
        <v>2682.4050000000002</v>
      </c>
    </row>
    <row r="543" spans="1:12" x14ac:dyDescent="0.35">
      <c r="A543" s="15" t="s">
        <v>11</v>
      </c>
      <c r="B543" s="31">
        <v>45096</v>
      </c>
      <c r="C543" s="10" t="s">
        <v>12</v>
      </c>
      <c r="D543" s="5">
        <v>51.95</v>
      </c>
      <c r="E543" s="5">
        <v>2685.55</v>
      </c>
      <c r="F543" s="16" t="s">
        <v>487</v>
      </c>
    </row>
    <row r="544" spans="1:12" x14ac:dyDescent="0.35">
      <c r="A544" s="15" t="s">
        <v>11</v>
      </c>
      <c r="B544" s="31">
        <v>45096</v>
      </c>
      <c r="C544" s="10" t="s">
        <v>12</v>
      </c>
      <c r="D544" s="5">
        <v>51.54</v>
      </c>
      <c r="E544" s="5">
        <v>2709.31</v>
      </c>
      <c r="F544" s="16" t="s">
        <v>488</v>
      </c>
      <c r="G544" s="13">
        <f>AVERAGE(E544:E545)</f>
        <v>2709.2449999999999</v>
      </c>
      <c r="H544" s="18">
        <f>STDEV(E544:E545)</f>
        <v>9.1923881554328346E-2</v>
      </c>
      <c r="K544" s="5">
        <f>G544+$J$529</f>
        <v>2702.83</v>
      </c>
    </row>
    <row r="545" spans="1:12" x14ac:dyDescent="0.35">
      <c r="A545" s="15" t="s">
        <v>11</v>
      </c>
      <c r="B545" s="31">
        <v>45096</v>
      </c>
      <c r="C545" s="10" t="s">
        <v>12</v>
      </c>
      <c r="D545" s="5">
        <v>50.78</v>
      </c>
      <c r="E545" s="5">
        <v>2709.18</v>
      </c>
      <c r="F545" s="16" t="s">
        <v>489</v>
      </c>
    </row>
    <row r="546" spans="1:12" x14ac:dyDescent="0.35">
      <c r="A546" s="15" t="s">
        <v>11</v>
      </c>
      <c r="B546" s="31">
        <v>45096</v>
      </c>
      <c r="C546" s="10" t="s">
        <v>12</v>
      </c>
      <c r="D546" s="5">
        <v>51.56</v>
      </c>
      <c r="E546" s="5">
        <v>2672.65</v>
      </c>
      <c r="F546" s="16" t="s">
        <v>490</v>
      </c>
      <c r="G546" s="13">
        <f>AVERAGE(E546:E547)</f>
        <v>2673.2250000000004</v>
      </c>
      <c r="H546" s="18">
        <f>STDEV(E546:E547)</f>
        <v>0.813172798364594</v>
      </c>
      <c r="K546" s="5">
        <f>G546+$J$529</f>
        <v>2666.8100000000004</v>
      </c>
    </row>
    <row r="547" spans="1:12" x14ac:dyDescent="0.35">
      <c r="A547" s="15" t="s">
        <v>11</v>
      </c>
      <c r="B547" s="31">
        <v>45096</v>
      </c>
      <c r="C547" s="10" t="s">
        <v>12</v>
      </c>
      <c r="D547" s="5">
        <v>52.15</v>
      </c>
      <c r="E547" s="5">
        <v>2673.8</v>
      </c>
      <c r="F547" s="16" t="s">
        <v>491</v>
      </c>
    </row>
    <row r="548" spans="1:12" x14ac:dyDescent="0.35">
      <c r="A548" s="15" t="s">
        <v>11</v>
      </c>
      <c r="B548" s="31">
        <v>45097</v>
      </c>
      <c r="C548" s="10" t="s">
        <v>12</v>
      </c>
      <c r="D548" s="5">
        <v>48.87</v>
      </c>
      <c r="E548" s="5">
        <v>2704.4</v>
      </c>
      <c r="F548" s="16" t="s">
        <v>492</v>
      </c>
      <c r="G548" s="13">
        <f>AVERAGE(E548,E550)</f>
        <v>2701.8249999999998</v>
      </c>
      <c r="H548" s="18">
        <f>STDEV(E548,E550)</f>
        <v>3.6415999231107841</v>
      </c>
      <c r="K548" s="5">
        <f>G548+$J$555</f>
        <v>2689.5349999999999</v>
      </c>
    </row>
    <row r="549" spans="1:12" x14ac:dyDescent="0.35">
      <c r="A549" s="15" t="s">
        <v>11</v>
      </c>
      <c r="B549" s="31">
        <v>45097</v>
      </c>
      <c r="C549" s="10" t="s">
        <v>12</v>
      </c>
      <c r="D549" s="5">
        <v>52.52</v>
      </c>
      <c r="E549" s="14">
        <v>2683.22</v>
      </c>
      <c r="F549" s="16" t="s">
        <v>493</v>
      </c>
    </row>
    <row r="550" spans="1:12" x14ac:dyDescent="0.35">
      <c r="A550" s="15" t="s">
        <v>11</v>
      </c>
      <c r="B550" s="31">
        <v>45097</v>
      </c>
      <c r="C550" s="10" t="s">
        <v>12</v>
      </c>
      <c r="D550" s="5">
        <v>49.36</v>
      </c>
      <c r="E550" s="5">
        <v>2699.25</v>
      </c>
      <c r="F550" s="16" t="s">
        <v>494</v>
      </c>
    </row>
    <row r="551" spans="1:12" x14ac:dyDescent="0.35">
      <c r="A551" s="15" t="s">
        <v>11</v>
      </c>
      <c r="B551" s="31">
        <v>45097</v>
      </c>
      <c r="C551" s="10" t="s">
        <v>12</v>
      </c>
      <c r="D551" s="5">
        <v>51.3</v>
      </c>
      <c r="E551" s="5">
        <v>2640.94</v>
      </c>
      <c r="F551" s="16" t="s">
        <v>495</v>
      </c>
      <c r="G551" s="13">
        <f>AVERAGE(E551:E552)</f>
        <v>2638.4750000000004</v>
      </c>
      <c r="H551" s="18">
        <f>STDEV(E551:E552)</f>
        <v>3.4860364312495635</v>
      </c>
      <c r="K551" s="5">
        <f>G551+$J$555</f>
        <v>2626.1850000000004</v>
      </c>
    </row>
    <row r="552" spans="1:12" x14ac:dyDescent="0.35">
      <c r="A552" s="15" t="s">
        <v>11</v>
      </c>
      <c r="B552" s="31">
        <v>45097</v>
      </c>
      <c r="C552" s="10" t="s">
        <v>12</v>
      </c>
      <c r="D552" s="5">
        <v>51.34</v>
      </c>
      <c r="E552" s="5">
        <v>2636.01</v>
      </c>
      <c r="F552" s="16" t="s">
        <v>496</v>
      </c>
    </row>
    <row r="553" spans="1:12" x14ac:dyDescent="0.35">
      <c r="A553" s="15" t="s">
        <v>11</v>
      </c>
      <c r="B553" s="31">
        <v>45097</v>
      </c>
      <c r="C553" s="10" t="s">
        <v>12</v>
      </c>
      <c r="D553" s="5">
        <v>50.11</v>
      </c>
      <c r="E553" s="5">
        <v>2711.66</v>
      </c>
      <c r="F553" s="16" t="s">
        <v>497</v>
      </c>
      <c r="G553" s="13">
        <f>AVERAGE(E553:E554)</f>
        <v>2712.0249999999996</v>
      </c>
      <c r="H553" s="18">
        <f>STDEV(E553:E554)</f>
        <v>0.51618795026619257</v>
      </c>
      <c r="K553" s="5">
        <f>G553+$J$555</f>
        <v>2699.7349999999997</v>
      </c>
    </row>
    <row r="554" spans="1:12" x14ac:dyDescent="0.35">
      <c r="A554" s="15" t="s">
        <v>11</v>
      </c>
      <c r="B554" s="31">
        <v>45097</v>
      </c>
      <c r="C554" s="10" t="s">
        <v>12</v>
      </c>
      <c r="D554" s="5">
        <v>48.8</v>
      </c>
      <c r="E554" s="5">
        <v>2712.39</v>
      </c>
      <c r="F554" s="16" t="s">
        <v>498</v>
      </c>
    </row>
    <row r="555" spans="1:12" x14ac:dyDescent="0.35">
      <c r="A555" s="15" t="s">
        <v>11</v>
      </c>
      <c r="B555" s="31">
        <v>45097</v>
      </c>
      <c r="C555" s="10" t="s">
        <v>12</v>
      </c>
      <c r="D555" s="5">
        <v>51.36</v>
      </c>
      <c r="E555" s="5">
        <v>2239.0100000000002</v>
      </c>
      <c r="F555" s="16" t="s">
        <v>8</v>
      </c>
      <c r="G555" s="13">
        <f>AVERAGE(E555,E557)</f>
        <v>2238.73</v>
      </c>
      <c r="H555" s="18">
        <f>STDEV(E555,E557)</f>
        <v>0.39597979746474959</v>
      </c>
      <c r="I555" s="3">
        <v>2226.44</v>
      </c>
      <c r="J555" s="4">
        <f>I555-G555</f>
        <v>-12.289999999999964</v>
      </c>
      <c r="K555" s="5">
        <f>G555+J555</f>
        <v>2226.44</v>
      </c>
      <c r="L555" s="2" t="s">
        <v>94</v>
      </c>
    </row>
    <row r="556" spans="1:12" x14ac:dyDescent="0.35">
      <c r="A556" s="15" t="s">
        <v>11</v>
      </c>
      <c r="B556" s="31">
        <v>45097</v>
      </c>
      <c r="C556" s="10" t="s">
        <v>12</v>
      </c>
      <c r="D556" s="5">
        <v>50.73</v>
      </c>
      <c r="E556" s="14">
        <v>2231.81</v>
      </c>
      <c r="F556" s="16" t="s">
        <v>9</v>
      </c>
    </row>
    <row r="557" spans="1:12" x14ac:dyDescent="0.35">
      <c r="A557" s="15" t="s">
        <v>11</v>
      </c>
      <c r="B557" s="31">
        <v>45097</v>
      </c>
      <c r="C557" s="10" t="s">
        <v>12</v>
      </c>
      <c r="D557" s="5">
        <v>50.26</v>
      </c>
      <c r="E557" s="5">
        <v>2238.4499999999998</v>
      </c>
      <c r="F557" s="16" t="s">
        <v>96</v>
      </c>
    </row>
    <row r="558" spans="1:12" x14ac:dyDescent="0.35">
      <c r="A558" s="15" t="s">
        <v>11</v>
      </c>
      <c r="B558" s="31">
        <v>45097</v>
      </c>
      <c r="C558" s="10" t="s">
        <v>12</v>
      </c>
      <c r="D558" s="5">
        <v>51.47</v>
      </c>
      <c r="E558" s="5">
        <v>2690.61</v>
      </c>
      <c r="F558" s="16" t="s">
        <v>499</v>
      </c>
      <c r="G558" s="13">
        <f>AVERAGE(E558:E559)</f>
        <v>2690.6800000000003</v>
      </c>
      <c r="H558" s="18">
        <f>STDEV(E558:E559)</f>
        <v>9.8994949366026611E-2</v>
      </c>
      <c r="K558" s="5">
        <f>G558+$J$555</f>
        <v>2678.3900000000003</v>
      </c>
    </row>
    <row r="559" spans="1:12" x14ac:dyDescent="0.35">
      <c r="A559" s="15" t="s">
        <v>11</v>
      </c>
      <c r="B559" s="31">
        <v>45097</v>
      </c>
      <c r="C559" s="10" t="s">
        <v>12</v>
      </c>
      <c r="D559" s="5">
        <v>50.06</v>
      </c>
      <c r="E559" s="5">
        <v>2690.75</v>
      </c>
      <c r="F559" s="16" t="s">
        <v>500</v>
      </c>
    </row>
    <row r="560" spans="1:12" x14ac:dyDescent="0.35">
      <c r="A560" s="15" t="s">
        <v>11</v>
      </c>
      <c r="B560" s="31">
        <v>45097</v>
      </c>
      <c r="C560" s="10" t="s">
        <v>12</v>
      </c>
      <c r="D560" s="5">
        <v>50.17</v>
      </c>
      <c r="E560" s="5">
        <v>2691.62</v>
      </c>
      <c r="F560" s="16" t="s">
        <v>501</v>
      </c>
      <c r="G560" s="13">
        <f>AVERAGE(E560:E561)</f>
        <v>2689.1549999999997</v>
      </c>
      <c r="H560" s="18">
        <f>STDEV(E560:E561)</f>
        <v>3.4860364312495635</v>
      </c>
      <c r="K560" s="5">
        <f>G560+$J$555</f>
        <v>2676.8649999999998</v>
      </c>
    </row>
    <row r="561" spans="1:12" x14ac:dyDescent="0.35">
      <c r="A561" s="15" t="s">
        <v>11</v>
      </c>
      <c r="B561" s="31">
        <v>45097</v>
      </c>
      <c r="C561" s="10" t="s">
        <v>12</v>
      </c>
      <c r="D561" s="5">
        <v>48.26</v>
      </c>
      <c r="E561" s="5">
        <v>2686.69</v>
      </c>
      <c r="F561" s="16" t="s">
        <v>502</v>
      </c>
    </row>
    <row r="562" spans="1:12" x14ac:dyDescent="0.35">
      <c r="A562" s="15" t="s">
        <v>11</v>
      </c>
      <c r="B562" s="31">
        <v>45097</v>
      </c>
      <c r="C562" s="10" t="s">
        <v>12</v>
      </c>
      <c r="D562" s="5">
        <v>50.08</v>
      </c>
      <c r="E562" s="14">
        <v>2557.08</v>
      </c>
      <c r="F562" s="16" t="s">
        <v>503</v>
      </c>
      <c r="G562" s="13">
        <f>AVERAGE(E563:E564)</f>
        <v>2536</v>
      </c>
      <c r="H562" s="18">
        <f>STDEV(E563:E564)</f>
        <v>3.450681092190429</v>
      </c>
      <c r="K562" s="5">
        <f>G562+$J$555</f>
        <v>2523.71</v>
      </c>
    </row>
    <row r="563" spans="1:12" x14ac:dyDescent="0.35">
      <c r="A563" s="15" t="s">
        <v>11</v>
      </c>
      <c r="B563" s="31">
        <v>45097</v>
      </c>
      <c r="C563" s="10" t="s">
        <v>12</v>
      </c>
      <c r="D563" s="5">
        <v>50.13</v>
      </c>
      <c r="E563" s="5">
        <v>2533.56</v>
      </c>
      <c r="F563" s="16" t="s">
        <v>504</v>
      </c>
    </row>
    <row r="564" spans="1:12" x14ac:dyDescent="0.35">
      <c r="A564" s="15" t="s">
        <v>11</v>
      </c>
      <c r="B564" s="31">
        <v>45097</v>
      </c>
      <c r="C564" s="10" t="s">
        <v>12</v>
      </c>
      <c r="D564" s="5">
        <v>50.27</v>
      </c>
      <c r="E564" s="5">
        <v>2538.44</v>
      </c>
      <c r="F564" s="16" t="s">
        <v>505</v>
      </c>
    </row>
    <row r="565" spans="1:12" x14ac:dyDescent="0.35">
      <c r="A565" s="15" t="s">
        <v>11</v>
      </c>
      <c r="B565" s="31">
        <v>45097</v>
      </c>
      <c r="C565" s="10" t="s">
        <v>12</v>
      </c>
      <c r="D565" s="5">
        <v>49.95</v>
      </c>
      <c r="E565" s="5">
        <v>2543.7600000000002</v>
      </c>
      <c r="F565" s="16" t="s">
        <v>506</v>
      </c>
      <c r="G565" s="13">
        <f>AVERAGE(E565,E567)</f>
        <v>2541.835</v>
      </c>
      <c r="H565" s="18">
        <f>STDEV(E565,E567)</f>
        <v>2.7223611075684651</v>
      </c>
      <c r="K565" s="5">
        <f>G565+$J$555</f>
        <v>2529.5450000000001</v>
      </c>
    </row>
    <row r="566" spans="1:12" x14ac:dyDescent="0.35">
      <c r="A566" s="15" t="s">
        <v>11</v>
      </c>
      <c r="B566" s="31">
        <v>45097</v>
      </c>
      <c r="C566" s="10" t="s">
        <v>12</v>
      </c>
      <c r="D566" s="5">
        <v>50.02</v>
      </c>
      <c r="E566" s="14">
        <v>2532.9699999999998</v>
      </c>
      <c r="F566" s="16" t="s">
        <v>507</v>
      </c>
    </row>
    <row r="567" spans="1:12" x14ac:dyDescent="0.35">
      <c r="A567" s="15" t="s">
        <v>11</v>
      </c>
      <c r="B567" s="31">
        <v>45097</v>
      </c>
      <c r="C567" s="10" t="s">
        <v>12</v>
      </c>
      <c r="D567" s="5">
        <v>50.06</v>
      </c>
      <c r="E567" s="5">
        <v>2539.91</v>
      </c>
      <c r="F567" s="16" t="s">
        <v>508</v>
      </c>
    </row>
    <row r="568" spans="1:12" x14ac:dyDescent="0.35">
      <c r="A568" s="15" t="s">
        <v>11</v>
      </c>
      <c r="B568" s="31">
        <v>45097</v>
      </c>
      <c r="C568" s="10" t="s">
        <v>12</v>
      </c>
      <c r="D568" s="5">
        <v>50.55</v>
      </c>
      <c r="E568" s="5">
        <v>2542.6</v>
      </c>
      <c r="F568" s="16" t="s">
        <v>509</v>
      </c>
      <c r="G568" s="13">
        <f>AVERAGE(E568,E570)</f>
        <v>2540.7649999999999</v>
      </c>
      <c r="H568" s="18">
        <f>STDEV(E568,E570)</f>
        <v>2.5950818869546808</v>
      </c>
      <c r="K568" s="5">
        <f>G568+$J$555</f>
        <v>2528.4749999999999</v>
      </c>
    </row>
    <row r="569" spans="1:12" x14ac:dyDescent="0.35">
      <c r="A569" s="15" t="s">
        <v>11</v>
      </c>
      <c r="B569" s="31">
        <v>45097</v>
      </c>
      <c r="C569" s="10" t="s">
        <v>12</v>
      </c>
      <c r="D569" s="5">
        <v>48.6</v>
      </c>
      <c r="E569" s="14">
        <v>2526.31</v>
      </c>
      <c r="F569" s="16" t="s">
        <v>510</v>
      </c>
    </row>
    <row r="570" spans="1:12" x14ac:dyDescent="0.35">
      <c r="A570" s="15" t="s">
        <v>11</v>
      </c>
      <c r="B570" s="31">
        <v>45097</v>
      </c>
      <c r="C570" s="10" t="s">
        <v>12</v>
      </c>
      <c r="D570" s="5">
        <v>50.59</v>
      </c>
      <c r="E570" s="5">
        <v>2538.9299999999998</v>
      </c>
      <c r="F570" s="16" t="s">
        <v>511</v>
      </c>
    </row>
    <row r="571" spans="1:12" x14ac:dyDescent="0.35">
      <c r="A571" s="15" t="s">
        <v>11</v>
      </c>
      <c r="B571" s="31">
        <v>45097</v>
      </c>
      <c r="C571" s="10" t="s">
        <v>12</v>
      </c>
      <c r="D571" s="5">
        <v>50.83</v>
      </c>
      <c r="E571" s="5">
        <v>2701.73</v>
      </c>
      <c r="F571" s="16" t="s">
        <v>512</v>
      </c>
      <c r="G571" s="13">
        <f>AVERAGE(E571,E574)</f>
        <v>2700.95</v>
      </c>
      <c r="H571" s="18">
        <f>STDEV(E571,E574)</f>
        <v>1.1030865786509756</v>
      </c>
      <c r="K571" s="5">
        <f>G571+$J$555</f>
        <v>2688.66</v>
      </c>
    </row>
    <row r="572" spans="1:12" x14ac:dyDescent="0.35">
      <c r="A572" s="15" t="s">
        <v>11</v>
      </c>
      <c r="B572" s="31">
        <v>45097</v>
      </c>
      <c r="C572" s="10" t="s">
        <v>12</v>
      </c>
      <c r="D572" s="5">
        <v>50.75</v>
      </c>
      <c r="E572" s="14">
        <v>2690.09</v>
      </c>
      <c r="F572" s="16" t="s">
        <v>513</v>
      </c>
    </row>
    <row r="573" spans="1:12" x14ac:dyDescent="0.35">
      <c r="A573" s="15" t="s">
        <v>11</v>
      </c>
      <c r="B573" s="31">
        <v>45097</v>
      </c>
      <c r="C573" s="10" t="s">
        <v>12</v>
      </c>
      <c r="D573" s="5">
        <v>48.88</v>
      </c>
      <c r="E573" s="14">
        <v>2710.48</v>
      </c>
      <c r="F573" s="16" t="s">
        <v>514</v>
      </c>
    </row>
    <row r="574" spans="1:12" x14ac:dyDescent="0.35">
      <c r="A574" s="15" t="s">
        <v>11</v>
      </c>
      <c r="B574" s="31">
        <v>45098</v>
      </c>
      <c r="C574" s="10" t="s">
        <v>12</v>
      </c>
      <c r="D574" s="5">
        <v>48.6</v>
      </c>
      <c r="E574" s="5">
        <v>2700.17</v>
      </c>
      <c r="F574" s="16" t="s">
        <v>552</v>
      </c>
    </row>
    <row r="575" spans="1:12" x14ac:dyDescent="0.35">
      <c r="A575" s="15" t="s">
        <v>11</v>
      </c>
      <c r="B575" s="31">
        <v>45098</v>
      </c>
      <c r="C575" s="10" t="s">
        <v>12</v>
      </c>
      <c r="D575" s="5">
        <v>50.3</v>
      </c>
      <c r="E575" s="14">
        <v>2240.85</v>
      </c>
      <c r="F575" s="16" t="s">
        <v>8</v>
      </c>
      <c r="G575" s="13">
        <f>AVERAGE(E576,E577)</f>
        <v>2235.2750000000001</v>
      </c>
      <c r="H575" s="18">
        <f>STDEV(E576,E577)</f>
        <v>2.7647875144392979</v>
      </c>
      <c r="I575" s="3">
        <v>2226.44</v>
      </c>
      <c r="J575" s="4">
        <f>I575-G575</f>
        <v>-8.8350000000000364</v>
      </c>
      <c r="K575" s="5">
        <f>G575+J575</f>
        <v>2226.44</v>
      </c>
      <c r="L575" s="2" t="s">
        <v>94</v>
      </c>
    </row>
    <row r="576" spans="1:12" x14ac:dyDescent="0.35">
      <c r="A576" s="15" t="s">
        <v>11</v>
      </c>
      <c r="B576" s="31">
        <v>45098</v>
      </c>
      <c r="C576" s="10" t="s">
        <v>12</v>
      </c>
      <c r="D576" s="5">
        <v>51.28</v>
      </c>
      <c r="E576" s="5">
        <v>2233.3200000000002</v>
      </c>
      <c r="F576" s="16" t="s">
        <v>9</v>
      </c>
    </row>
    <row r="577" spans="1:11" x14ac:dyDescent="0.35">
      <c r="A577" s="15" t="s">
        <v>11</v>
      </c>
      <c r="B577" s="31">
        <v>45098</v>
      </c>
      <c r="C577" s="10" t="s">
        <v>12</v>
      </c>
      <c r="D577" s="5">
        <v>50.69</v>
      </c>
      <c r="E577" s="5">
        <v>2237.23</v>
      </c>
      <c r="F577" s="16" t="s">
        <v>96</v>
      </c>
    </row>
    <row r="578" spans="1:11" x14ac:dyDescent="0.35">
      <c r="A578" s="15" t="s">
        <v>11</v>
      </c>
      <c r="B578" s="31">
        <v>45098</v>
      </c>
      <c r="C578" s="10" t="s">
        <v>12</v>
      </c>
      <c r="D578" s="5">
        <v>48.44</v>
      </c>
      <c r="E578" s="5">
        <v>2593.87</v>
      </c>
      <c r="F578" s="16" t="s">
        <v>515</v>
      </c>
      <c r="G578" s="13">
        <f>AVERAGE(E578:E579)</f>
        <v>2595.9299999999998</v>
      </c>
      <c r="H578" s="18">
        <f>STDEV(E578:E579)</f>
        <v>2.9132799384884986</v>
      </c>
      <c r="K578" s="5">
        <f>G578+$J$575</f>
        <v>2587.0949999999998</v>
      </c>
    </row>
    <row r="579" spans="1:11" x14ac:dyDescent="0.35">
      <c r="A579" s="15" t="s">
        <v>11</v>
      </c>
      <c r="B579" s="31">
        <v>45098</v>
      </c>
      <c r="C579" s="10" t="s">
        <v>12</v>
      </c>
      <c r="D579" s="5">
        <v>50.4</v>
      </c>
      <c r="E579" s="5">
        <v>2597.9899999999998</v>
      </c>
      <c r="F579" s="16" t="s">
        <v>516</v>
      </c>
    </row>
    <row r="580" spans="1:11" x14ac:dyDescent="0.35">
      <c r="A580" s="15" t="s">
        <v>11</v>
      </c>
      <c r="B580" s="31">
        <v>45098</v>
      </c>
      <c r="C580" s="10" t="s">
        <v>12</v>
      </c>
      <c r="D580" s="5">
        <v>50.8</v>
      </c>
      <c r="E580" s="5">
        <v>2601.64</v>
      </c>
      <c r="F580" s="16" t="s">
        <v>517</v>
      </c>
      <c r="G580" s="13">
        <f>AVERAGE(E580:E581)</f>
        <v>2599.62</v>
      </c>
      <c r="H580" s="18">
        <f>STDEV(E580:E581)</f>
        <v>2.8567113959936261</v>
      </c>
      <c r="K580" s="5">
        <f>G580+$J$575</f>
        <v>2590.7849999999999</v>
      </c>
    </row>
    <row r="581" spans="1:11" x14ac:dyDescent="0.35">
      <c r="A581" s="15" t="s">
        <v>11</v>
      </c>
      <c r="B581" s="31">
        <v>45098</v>
      </c>
      <c r="C581" s="10" t="s">
        <v>12</v>
      </c>
      <c r="D581" s="5">
        <v>51.91</v>
      </c>
      <c r="E581" s="5">
        <v>2597.6</v>
      </c>
      <c r="F581" s="16" t="s">
        <v>518</v>
      </c>
    </row>
    <row r="582" spans="1:11" x14ac:dyDescent="0.35">
      <c r="A582" s="15" t="s">
        <v>11</v>
      </c>
      <c r="B582" s="31">
        <v>45098</v>
      </c>
      <c r="C582" s="10" t="s">
        <v>12</v>
      </c>
      <c r="D582" s="5">
        <v>51.17</v>
      </c>
      <c r="E582" s="5">
        <v>2555.08</v>
      </c>
      <c r="F582" s="16" t="s">
        <v>519</v>
      </c>
      <c r="G582" s="13">
        <f>AVERAGE(E582:E583)</f>
        <v>2558.5349999999999</v>
      </c>
      <c r="H582" s="18">
        <f>STDEV(E582:E583)</f>
        <v>4.8861078579989403</v>
      </c>
      <c r="K582" s="5">
        <f>G582+$J$575</f>
        <v>2549.6999999999998</v>
      </c>
    </row>
    <row r="583" spans="1:11" x14ac:dyDescent="0.35">
      <c r="A583" s="15" t="s">
        <v>11</v>
      </c>
      <c r="B583" s="31">
        <v>45098</v>
      </c>
      <c r="C583" s="10" t="s">
        <v>12</v>
      </c>
      <c r="D583" s="5">
        <v>51.28</v>
      </c>
      <c r="E583" s="5">
        <v>2561.9899999999998</v>
      </c>
      <c r="F583" s="16" t="s">
        <v>520</v>
      </c>
    </row>
    <row r="584" spans="1:11" x14ac:dyDescent="0.35">
      <c r="A584" s="15" t="s">
        <v>11</v>
      </c>
      <c r="B584" s="31">
        <v>45098</v>
      </c>
      <c r="C584" s="10" t="s">
        <v>12</v>
      </c>
      <c r="D584" s="5">
        <v>51.51</v>
      </c>
      <c r="E584" s="5">
        <v>2684.96</v>
      </c>
      <c r="F584" s="16" t="s">
        <v>521</v>
      </c>
      <c r="G584" s="13">
        <f>AVERAGE(E584:E585)</f>
        <v>2683.2950000000001</v>
      </c>
      <c r="H584" s="18">
        <f>STDEV(E584:E585)</f>
        <v>2.3546655813511519</v>
      </c>
      <c r="K584" s="5">
        <f>G584+$J$575</f>
        <v>2674.46</v>
      </c>
    </row>
    <row r="585" spans="1:11" x14ac:dyDescent="0.35">
      <c r="A585" s="15" t="s">
        <v>11</v>
      </c>
      <c r="B585" s="31">
        <v>45098</v>
      </c>
      <c r="C585" s="10" t="s">
        <v>12</v>
      </c>
      <c r="D585" s="5">
        <v>49.79</v>
      </c>
      <c r="E585" s="5">
        <v>2681.63</v>
      </c>
      <c r="F585" s="16" t="s">
        <v>522</v>
      </c>
    </row>
    <row r="586" spans="1:11" x14ac:dyDescent="0.35">
      <c r="A586" s="15" t="s">
        <v>11</v>
      </c>
      <c r="B586" s="31">
        <v>45099</v>
      </c>
      <c r="C586" s="10" t="s">
        <v>12</v>
      </c>
      <c r="D586" s="5">
        <v>49.98</v>
      </c>
      <c r="E586" s="14">
        <v>2715.04</v>
      </c>
      <c r="F586" s="16" t="s">
        <v>523</v>
      </c>
      <c r="G586" s="13">
        <f>AVERAGE(E587:E588)</f>
        <v>2693.16</v>
      </c>
      <c r="H586" s="18">
        <f>STDEV(E587:E588)</f>
        <v>0.33941125496955571</v>
      </c>
      <c r="K586" s="5">
        <f>G586+$J$575</f>
        <v>2684.3249999999998</v>
      </c>
    </row>
    <row r="587" spans="1:11" x14ac:dyDescent="0.35">
      <c r="A587" s="15" t="s">
        <v>11</v>
      </c>
      <c r="B587" s="31">
        <v>45099</v>
      </c>
      <c r="C587" s="10" t="s">
        <v>12</v>
      </c>
      <c r="D587" s="5">
        <v>50.43</v>
      </c>
      <c r="E587" s="5">
        <v>2692.92</v>
      </c>
      <c r="F587" s="16" t="s">
        <v>524</v>
      </c>
    </row>
    <row r="588" spans="1:11" x14ac:dyDescent="0.35">
      <c r="A588" s="15" t="s">
        <v>11</v>
      </c>
      <c r="B588" s="31">
        <v>45099</v>
      </c>
      <c r="C588" s="10" t="s">
        <v>12</v>
      </c>
      <c r="D588" s="5">
        <v>50.15</v>
      </c>
      <c r="E588" s="5">
        <v>2693.4</v>
      </c>
      <c r="F588" s="16" t="s">
        <v>525</v>
      </c>
    </row>
    <row r="589" spans="1:11" x14ac:dyDescent="0.35">
      <c r="A589" s="15" t="s">
        <v>11</v>
      </c>
      <c r="B589" s="31">
        <v>45099</v>
      </c>
      <c r="C589" s="10" t="s">
        <v>12</v>
      </c>
      <c r="D589" s="5">
        <v>50.55</v>
      </c>
      <c r="E589" s="5">
        <v>2686.54</v>
      </c>
      <c r="F589" s="16" t="s">
        <v>526</v>
      </c>
      <c r="G589" s="13">
        <f>AVERAGE(E589:E590)</f>
        <v>2684.17</v>
      </c>
      <c r="H589" s="18">
        <f>STDEV(E589:E590)</f>
        <v>3.3516861428240809</v>
      </c>
      <c r="K589" s="5">
        <f>G589+$J$575</f>
        <v>2675.335</v>
      </c>
    </row>
    <row r="590" spans="1:11" x14ac:dyDescent="0.35">
      <c r="A590" s="15" t="s">
        <v>11</v>
      </c>
      <c r="B590" s="31">
        <v>45099</v>
      </c>
      <c r="C590" s="10" t="s">
        <v>12</v>
      </c>
      <c r="D590" s="5">
        <v>50.75</v>
      </c>
      <c r="E590" s="5">
        <v>2681.8</v>
      </c>
      <c r="F590" s="16" t="s">
        <v>527</v>
      </c>
    </row>
    <row r="591" spans="1:11" x14ac:dyDescent="0.35">
      <c r="A591" s="15" t="s">
        <v>11</v>
      </c>
      <c r="B591" s="31">
        <v>45099</v>
      </c>
      <c r="C591" s="10" t="s">
        <v>12</v>
      </c>
      <c r="D591" s="5">
        <v>49.37</v>
      </c>
      <c r="E591" s="5">
        <v>2538.7600000000002</v>
      </c>
      <c r="F591" s="16" t="s">
        <v>528</v>
      </c>
      <c r="G591" s="13">
        <f>AVERAGE(E591,E593)</f>
        <v>2539.2200000000003</v>
      </c>
      <c r="H591" s="18">
        <f>STDEV(E591,E593)</f>
        <v>0.65053823869135363</v>
      </c>
      <c r="K591" s="5">
        <f>G591+$J$575</f>
        <v>2530.3850000000002</v>
      </c>
    </row>
    <row r="592" spans="1:11" x14ac:dyDescent="0.35">
      <c r="A592" s="15" t="s">
        <v>11</v>
      </c>
      <c r="B592" s="31">
        <v>45099</v>
      </c>
      <c r="C592" s="10" t="s">
        <v>12</v>
      </c>
      <c r="D592" s="5">
        <v>50.21</v>
      </c>
      <c r="E592" s="14">
        <v>2524.25</v>
      </c>
      <c r="F592" s="16" t="s">
        <v>529</v>
      </c>
    </row>
    <row r="593" spans="1:11" x14ac:dyDescent="0.35">
      <c r="A593" s="15" t="s">
        <v>11</v>
      </c>
      <c r="B593" s="31">
        <v>45099</v>
      </c>
      <c r="C593" s="10" t="s">
        <v>12</v>
      </c>
      <c r="D593" s="5">
        <v>48.43</v>
      </c>
      <c r="E593" s="5">
        <v>2539.6799999999998</v>
      </c>
      <c r="F593" s="16" t="s">
        <v>530</v>
      </c>
    </row>
    <row r="594" spans="1:11" x14ac:dyDescent="0.35">
      <c r="A594" s="15" t="s">
        <v>11</v>
      </c>
      <c r="B594" s="31">
        <v>45099</v>
      </c>
      <c r="C594" s="10" t="s">
        <v>12</v>
      </c>
      <c r="D594" s="5">
        <v>50.41</v>
      </c>
      <c r="E594" s="14">
        <v>2578.7800000000002</v>
      </c>
      <c r="F594" s="16" t="s">
        <v>531</v>
      </c>
      <c r="G594" s="13">
        <f>AVERAGE(E595:E596)</f>
        <v>2590.33</v>
      </c>
      <c r="H594" s="18">
        <f>STDEV(E595:E596)</f>
        <v>3.0688434303497192</v>
      </c>
      <c r="K594" s="5">
        <f>G594+$J$575</f>
        <v>2581.4949999999999</v>
      </c>
    </row>
    <row r="595" spans="1:11" x14ac:dyDescent="0.35">
      <c r="A595" s="15" t="s">
        <v>11</v>
      </c>
      <c r="B595" s="31">
        <v>45099</v>
      </c>
      <c r="C595" s="10" t="s">
        <v>12</v>
      </c>
      <c r="D595" s="5">
        <v>49.38</v>
      </c>
      <c r="E595" s="5">
        <v>2592.5</v>
      </c>
      <c r="F595" s="16" t="s">
        <v>532</v>
      </c>
    </row>
    <row r="596" spans="1:11" x14ac:dyDescent="0.35">
      <c r="A596" s="15" t="s">
        <v>11</v>
      </c>
      <c r="B596" s="31">
        <v>45099</v>
      </c>
      <c r="C596" s="10" t="s">
        <v>12</v>
      </c>
      <c r="D596" s="5">
        <v>49.42</v>
      </c>
      <c r="E596" s="5">
        <v>2588.16</v>
      </c>
      <c r="F596" s="16" t="s">
        <v>553</v>
      </c>
    </row>
    <row r="597" spans="1:11" x14ac:dyDescent="0.35">
      <c r="A597" s="15" t="s">
        <v>11</v>
      </c>
      <c r="B597" s="31">
        <v>45099</v>
      </c>
      <c r="C597" s="10" t="s">
        <v>12</v>
      </c>
      <c r="D597" s="5">
        <v>51.38</v>
      </c>
      <c r="E597" s="14">
        <v>2545.4299999999998</v>
      </c>
      <c r="F597" s="16" t="s">
        <v>533</v>
      </c>
      <c r="G597" s="13">
        <f>AVERAGE(E598:E599)</f>
        <v>2558.52</v>
      </c>
      <c r="H597" s="18">
        <f>STDEV(E598:E599)</f>
        <v>3.1112698372205521</v>
      </c>
      <c r="K597" s="5">
        <f>G597+$J$575</f>
        <v>2549.6849999999999</v>
      </c>
    </row>
    <row r="598" spans="1:11" x14ac:dyDescent="0.35">
      <c r="A598" s="15" t="s">
        <v>11</v>
      </c>
      <c r="B598" s="31">
        <v>45099</v>
      </c>
      <c r="C598" s="10" t="s">
        <v>12</v>
      </c>
      <c r="D598" s="5">
        <v>51.28</v>
      </c>
      <c r="E598" s="5">
        <v>2560.7199999999998</v>
      </c>
      <c r="F598" s="16" t="s">
        <v>534</v>
      </c>
    </row>
    <row r="599" spans="1:11" x14ac:dyDescent="0.35">
      <c r="A599" s="15" t="s">
        <v>11</v>
      </c>
      <c r="B599" s="31">
        <v>45099</v>
      </c>
      <c r="C599" s="10" t="s">
        <v>12</v>
      </c>
      <c r="D599" s="5">
        <v>50.12</v>
      </c>
      <c r="E599" s="5">
        <v>2556.3200000000002</v>
      </c>
      <c r="F599" s="16" t="s">
        <v>535</v>
      </c>
    </row>
    <row r="600" spans="1:11" x14ac:dyDescent="0.35">
      <c r="A600" s="15" t="s">
        <v>11</v>
      </c>
      <c r="B600" s="31">
        <v>45099</v>
      </c>
      <c r="C600" s="10" t="s">
        <v>12</v>
      </c>
      <c r="D600" s="5">
        <v>51.33</v>
      </c>
      <c r="E600" s="5">
        <v>2680.89</v>
      </c>
      <c r="F600" s="16" t="s">
        <v>536</v>
      </c>
      <c r="G600" s="13">
        <f>AVERAGE(E600:E601)</f>
        <v>2678.87</v>
      </c>
      <c r="H600" s="18">
        <f>STDEV(E600:E601)</f>
        <v>2.8567113959936261</v>
      </c>
      <c r="K600" s="5">
        <f>G600+$J$575</f>
        <v>2670.0349999999999</v>
      </c>
    </row>
    <row r="601" spans="1:11" x14ac:dyDescent="0.35">
      <c r="A601" s="15" t="s">
        <v>11</v>
      </c>
      <c r="B601" s="31">
        <v>45099</v>
      </c>
      <c r="C601" s="10" t="s">
        <v>12</v>
      </c>
      <c r="D601" s="5">
        <v>51.22</v>
      </c>
      <c r="E601" s="5">
        <v>2676.85</v>
      </c>
      <c r="F601" s="16" t="s">
        <v>537</v>
      </c>
    </row>
    <row r="602" spans="1:11" x14ac:dyDescent="0.35">
      <c r="A602" s="15" t="s">
        <v>11</v>
      </c>
      <c r="B602" s="31">
        <v>45099</v>
      </c>
      <c r="C602" s="10" t="s">
        <v>12</v>
      </c>
      <c r="D602" s="5">
        <v>53.6</v>
      </c>
      <c r="E602" s="14">
        <v>2626.42</v>
      </c>
      <c r="F602" s="16" t="s">
        <v>538</v>
      </c>
      <c r="G602" s="13">
        <f>AVERAGE(E603:E604)</f>
        <v>2616.3000000000002</v>
      </c>
      <c r="H602" s="18">
        <f>STDEV(E603:E604)</f>
        <v>3.8466608896548569</v>
      </c>
      <c r="K602" s="5">
        <f>G602+$J$575</f>
        <v>2607.4650000000001</v>
      </c>
    </row>
    <row r="603" spans="1:11" x14ac:dyDescent="0.35">
      <c r="A603" s="15" t="s">
        <v>11</v>
      </c>
      <c r="B603" s="31">
        <v>45099</v>
      </c>
      <c r="C603" s="10" t="s">
        <v>12</v>
      </c>
      <c r="D603" s="5">
        <v>51.26</v>
      </c>
      <c r="E603" s="5">
        <v>2613.58</v>
      </c>
      <c r="F603" s="16" t="s">
        <v>539</v>
      </c>
    </row>
    <row r="604" spans="1:11" x14ac:dyDescent="0.35">
      <c r="A604" s="15" t="s">
        <v>11</v>
      </c>
      <c r="B604" s="31">
        <v>45099</v>
      </c>
      <c r="C604" s="10" t="s">
        <v>12</v>
      </c>
      <c r="D604" s="5">
        <v>50.69</v>
      </c>
      <c r="E604" s="5">
        <v>2619.02</v>
      </c>
      <c r="F604" s="16" t="s">
        <v>540</v>
      </c>
    </row>
    <row r="605" spans="1:11" x14ac:dyDescent="0.35">
      <c r="A605" s="15" t="s">
        <v>11</v>
      </c>
      <c r="B605" s="31">
        <v>45099</v>
      </c>
      <c r="C605" s="10" t="s">
        <v>12</v>
      </c>
      <c r="D605" s="5">
        <v>53.95</v>
      </c>
      <c r="E605" s="5">
        <v>2543.17</v>
      </c>
      <c r="F605" s="16" t="s">
        <v>541</v>
      </c>
      <c r="G605" s="13">
        <f>AVERAGE(E605,E607)</f>
        <v>2545.9499999999998</v>
      </c>
      <c r="H605" s="18">
        <f>STDEV(E605,E607)</f>
        <v>3.9315137033971657</v>
      </c>
      <c r="K605" s="5">
        <f>G605+$J$575</f>
        <v>2537.1149999999998</v>
      </c>
    </row>
    <row r="606" spans="1:11" x14ac:dyDescent="0.35">
      <c r="A606" s="15" t="s">
        <v>11</v>
      </c>
      <c r="B606" s="31">
        <v>45099</v>
      </c>
      <c r="C606" s="10" t="s">
        <v>12</v>
      </c>
      <c r="D606" s="5">
        <v>51</v>
      </c>
      <c r="E606" s="14">
        <v>2532.25</v>
      </c>
      <c r="F606" s="16" t="s">
        <v>542</v>
      </c>
    </row>
    <row r="607" spans="1:11" x14ac:dyDescent="0.35">
      <c r="A607" s="15" t="s">
        <v>11</v>
      </c>
      <c r="B607" s="31">
        <v>45099</v>
      </c>
      <c r="C607" s="10" t="s">
        <v>12</v>
      </c>
      <c r="D607" s="5">
        <v>50.84</v>
      </c>
      <c r="E607" s="5">
        <v>2548.73</v>
      </c>
      <c r="F607" s="16" t="s">
        <v>543</v>
      </c>
    </row>
    <row r="608" spans="1:11" x14ac:dyDescent="0.35">
      <c r="A608" s="15" t="s">
        <v>11</v>
      </c>
      <c r="B608" s="31">
        <v>45099</v>
      </c>
      <c r="C608" s="10" t="s">
        <v>12</v>
      </c>
      <c r="D608" s="5">
        <v>50.39</v>
      </c>
      <c r="E608" s="14">
        <v>2552.04</v>
      </c>
      <c r="F608" s="16" t="s">
        <v>544</v>
      </c>
      <c r="G608" s="13">
        <f>AVERAGE(E609:E610)</f>
        <v>2595.13</v>
      </c>
      <c r="H608" s="18">
        <f>STDEV(E609:E610)</f>
        <v>2.3475945135394536</v>
      </c>
      <c r="K608" s="5">
        <f>G608+$J$575</f>
        <v>2586.2950000000001</v>
      </c>
    </row>
    <row r="609" spans="1:12" x14ac:dyDescent="0.35">
      <c r="A609" s="15" t="s">
        <v>11</v>
      </c>
      <c r="B609" s="31">
        <v>45099</v>
      </c>
      <c r="C609" s="10" t="s">
        <v>12</v>
      </c>
      <c r="D609" s="5">
        <v>49.68</v>
      </c>
      <c r="E609" s="5">
        <v>2593.4699999999998</v>
      </c>
      <c r="F609" s="16" t="s">
        <v>545</v>
      </c>
    </row>
    <row r="610" spans="1:12" x14ac:dyDescent="0.35">
      <c r="A610" s="15" t="s">
        <v>11</v>
      </c>
      <c r="B610" s="31">
        <v>45099</v>
      </c>
      <c r="C610" s="10" t="s">
        <v>12</v>
      </c>
      <c r="D610" s="5">
        <v>50.42</v>
      </c>
      <c r="E610" s="5">
        <v>2596.79</v>
      </c>
      <c r="F610" s="16" t="s">
        <v>554</v>
      </c>
    </row>
    <row r="611" spans="1:12" x14ac:dyDescent="0.35">
      <c r="A611" s="15" t="s">
        <v>11</v>
      </c>
      <c r="B611" s="31">
        <v>45099</v>
      </c>
      <c r="C611" s="10" t="s">
        <v>12</v>
      </c>
      <c r="D611" s="5">
        <v>51.14</v>
      </c>
      <c r="E611" s="5">
        <v>2689.54</v>
      </c>
      <c r="F611" s="16" t="s">
        <v>546</v>
      </c>
      <c r="G611" s="13">
        <f>AVERAGE(E611:E612)</f>
        <v>2687.41</v>
      </c>
      <c r="H611" s="18">
        <f>STDEV(E611:E612)</f>
        <v>3.0122748878545251</v>
      </c>
      <c r="K611" s="5">
        <f>G611+$J$575</f>
        <v>2678.5749999999998</v>
      </c>
    </row>
    <row r="612" spans="1:12" x14ac:dyDescent="0.35">
      <c r="A612" s="15" t="s">
        <v>11</v>
      </c>
      <c r="B612" s="31">
        <v>45099</v>
      </c>
      <c r="C612" s="10" t="s">
        <v>12</v>
      </c>
      <c r="D612" s="5">
        <v>50.5</v>
      </c>
      <c r="E612" s="5">
        <v>2685.28</v>
      </c>
      <c r="F612" s="16" t="s">
        <v>547</v>
      </c>
    </row>
    <row r="613" spans="1:12" x14ac:dyDescent="0.35">
      <c r="A613" s="15" t="s">
        <v>11</v>
      </c>
      <c r="B613" s="31">
        <v>45181</v>
      </c>
      <c r="C613" s="10" t="s">
        <v>12</v>
      </c>
      <c r="D613" s="5">
        <v>49.83</v>
      </c>
      <c r="E613" s="22">
        <v>2249.41</v>
      </c>
      <c r="F613" s="16" t="s">
        <v>8</v>
      </c>
      <c r="G613" s="13">
        <f>AVERAGE(E613,E615:E616)</f>
        <v>2249.0333333333333</v>
      </c>
      <c r="H613" s="18">
        <f>STDEV(E613,E615:E616)</f>
        <v>2.308166660649452</v>
      </c>
      <c r="I613" s="3">
        <v>2226.44</v>
      </c>
      <c r="J613" s="4">
        <f>I613-G613</f>
        <v>-22.593333333333248</v>
      </c>
      <c r="K613" s="5">
        <f>G613+J613</f>
        <v>2226.44</v>
      </c>
      <c r="L613" s="2" t="s">
        <v>94</v>
      </c>
    </row>
    <row r="614" spans="1:12" x14ac:dyDescent="0.35">
      <c r="A614" s="15" t="s">
        <v>11</v>
      </c>
      <c r="B614" s="31">
        <v>45181</v>
      </c>
      <c r="C614" s="10" t="s">
        <v>12</v>
      </c>
      <c r="D614" s="5">
        <v>50.96</v>
      </c>
      <c r="E614" s="14">
        <v>2206.6</v>
      </c>
      <c r="F614" s="16" t="s">
        <v>9</v>
      </c>
    </row>
    <row r="615" spans="1:12" x14ac:dyDescent="0.35">
      <c r="A615" s="15" t="s">
        <v>11</v>
      </c>
      <c r="B615" s="31">
        <v>45181</v>
      </c>
      <c r="C615" s="10" t="s">
        <v>12</v>
      </c>
      <c r="D615" s="5">
        <v>48.36</v>
      </c>
      <c r="E615" s="22">
        <v>2251.13</v>
      </c>
      <c r="F615" s="16" t="s">
        <v>96</v>
      </c>
    </row>
    <row r="616" spans="1:12" x14ac:dyDescent="0.35">
      <c r="A616" s="15" t="s">
        <v>11</v>
      </c>
      <c r="B616" s="31">
        <v>45181</v>
      </c>
      <c r="C616" s="10" t="s">
        <v>12</v>
      </c>
      <c r="D616" s="15">
        <v>49.89</v>
      </c>
      <c r="E616" s="5">
        <v>2246.56</v>
      </c>
      <c r="F616" s="16" t="s">
        <v>630</v>
      </c>
    </row>
    <row r="617" spans="1:12" x14ac:dyDescent="0.35">
      <c r="A617" s="15" t="s">
        <v>11</v>
      </c>
      <c r="B617" s="31">
        <v>45181</v>
      </c>
      <c r="C617" s="10" t="s">
        <v>12</v>
      </c>
      <c r="D617" s="5">
        <v>50.33</v>
      </c>
      <c r="E617" s="5">
        <v>2583.5100000000002</v>
      </c>
      <c r="F617" s="16" t="s">
        <v>555</v>
      </c>
      <c r="G617" s="13">
        <f>AVERAGE(E617:E618)</f>
        <v>2584.4949999999999</v>
      </c>
      <c r="H617" s="18">
        <f>STDEV(E617:E618)</f>
        <v>1.3930003589373572</v>
      </c>
      <c r="K617" s="5">
        <f>G617+$J$613</f>
        <v>2561.9016666666666</v>
      </c>
    </row>
    <row r="618" spans="1:12" x14ac:dyDescent="0.35">
      <c r="A618" s="15" t="s">
        <v>11</v>
      </c>
      <c r="B618" s="31">
        <v>45181</v>
      </c>
      <c r="C618" s="10" t="s">
        <v>12</v>
      </c>
      <c r="D618" s="5">
        <v>51.66</v>
      </c>
      <c r="E618" s="5">
        <v>2585.48</v>
      </c>
      <c r="F618" s="16" t="s">
        <v>556</v>
      </c>
    </row>
    <row r="619" spans="1:12" x14ac:dyDescent="0.35">
      <c r="A619" s="15" t="s">
        <v>11</v>
      </c>
      <c r="B619" s="31">
        <v>45181</v>
      </c>
      <c r="C619" s="10" t="s">
        <v>12</v>
      </c>
      <c r="D619" s="5">
        <v>51.24</v>
      </c>
      <c r="E619" s="5">
        <v>2618.61</v>
      </c>
      <c r="F619" s="16" t="s">
        <v>558</v>
      </c>
      <c r="G619" s="13">
        <f>AVERAGE(E619:E620)</f>
        <v>2616.0299999999997</v>
      </c>
      <c r="H619" s="18">
        <f>STDEV(E619:E620)</f>
        <v>3.6486709909228039</v>
      </c>
      <c r="K619" s="5">
        <f>G619+$J$613</f>
        <v>2593.4366666666665</v>
      </c>
    </row>
    <row r="620" spans="1:12" x14ac:dyDescent="0.35">
      <c r="A620" s="15" t="s">
        <v>11</v>
      </c>
      <c r="B620" s="31">
        <v>45181</v>
      </c>
      <c r="C620" s="10" t="s">
        <v>12</v>
      </c>
      <c r="D620" s="15">
        <v>48.02</v>
      </c>
      <c r="E620" s="15">
        <v>2613.4499999999998</v>
      </c>
      <c r="F620" s="16" t="s">
        <v>559</v>
      </c>
    </row>
    <row r="621" spans="1:12" x14ac:dyDescent="0.35">
      <c r="A621" s="15" t="s">
        <v>11</v>
      </c>
      <c r="B621" s="31">
        <v>45181</v>
      </c>
      <c r="C621" s="10" t="s">
        <v>12</v>
      </c>
      <c r="D621" s="5">
        <v>49.87</v>
      </c>
      <c r="E621" s="5">
        <v>2632.69</v>
      </c>
      <c r="F621" s="16" t="s">
        <v>560</v>
      </c>
      <c r="G621" s="13">
        <f>AVERAGE(E621,E623)</f>
        <v>2634.9750000000004</v>
      </c>
      <c r="H621" s="18">
        <f>STDEV(E621,E623)</f>
        <v>3.231477990022638</v>
      </c>
      <c r="K621" s="5">
        <f>G621+$J$613</f>
        <v>2612.3816666666671</v>
      </c>
    </row>
    <row r="622" spans="1:12" x14ac:dyDescent="0.35">
      <c r="A622" s="15" t="s">
        <v>11</v>
      </c>
      <c r="B622" s="31">
        <v>45181</v>
      </c>
      <c r="C622" s="10" t="s">
        <v>12</v>
      </c>
      <c r="D622" s="5">
        <v>49.8</v>
      </c>
      <c r="E622" s="14">
        <v>2652.05</v>
      </c>
      <c r="F622" s="16" t="s">
        <v>561</v>
      </c>
    </row>
    <row r="623" spans="1:12" x14ac:dyDescent="0.35">
      <c r="A623" s="15" t="s">
        <v>11</v>
      </c>
      <c r="B623" s="31">
        <v>45181</v>
      </c>
      <c r="C623" s="10" t="s">
        <v>12</v>
      </c>
      <c r="D623" s="5">
        <v>49.97</v>
      </c>
      <c r="E623" s="5">
        <v>2637.26</v>
      </c>
      <c r="F623" s="16" t="s">
        <v>631</v>
      </c>
    </row>
    <row r="624" spans="1:12" x14ac:dyDescent="0.35">
      <c r="A624" s="15" t="s">
        <v>11</v>
      </c>
      <c r="B624" s="31">
        <v>45181</v>
      </c>
      <c r="C624" s="10" t="s">
        <v>12</v>
      </c>
      <c r="D624" s="5">
        <v>51.1</v>
      </c>
      <c r="E624" s="5">
        <v>2582.6799999999998</v>
      </c>
      <c r="F624" s="16" t="s">
        <v>562</v>
      </c>
      <c r="G624" s="13">
        <f>AVERAGE(E624:E625)</f>
        <v>2580.12</v>
      </c>
      <c r="H624" s="18">
        <f>STDEV(E624:E625)</f>
        <v>3.6203867196750461</v>
      </c>
      <c r="K624" s="5">
        <f>G624+$J$613</f>
        <v>2557.5266666666666</v>
      </c>
    </row>
    <row r="625" spans="1:15" x14ac:dyDescent="0.35">
      <c r="A625" s="15" t="s">
        <v>11</v>
      </c>
      <c r="B625" s="31">
        <v>45181</v>
      </c>
      <c r="C625" s="10" t="s">
        <v>12</v>
      </c>
      <c r="D625" s="5">
        <v>50.43</v>
      </c>
      <c r="E625" s="22">
        <v>2577.56</v>
      </c>
      <c r="F625" s="16" t="s">
        <v>563</v>
      </c>
    </row>
    <row r="626" spans="1:15" x14ac:dyDescent="0.35">
      <c r="A626" s="15" t="s">
        <v>11</v>
      </c>
      <c r="B626" s="31">
        <v>45181</v>
      </c>
      <c r="C626" s="10" t="s">
        <v>12</v>
      </c>
      <c r="D626" s="5">
        <v>51.6</v>
      </c>
      <c r="E626" s="5">
        <v>2597.64</v>
      </c>
      <c r="F626" s="16" t="s">
        <v>565</v>
      </c>
      <c r="G626" s="13">
        <f>AVERAGE(E626:E627)</f>
        <v>2599.605</v>
      </c>
      <c r="H626" s="18">
        <f>STDEV(E626:E627)</f>
        <v>2.7789296500633376</v>
      </c>
      <c r="K626" s="5">
        <f>G626+$J$613</f>
        <v>2577.0116666666668</v>
      </c>
    </row>
    <row r="627" spans="1:15" x14ac:dyDescent="0.35">
      <c r="A627" s="15" t="s">
        <v>11</v>
      </c>
      <c r="B627" s="31">
        <v>45181</v>
      </c>
      <c r="C627" s="10" t="s">
        <v>12</v>
      </c>
      <c r="D627" s="5">
        <v>49.34</v>
      </c>
      <c r="E627" s="5">
        <v>2601.5700000000002</v>
      </c>
      <c r="F627" s="16" t="s">
        <v>566</v>
      </c>
    </row>
    <row r="628" spans="1:15" x14ac:dyDescent="0.35">
      <c r="A628" s="15" t="s">
        <v>11</v>
      </c>
      <c r="B628" s="31">
        <v>45181</v>
      </c>
      <c r="C628" s="10" t="s">
        <v>12</v>
      </c>
      <c r="D628" s="5">
        <v>49.47</v>
      </c>
      <c r="E628" s="5">
        <v>2610.0100000000002</v>
      </c>
      <c r="F628" s="16" t="s">
        <v>567</v>
      </c>
      <c r="G628" s="13">
        <f>AVERAGE(E628,E630)</f>
        <v>2611.2049999999999</v>
      </c>
      <c r="H628" s="18">
        <f>STDEV(E628,E630)</f>
        <v>1.6899852070357586</v>
      </c>
      <c r="K628" s="5">
        <f>G628+$J$613</f>
        <v>2588.6116666666667</v>
      </c>
      <c r="N628" s="5"/>
      <c r="O628" s="5"/>
    </row>
    <row r="629" spans="1:15" x14ac:dyDescent="0.35">
      <c r="A629" s="15" t="s">
        <v>11</v>
      </c>
      <c r="B629" s="31">
        <v>45181</v>
      </c>
      <c r="C629" s="10" t="s">
        <v>12</v>
      </c>
      <c r="D629" s="5">
        <v>50.18</v>
      </c>
      <c r="E629" s="14">
        <v>2642.76</v>
      </c>
      <c r="F629" s="16" t="s">
        <v>568</v>
      </c>
      <c r="N629" s="5"/>
      <c r="O629" s="5"/>
    </row>
    <row r="630" spans="1:15" x14ac:dyDescent="0.35">
      <c r="A630" s="15" t="s">
        <v>11</v>
      </c>
      <c r="B630" s="31">
        <v>45181</v>
      </c>
      <c r="C630" s="10" t="s">
        <v>12</v>
      </c>
      <c r="D630" s="5">
        <v>49.96</v>
      </c>
      <c r="E630" s="5">
        <v>2612.4</v>
      </c>
      <c r="F630" s="16" t="s">
        <v>635</v>
      </c>
    </row>
    <row r="631" spans="1:15" x14ac:dyDescent="0.35">
      <c r="A631" s="15" t="s">
        <v>152</v>
      </c>
      <c r="B631" s="31">
        <v>45182</v>
      </c>
      <c r="C631" s="10" t="s">
        <v>12</v>
      </c>
      <c r="D631" s="5">
        <v>51.1</v>
      </c>
      <c r="E631" s="5">
        <v>2232.91</v>
      </c>
      <c r="F631" s="16" t="s">
        <v>8</v>
      </c>
      <c r="G631" s="13">
        <f>AVERAGE(E631,E633,E634)</f>
        <v>2229.0266666666666</v>
      </c>
      <c r="H631" s="18">
        <f>STDEV(E631,E633,E634)</f>
        <v>4.6872628828914422</v>
      </c>
      <c r="I631" s="3">
        <v>2226.44</v>
      </c>
      <c r="J631" s="4">
        <f>I631-G631</f>
        <v>-2.5866666666665878</v>
      </c>
      <c r="K631" s="5">
        <f>G631+$J$631</f>
        <v>2226.44</v>
      </c>
    </row>
    <row r="632" spans="1:15" x14ac:dyDescent="0.35">
      <c r="A632" s="15" t="s">
        <v>152</v>
      </c>
      <c r="B632" s="31">
        <v>45182</v>
      </c>
      <c r="C632" s="10" t="s">
        <v>12</v>
      </c>
      <c r="D632" s="5">
        <v>52.34</v>
      </c>
      <c r="E632" s="14">
        <v>2241.0300000000002</v>
      </c>
      <c r="F632" s="16" t="s">
        <v>9</v>
      </c>
    </row>
    <row r="633" spans="1:15" x14ac:dyDescent="0.35">
      <c r="A633" s="15" t="s">
        <v>152</v>
      </c>
      <c r="B633" s="31">
        <v>45182</v>
      </c>
      <c r="C633" s="10" t="s">
        <v>12</v>
      </c>
      <c r="D633" s="5">
        <v>54.72</v>
      </c>
      <c r="E633" s="5">
        <v>2223.8200000000002</v>
      </c>
      <c r="F633" s="16" t="s">
        <v>96</v>
      </c>
    </row>
    <row r="634" spans="1:15" x14ac:dyDescent="0.35">
      <c r="A634" s="15" t="s">
        <v>152</v>
      </c>
      <c r="B634" s="31">
        <v>45182</v>
      </c>
      <c r="C634" s="10" t="s">
        <v>12</v>
      </c>
      <c r="D634" s="5">
        <v>51.93</v>
      </c>
      <c r="E634" s="5">
        <v>2230.35</v>
      </c>
      <c r="F634" s="16" t="s">
        <v>630</v>
      </c>
    </row>
    <row r="635" spans="1:15" x14ac:dyDescent="0.35">
      <c r="A635" s="15" t="s">
        <v>152</v>
      </c>
      <c r="B635" s="31">
        <v>45182</v>
      </c>
      <c r="C635" s="10" t="s">
        <v>12</v>
      </c>
      <c r="D635" s="5">
        <v>53.71</v>
      </c>
      <c r="E635" s="5">
        <v>2595.98</v>
      </c>
      <c r="F635" s="16" t="s">
        <v>569</v>
      </c>
      <c r="G635" s="13">
        <f>AVERAGE(E635,E637)</f>
        <v>2592.4250000000002</v>
      </c>
      <c r="H635" s="18">
        <f>STDEV(E635,E637)</f>
        <v>5.0275292142364432</v>
      </c>
      <c r="K635" s="5">
        <f>G635+$J$631</f>
        <v>2589.8383333333336</v>
      </c>
    </row>
    <row r="636" spans="1:15" x14ac:dyDescent="0.35">
      <c r="A636" s="15" t="s">
        <v>152</v>
      </c>
      <c r="B636" s="31">
        <v>45182</v>
      </c>
      <c r="C636" s="10" t="s">
        <v>12</v>
      </c>
      <c r="D636" s="5">
        <v>50.04</v>
      </c>
      <c r="E636" s="14">
        <v>2604.71</v>
      </c>
      <c r="F636" s="16" t="s">
        <v>570</v>
      </c>
    </row>
    <row r="637" spans="1:15" x14ac:dyDescent="0.35">
      <c r="A637" s="15" t="s">
        <v>152</v>
      </c>
      <c r="B637" s="31">
        <v>45182</v>
      </c>
      <c r="C637" s="10" t="s">
        <v>12</v>
      </c>
      <c r="D637" s="5">
        <v>51.49</v>
      </c>
      <c r="E637" s="5">
        <v>2588.87</v>
      </c>
      <c r="F637" s="16" t="s">
        <v>634</v>
      </c>
    </row>
    <row r="638" spans="1:15" x14ac:dyDescent="0.35">
      <c r="A638" s="15" t="s">
        <v>152</v>
      </c>
      <c r="B638" s="31">
        <v>45182</v>
      </c>
      <c r="C638" s="10" t="s">
        <v>12</v>
      </c>
      <c r="D638" s="5">
        <v>54.67</v>
      </c>
      <c r="E638" s="5">
        <v>2595.79</v>
      </c>
      <c r="F638" s="16" t="s">
        <v>571</v>
      </c>
      <c r="G638" s="13">
        <f>AVERAGE(E638,E640)</f>
        <v>2594.0450000000001</v>
      </c>
      <c r="H638" s="18">
        <f>STDEV(E638,E640)</f>
        <v>2.4678026663408965</v>
      </c>
      <c r="K638" s="5">
        <f>G638+$J$631</f>
        <v>2591.4583333333335</v>
      </c>
    </row>
    <row r="639" spans="1:15" x14ac:dyDescent="0.35">
      <c r="A639" s="15" t="s">
        <v>152</v>
      </c>
      <c r="B639" s="31">
        <v>45182</v>
      </c>
      <c r="C639" s="10" t="s">
        <v>12</v>
      </c>
      <c r="D639" s="5">
        <v>52.41</v>
      </c>
      <c r="E639" s="14">
        <v>2607.23</v>
      </c>
      <c r="F639" s="16" t="s">
        <v>572</v>
      </c>
    </row>
    <row r="640" spans="1:15" x14ac:dyDescent="0.35">
      <c r="A640" s="15" t="s">
        <v>152</v>
      </c>
      <c r="B640" s="31">
        <v>45182</v>
      </c>
      <c r="C640" s="10" t="s">
        <v>12</v>
      </c>
      <c r="D640" s="5">
        <v>49.5</v>
      </c>
      <c r="E640" s="5">
        <v>2592.3000000000002</v>
      </c>
      <c r="F640" s="16" t="s">
        <v>573</v>
      </c>
    </row>
    <row r="641" spans="1:11" x14ac:dyDescent="0.35">
      <c r="A641" s="15" t="s">
        <v>152</v>
      </c>
      <c r="B641" s="31">
        <v>45182</v>
      </c>
      <c r="C641" s="10" t="s">
        <v>12</v>
      </c>
      <c r="D641" s="5">
        <v>52.29</v>
      </c>
      <c r="E641" s="5">
        <v>2592.75</v>
      </c>
      <c r="F641" s="16" t="s">
        <v>574</v>
      </c>
      <c r="G641" s="13">
        <f>AVERAGE(E642,E643)</f>
        <v>2601.8199999999997</v>
      </c>
      <c r="H641" s="18">
        <f>STDEV(E642,E643)</f>
        <v>2.842569260369908</v>
      </c>
      <c r="K641" s="5">
        <f>G641+$J$631</f>
        <v>2599.2333333333331</v>
      </c>
    </row>
    <row r="642" spans="1:11" x14ac:dyDescent="0.35">
      <c r="A642" s="15" t="s">
        <v>152</v>
      </c>
      <c r="B642" s="31">
        <v>45182</v>
      </c>
      <c r="C642" s="10" t="s">
        <v>12</v>
      </c>
      <c r="D642" s="5">
        <v>52.25</v>
      </c>
      <c r="E642" s="5">
        <v>2603.83</v>
      </c>
      <c r="F642" s="16" t="s">
        <v>575</v>
      </c>
    </row>
    <row r="643" spans="1:11" x14ac:dyDescent="0.35">
      <c r="A643" s="15" t="s">
        <v>152</v>
      </c>
      <c r="B643" s="31">
        <v>45182</v>
      </c>
      <c r="C643" s="10" t="s">
        <v>12</v>
      </c>
      <c r="D643" s="5">
        <v>49.95</v>
      </c>
      <c r="E643" s="5">
        <v>2599.81</v>
      </c>
      <c r="F643" s="16" t="s">
        <v>633</v>
      </c>
    </row>
    <row r="644" spans="1:11" x14ac:dyDescent="0.35">
      <c r="A644" s="15" t="s">
        <v>152</v>
      </c>
      <c r="B644" s="31">
        <v>45182</v>
      </c>
      <c r="C644" s="10" t="s">
        <v>12</v>
      </c>
      <c r="D644" s="5">
        <v>50.16</v>
      </c>
      <c r="E644" s="5">
        <v>2606.08</v>
      </c>
      <c r="F644" s="16" t="s">
        <v>576</v>
      </c>
      <c r="G644" s="13">
        <f>AVERAGE(E644,E645)</f>
        <v>2605.5349999999999</v>
      </c>
      <c r="H644" s="18">
        <f>STDEV(E644,E645)</f>
        <v>0.77074639149343971</v>
      </c>
      <c r="K644" s="5">
        <f>G644+$J$631</f>
        <v>2602.9483333333333</v>
      </c>
    </row>
    <row r="645" spans="1:11" x14ac:dyDescent="0.35">
      <c r="A645" s="15" t="s">
        <v>152</v>
      </c>
      <c r="B645" s="31">
        <v>45182</v>
      </c>
      <c r="C645" s="10" t="s">
        <v>12</v>
      </c>
      <c r="D645" s="5">
        <v>52.33</v>
      </c>
      <c r="E645" s="5">
        <v>2604.9899999999998</v>
      </c>
      <c r="F645" s="16" t="s">
        <v>577</v>
      </c>
    </row>
    <row r="646" spans="1:11" x14ac:dyDescent="0.35">
      <c r="A646" s="15" t="s">
        <v>152</v>
      </c>
      <c r="B646" s="31">
        <v>45182</v>
      </c>
      <c r="C646" s="10" t="s">
        <v>12</v>
      </c>
      <c r="D646" s="5">
        <v>51.6</v>
      </c>
      <c r="E646" s="5">
        <v>2594.91</v>
      </c>
      <c r="F646" s="16" t="s">
        <v>632</v>
      </c>
    </row>
    <row r="647" spans="1:11" x14ac:dyDescent="0.35">
      <c r="C647" s="10"/>
      <c r="F647" s="16"/>
    </row>
    <row r="648" spans="1:11" x14ac:dyDescent="0.35">
      <c r="C648" s="10" t="s">
        <v>12</v>
      </c>
      <c r="F648" s="16" t="s">
        <v>8</v>
      </c>
    </row>
    <row r="649" spans="1:11" x14ac:dyDescent="0.35">
      <c r="C649" s="10" t="s">
        <v>12</v>
      </c>
      <c r="E649" s="14"/>
      <c r="F649" s="16" t="s">
        <v>9</v>
      </c>
    </row>
    <row r="650" spans="1:11" x14ac:dyDescent="0.35">
      <c r="C650" s="10" t="s">
        <v>12</v>
      </c>
      <c r="F650" s="16" t="s">
        <v>96</v>
      </c>
    </row>
    <row r="651" spans="1:11" x14ac:dyDescent="0.35">
      <c r="C651" s="10" t="s">
        <v>12</v>
      </c>
      <c r="F651" s="16" t="s">
        <v>578</v>
      </c>
    </row>
    <row r="652" spans="1:11" x14ac:dyDescent="0.35">
      <c r="C652" s="10" t="s">
        <v>12</v>
      </c>
      <c r="F652" s="16" t="s">
        <v>579</v>
      </c>
    </row>
    <row r="653" spans="1:11" x14ac:dyDescent="0.35">
      <c r="C653" s="10" t="s">
        <v>12</v>
      </c>
      <c r="F653" s="16" t="s">
        <v>580</v>
      </c>
    </row>
    <row r="654" spans="1:11" x14ac:dyDescent="0.35">
      <c r="C654" s="10" t="s">
        <v>12</v>
      </c>
      <c r="F654" s="16" t="s">
        <v>581</v>
      </c>
    </row>
    <row r="655" spans="1:11" x14ac:dyDescent="0.35">
      <c r="C655" s="10" t="s">
        <v>12</v>
      </c>
      <c r="E655" s="14"/>
      <c r="F655" s="16" t="s">
        <v>582</v>
      </c>
    </row>
    <row r="656" spans="1:11" x14ac:dyDescent="0.35">
      <c r="C656" s="10" t="s">
        <v>12</v>
      </c>
      <c r="F656" s="16" t="s">
        <v>583</v>
      </c>
    </row>
    <row r="657" spans="3:6" x14ac:dyDescent="0.35">
      <c r="C657" s="10" t="s">
        <v>12</v>
      </c>
      <c r="F657" s="16" t="s">
        <v>584</v>
      </c>
    </row>
    <row r="658" spans="3:6" x14ac:dyDescent="0.35">
      <c r="C658" s="10" t="s">
        <v>12</v>
      </c>
      <c r="F658" s="16" t="s">
        <v>585</v>
      </c>
    </row>
    <row r="659" spans="3:6" x14ac:dyDescent="0.35">
      <c r="C659" s="10" t="s">
        <v>12</v>
      </c>
      <c r="E659" s="14"/>
      <c r="F659" s="16" t="s">
        <v>586</v>
      </c>
    </row>
    <row r="660" spans="3:6" x14ac:dyDescent="0.35">
      <c r="C660" s="10" t="s">
        <v>12</v>
      </c>
      <c r="F660" s="16" t="s">
        <v>587</v>
      </c>
    </row>
    <row r="661" spans="3:6" x14ac:dyDescent="0.35">
      <c r="C661" s="10" t="s">
        <v>12</v>
      </c>
      <c r="F661" s="16" t="s">
        <v>588</v>
      </c>
    </row>
    <row r="662" spans="3:6" x14ac:dyDescent="0.35">
      <c r="C662" s="10" t="s">
        <v>12</v>
      </c>
      <c r="E662" s="14"/>
      <c r="F662" s="16" t="s">
        <v>589</v>
      </c>
    </row>
    <row r="663" spans="3:6" x14ac:dyDescent="0.35">
      <c r="C663" s="10" t="s">
        <v>12</v>
      </c>
      <c r="F663" s="16" t="s">
        <v>590</v>
      </c>
    </row>
    <row r="664" spans="3:6" x14ac:dyDescent="0.35">
      <c r="C664" s="10" t="s">
        <v>12</v>
      </c>
      <c r="F664" s="16" t="s">
        <v>591</v>
      </c>
    </row>
    <row r="665" spans="3:6" x14ac:dyDescent="0.35">
      <c r="C665" s="10" t="s">
        <v>12</v>
      </c>
      <c r="E665" s="14"/>
      <c r="F665" s="16" t="s">
        <v>592</v>
      </c>
    </row>
    <row r="666" spans="3:6" x14ac:dyDescent="0.35">
      <c r="C666" s="10" t="s">
        <v>12</v>
      </c>
      <c r="E666" s="14"/>
      <c r="F666" s="16" t="s">
        <v>593</v>
      </c>
    </row>
    <row r="667" spans="3:6" x14ac:dyDescent="0.35">
      <c r="C667" s="10" t="s">
        <v>12</v>
      </c>
      <c r="F667" s="16" t="s">
        <v>594</v>
      </c>
    </row>
    <row r="668" spans="3:6" x14ac:dyDescent="0.35">
      <c r="C668" s="10" t="s">
        <v>12</v>
      </c>
      <c r="E668" s="14"/>
      <c r="F668" s="16" t="s">
        <v>8</v>
      </c>
    </row>
    <row r="669" spans="3:6" x14ac:dyDescent="0.35">
      <c r="C669" s="10" t="s">
        <v>12</v>
      </c>
      <c r="F669" s="16" t="s">
        <v>9</v>
      </c>
    </row>
    <row r="670" spans="3:6" x14ac:dyDescent="0.35">
      <c r="C670" s="10" t="s">
        <v>12</v>
      </c>
      <c r="F670" s="16" t="s">
        <v>96</v>
      </c>
    </row>
    <row r="671" spans="3:6" x14ac:dyDescent="0.35">
      <c r="C671" s="10" t="s">
        <v>12</v>
      </c>
      <c r="F671" s="16" t="s">
        <v>595</v>
      </c>
    </row>
    <row r="672" spans="3:6" x14ac:dyDescent="0.35">
      <c r="C672" s="10" t="s">
        <v>12</v>
      </c>
      <c r="F672" s="16" t="s">
        <v>596</v>
      </c>
    </row>
    <row r="673" spans="3:6" x14ac:dyDescent="0.35">
      <c r="C673" s="10" t="s">
        <v>12</v>
      </c>
      <c r="F673" s="16" t="s">
        <v>597</v>
      </c>
    </row>
    <row r="674" spans="3:6" x14ac:dyDescent="0.35">
      <c r="C674" s="10" t="s">
        <v>12</v>
      </c>
      <c r="F674" s="16" t="s">
        <v>598</v>
      </c>
    </row>
    <row r="675" spans="3:6" x14ac:dyDescent="0.35">
      <c r="C675" s="10" t="s">
        <v>12</v>
      </c>
      <c r="F675" s="16" t="s">
        <v>599</v>
      </c>
    </row>
    <row r="676" spans="3:6" x14ac:dyDescent="0.35">
      <c r="C676" s="10" t="s">
        <v>12</v>
      </c>
      <c r="F676" s="16" t="s">
        <v>600</v>
      </c>
    </row>
    <row r="677" spans="3:6" x14ac:dyDescent="0.35">
      <c r="C677" s="10" t="s">
        <v>12</v>
      </c>
      <c r="F677" s="16" t="s">
        <v>601</v>
      </c>
    </row>
    <row r="678" spans="3:6" x14ac:dyDescent="0.35">
      <c r="C678" s="10" t="s">
        <v>12</v>
      </c>
      <c r="F678" s="16" t="s">
        <v>602</v>
      </c>
    </row>
    <row r="679" spans="3:6" x14ac:dyDescent="0.35">
      <c r="C679" s="10" t="s">
        <v>12</v>
      </c>
      <c r="E679" s="14"/>
      <c r="F679" s="16" t="s">
        <v>603</v>
      </c>
    </row>
    <row r="680" spans="3:6" x14ac:dyDescent="0.35">
      <c r="C680" s="10" t="s">
        <v>12</v>
      </c>
      <c r="F680" s="16" t="s">
        <v>604</v>
      </c>
    </row>
    <row r="681" spans="3:6" x14ac:dyDescent="0.35">
      <c r="C681" s="10" t="s">
        <v>12</v>
      </c>
      <c r="F681" s="16" t="s">
        <v>605</v>
      </c>
    </row>
    <row r="682" spans="3:6" x14ac:dyDescent="0.35">
      <c r="C682" s="10" t="s">
        <v>12</v>
      </c>
      <c r="F682" s="16" t="s">
        <v>606</v>
      </c>
    </row>
    <row r="683" spans="3:6" x14ac:dyDescent="0.35">
      <c r="C683" s="10" t="s">
        <v>12</v>
      </c>
      <c r="F683" s="16" t="s">
        <v>607</v>
      </c>
    </row>
    <row r="684" spans="3:6" x14ac:dyDescent="0.35">
      <c r="C684" s="10" t="s">
        <v>12</v>
      </c>
      <c r="F684" s="16" t="s">
        <v>608</v>
      </c>
    </row>
    <row r="685" spans="3:6" x14ac:dyDescent="0.35">
      <c r="C685" s="10" t="s">
        <v>12</v>
      </c>
      <c r="E685" s="14"/>
      <c r="F685" s="16" t="s">
        <v>609</v>
      </c>
    </row>
    <row r="686" spans="3:6" x14ac:dyDescent="0.35">
      <c r="C686" s="10" t="s">
        <v>12</v>
      </c>
      <c r="F686" s="16" t="s">
        <v>610</v>
      </c>
    </row>
    <row r="687" spans="3:6" x14ac:dyDescent="0.35">
      <c r="C687" s="10" t="s">
        <v>12</v>
      </c>
      <c r="E687" s="14"/>
      <c r="F687" s="16" t="s">
        <v>611</v>
      </c>
    </row>
    <row r="688" spans="3:6" x14ac:dyDescent="0.35">
      <c r="C688" s="10" t="s">
        <v>12</v>
      </c>
      <c r="F688" s="16" t="s">
        <v>612</v>
      </c>
    </row>
    <row r="689" spans="3:6" x14ac:dyDescent="0.35">
      <c r="C689" s="10" t="s">
        <v>12</v>
      </c>
      <c r="F689" s="16" t="s">
        <v>613</v>
      </c>
    </row>
    <row r="690" spans="3:6" x14ac:dyDescent="0.35">
      <c r="C690" s="10" t="s">
        <v>12</v>
      </c>
      <c r="E690" s="14"/>
      <c r="F690" s="16" t="s">
        <v>614</v>
      </c>
    </row>
    <row r="691" spans="3:6" x14ac:dyDescent="0.35">
      <c r="C691" s="10" t="s">
        <v>12</v>
      </c>
      <c r="F691" s="16" t="s">
        <v>615</v>
      </c>
    </row>
    <row r="692" spans="3:6" x14ac:dyDescent="0.35">
      <c r="C692" s="10" t="s">
        <v>12</v>
      </c>
      <c r="F692" s="16" t="s">
        <v>616</v>
      </c>
    </row>
    <row r="693" spans="3:6" x14ac:dyDescent="0.35">
      <c r="C693" s="10" t="s">
        <v>12</v>
      </c>
      <c r="F693" s="16" t="s">
        <v>617</v>
      </c>
    </row>
    <row r="694" spans="3:6" x14ac:dyDescent="0.35">
      <c r="C694" s="10" t="s">
        <v>12</v>
      </c>
      <c r="F694" s="16" t="s">
        <v>618</v>
      </c>
    </row>
    <row r="695" spans="3:6" x14ac:dyDescent="0.35">
      <c r="C695" s="10" t="s">
        <v>12</v>
      </c>
      <c r="E695" s="14"/>
      <c r="F695" s="16" t="s">
        <v>619</v>
      </c>
    </row>
    <row r="696" spans="3:6" x14ac:dyDescent="0.35">
      <c r="C696" s="10" t="s">
        <v>12</v>
      </c>
      <c r="F696" s="16" t="s">
        <v>620</v>
      </c>
    </row>
    <row r="697" spans="3:6" x14ac:dyDescent="0.35">
      <c r="C697" s="10" t="s">
        <v>12</v>
      </c>
      <c r="F697" s="16" t="s">
        <v>621</v>
      </c>
    </row>
    <row r="698" spans="3:6" x14ac:dyDescent="0.35">
      <c r="C698" s="10" t="s">
        <v>12</v>
      </c>
      <c r="F698" s="16" t="s">
        <v>622</v>
      </c>
    </row>
    <row r="699" spans="3:6" x14ac:dyDescent="0.35">
      <c r="C699" s="10" t="s">
        <v>12</v>
      </c>
      <c r="E699" s="14"/>
      <c r="F699" s="16" t="s">
        <v>623</v>
      </c>
    </row>
    <row r="700" spans="3:6" x14ac:dyDescent="0.35">
      <c r="C700" s="10" t="s">
        <v>12</v>
      </c>
      <c r="F700" s="16" t="s">
        <v>624</v>
      </c>
    </row>
    <row r="701" spans="3:6" x14ac:dyDescent="0.35">
      <c r="C701" s="10" t="s">
        <v>12</v>
      </c>
      <c r="E701" s="14"/>
      <c r="F701" s="16" t="s">
        <v>625</v>
      </c>
    </row>
    <row r="702" spans="3:6" x14ac:dyDescent="0.35">
      <c r="C702" s="10" t="s">
        <v>12</v>
      </c>
      <c r="F702" s="16" t="s">
        <v>626</v>
      </c>
    </row>
    <row r="703" spans="3:6" x14ac:dyDescent="0.35">
      <c r="C703" s="10" t="s">
        <v>12</v>
      </c>
      <c r="F703" s="16" t="s">
        <v>627</v>
      </c>
    </row>
    <row r="704" spans="3:6" x14ac:dyDescent="0.35">
      <c r="C704" s="10" t="s">
        <v>12</v>
      </c>
      <c r="F704" s="16" t="s">
        <v>628</v>
      </c>
    </row>
    <row r="705" spans="3:6" x14ac:dyDescent="0.35">
      <c r="C705" s="10" t="s">
        <v>12</v>
      </c>
      <c r="F705" s="16" t="s">
        <v>629</v>
      </c>
    </row>
  </sheetData>
  <autoFilter ref="A1:L554"/>
  <phoneticPr fontId="10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4"/>
  <sheetViews>
    <sheetView workbookViewId="0">
      <selection activeCell="F1" sqref="A1:F84"/>
    </sheetView>
  </sheetViews>
  <sheetFormatPr defaultColWidth="10.90625" defaultRowHeight="14.5" x14ac:dyDescent="0.35"/>
  <sheetData>
    <row r="1" spans="1:6" x14ac:dyDescent="0.35">
      <c r="A1" s="15" t="s">
        <v>11</v>
      </c>
      <c r="B1" s="31">
        <v>45096</v>
      </c>
      <c r="C1" s="10" t="s">
        <v>12</v>
      </c>
      <c r="D1" s="5">
        <v>47.84</v>
      </c>
      <c r="E1" s="14">
        <v>2289.73</v>
      </c>
      <c r="F1" s="16" t="s">
        <v>8</v>
      </c>
    </row>
    <row r="2" spans="1:6" x14ac:dyDescent="0.35">
      <c r="A2" s="15" t="s">
        <v>11</v>
      </c>
      <c r="B2" s="31">
        <v>45096</v>
      </c>
      <c r="C2" s="10" t="s">
        <v>12</v>
      </c>
      <c r="D2" s="5">
        <v>49.84</v>
      </c>
      <c r="E2" s="5">
        <v>2235.25</v>
      </c>
      <c r="F2" s="16" t="s">
        <v>9</v>
      </c>
    </row>
    <row r="3" spans="1:6" x14ac:dyDescent="0.35">
      <c r="A3" s="15" t="s">
        <v>11</v>
      </c>
      <c r="B3" s="31">
        <v>45096</v>
      </c>
      <c r="C3" s="10" t="s">
        <v>12</v>
      </c>
      <c r="D3" s="5">
        <v>49.74</v>
      </c>
      <c r="E3" s="5">
        <v>2230.46</v>
      </c>
      <c r="F3" s="16" t="s">
        <v>96</v>
      </c>
    </row>
    <row r="4" spans="1:6" x14ac:dyDescent="0.35">
      <c r="A4" s="15" t="s">
        <v>11</v>
      </c>
      <c r="B4" s="31">
        <v>45096</v>
      </c>
      <c r="C4" s="10" t="s">
        <v>12</v>
      </c>
      <c r="D4" s="5">
        <v>51.05</v>
      </c>
      <c r="E4" s="5">
        <v>2715.31</v>
      </c>
      <c r="F4" s="16" t="s">
        <v>555</v>
      </c>
    </row>
    <row r="5" spans="1:6" x14ac:dyDescent="0.35">
      <c r="A5" s="15" t="s">
        <v>11</v>
      </c>
      <c r="B5" s="31">
        <v>45096</v>
      </c>
      <c r="C5" s="10" t="s">
        <v>12</v>
      </c>
      <c r="D5" s="5">
        <v>51.15</v>
      </c>
      <c r="E5" s="14">
        <v>2703.06</v>
      </c>
      <c r="F5" s="16" t="s">
        <v>556</v>
      </c>
    </row>
    <row r="6" spans="1:6" x14ac:dyDescent="0.35">
      <c r="A6" s="15" t="s">
        <v>11</v>
      </c>
      <c r="B6" s="31">
        <v>45096</v>
      </c>
      <c r="C6" s="10" t="s">
        <v>12</v>
      </c>
      <c r="D6" s="5">
        <v>51.33</v>
      </c>
      <c r="E6" s="5">
        <v>2714.93</v>
      </c>
      <c r="F6" s="16" t="s">
        <v>557</v>
      </c>
    </row>
    <row r="7" spans="1:6" x14ac:dyDescent="0.35">
      <c r="A7" s="15" t="s">
        <v>11</v>
      </c>
      <c r="B7" s="31">
        <v>45096</v>
      </c>
      <c r="C7" s="10" t="s">
        <v>12</v>
      </c>
      <c r="D7" s="5">
        <v>49.91</v>
      </c>
      <c r="E7" s="5">
        <v>2713.86</v>
      </c>
      <c r="F7" s="16" t="s">
        <v>558</v>
      </c>
    </row>
    <row r="8" spans="1:6" x14ac:dyDescent="0.35">
      <c r="A8" s="15" t="s">
        <v>11</v>
      </c>
      <c r="B8" s="31">
        <v>45096</v>
      </c>
      <c r="C8" s="10" t="s">
        <v>12</v>
      </c>
      <c r="D8" s="5">
        <v>50.17</v>
      </c>
      <c r="E8" s="5">
        <v>2710.47</v>
      </c>
      <c r="F8" s="16" t="s">
        <v>559</v>
      </c>
    </row>
    <row r="9" spans="1:6" x14ac:dyDescent="0.35">
      <c r="A9" s="15" t="s">
        <v>11</v>
      </c>
      <c r="B9" s="31">
        <v>45096</v>
      </c>
      <c r="C9" s="10" t="s">
        <v>12</v>
      </c>
      <c r="D9" s="5">
        <v>50.84</v>
      </c>
      <c r="E9" s="5">
        <v>2603.8000000000002</v>
      </c>
      <c r="F9" s="16" t="s">
        <v>560</v>
      </c>
    </row>
    <row r="10" spans="1:6" x14ac:dyDescent="0.35">
      <c r="A10" s="15" t="s">
        <v>11</v>
      </c>
      <c r="B10" s="31">
        <v>45096</v>
      </c>
      <c r="C10" s="10" t="s">
        <v>12</v>
      </c>
      <c r="D10" s="5">
        <v>50.31</v>
      </c>
      <c r="E10" s="5">
        <v>2605.96</v>
      </c>
      <c r="F10" s="16" t="s">
        <v>561</v>
      </c>
    </row>
    <row r="11" spans="1:6" x14ac:dyDescent="0.35">
      <c r="A11" s="15" t="s">
        <v>11</v>
      </c>
      <c r="B11" s="31">
        <v>45096</v>
      </c>
      <c r="C11" s="10" t="s">
        <v>12</v>
      </c>
      <c r="D11" s="5">
        <v>51.51</v>
      </c>
      <c r="E11" s="5">
        <v>2699.83</v>
      </c>
      <c r="F11" s="16" t="s">
        <v>562</v>
      </c>
    </row>
    <row r="12" spans="1:6" x14ac:dyDescent="0.35">
      <c r="A12" s="15" t="s">
        <v>11</v>
      </c>
      <c r="B12" s="31">
        <v>45096</v>
      </c>
      <c r="C12" s="10" t="s">
        <v>12</v>
      </c>
      <c r="D12" s="5">
        <v>49.63</v>
      </c>
      <c r="E12" s="14">
        <v>2712.05</v>
      </c>
      <c r="F12" s="16" t="s">
        <v>563</v>
      </c>
    </row>
    <row r="13" spans="1:6" x14ac:dyDescent="0.35">
      <c r="A13" s="15" t="s">
        <v>11</v>
      </c>
      <c r="B13" s="31">
        <v>45096</v>
      </c>
      <c r="C13" s="10" t="s">
        <v>12</v>
      </c>
      <c r="D13" s="5">
        <v>49.62</v>
      </c>
      <c r="E13" s="5">
        <v>2701.19</v>
      </c>
      <c r="F13" s="16" t="s">
        <v>564</v>
      </c>
    </row>
    <row r="14" spans="1:6" x14ac:dyDescent="0.35">
      <c r="A14" s="15" t="s">
        <v>11</v>
      </c>
      <c r="B14" s="31">
        <v>45096</v>
      </c>
      <c r="C14" s="10" t="s">
        <v>12</v>
      </c>
      <c r="D14" s="5">
        <v>49.51</v>
      </c>
      <c r="E14" s="5">
        <v>2692.09</v>
      </c>
      <c r="F14" s="16" t="s">
        <v>565</v>
      </c>
    </row>
    <row r="15" spans="1:6" x14ac:dyDescent="0.35">
      <c r="A15" s="15" t="s">
        <v>11</v>
      </c>
      <c r="B15" s="31">
        <v>45096</v>
      </c>
      <c r="C15" s="10" t="s">
        <v>12</v>
      </c>
      <c r="D15" s="5">
        <v>51.95</v>
      </c>
      <c r="E15" s="5">
        <v>2685.55</v>
      </c>
      <c r="F15" s="16" t="s">
        <v>566</v>
      </c>
    </row>
    <row r="16" spans="1:6" x14ac:dyDescent="0.35">
      <c r="A16" s="15" t="s">
        <v>11</v>
      </c>
      <c r="B16" s="31">
        <v>45096</v>
      </c>
      <c r="C16" s="10" t="s">
        <v>12</v>
      </c>
      <c r="D16" s="5">
        <v>51.54</v>
      </c>
      <c r="E16" s="5">
        <v>2709.31</v>
      </c>
      <c r="F16" s="16" t="s">
        <v>567</v>
      </c>
    </row>
    <row r="17" spans="1:6" x14ac:dyDescent="0.35">
      <c r="A17" s="15" t="s">
        <v>11</v>
      </c>
      <c r="B17" s="31">
        <v>45096</v>
      </c>
      <c r="C17" s="10" t="s">
        <v>12</v>
      </c>
      <c r="D17" s="5">
        <v>50.78</v>
      </c>
      <c r="E17" s="5">
        <v>2709.18</v>
      </c>
      <c r="F17" s="16" t="s">
        <v>568</v>
      </c>
    </row>
    <row r="18" spans="1:6" x14ac:dyDescent="0.35">
      <c r="A18" s="15" t="s">
        <v>11</v>
      </c>
      <c r="B18" s="31">
        <v>45096</v>
      </c>
      <c r="C18" s="10" t="s">
        <v>12</v>
      </c>
      <c r="D18" s="5">
        <v>51.56</v>
      </c>
      <c r="E18" s="5">
        <v>2672.65</v>
      </c>
      <c r="F18" s="16" t="s">
        <v>569</v>
      </c>
    </row>
    <row r="19" spans="1:6" x14ac:dyDescent="0.35">
      <c r="A19" s="15" t="s">
        <v>11</v>
      </c>
      <c r="B19" s="31">
        <v>45096</v>
      </c>
      <c r="C19" s="10" t="s">
        <v>12</v>
      </c>
      <c r="D19" s="5">
        <v>52.15</v>
      </c>
      <c r="E19" s="5">
        <v>2673.8</v>
      </c>
      <c r="F19" s="16" t="s">
        <v>570</v>
      </c>
    </row>
    <row r="20" spans="1:6" x14ac:dyDescent="0.35">
      <c r="A20" s="15" t="s">
        <v>11</v>
      </c>
      <c r="B20" s="31">
        <v>45097</v>
      </c>
      <c r="C20" s="10" t="s">
        <v>12</v>
      </c>
      <c r="D20" s="5">
        <v>48.87</v>
      </c>
      <c r="E20" s="5">
        <v>2704.4</v>
      </c>
      <c r="F20" s="16" t="s">
        <v>571</v>
      </c>
    </row>
    <row r="21" spans="1:6" x14ac:dyDescent="0.35">
      <c r="A21" s="15" t="s">
        <v>11</v>
      </c>
      <c r="B21" s="31">
        <v>45097</v>
      </c>
      <c r="C21" s="10" t="s">
        <v>12</v>
      </c>
      <c r="D21" s="5">
        <v>52.52</v>
      </c>
      <c r="E21" s="14">
        <v>2683.22</v>
      </c>
      <c r="F21" s="16" t="s">
        <v>572</v>
      </c>
    </row>
    <row r="22" spans="1:6" x14ac:dyDescent="0.35">
      <c r="A22" s="15" t="s">
        <v>11</v>
      </c>
      <c r="B22" s="31">
        <v>45097</v>
      </c>
      <c r="C22" s="10" t="s">
        <v>12</v>
      </c>
      <c r="D22" s="5">
        <v>49.36</v>
      </c>
      <c r="E22" s="5">
        <v>2699.25</v>
      </c>
      <c r="F22" s="16" t="s">
        <v>573</v>
      </c>
    </row>
    <row r="23" spans="1:6" x14ac:dyDescent="0.35">
      <c r="A23" s="15" t="s">
        <v>11</v>
      </c>
      <c r="B23" s="31">
        <v>45097</v>
      </c>
      <c r="C23" s="10" t="s">
        <v>12</v>
      </c>
      <c r="D23" s="5">
        <v>51.3</v>
      </c>
      <c r="E23" s="5">
        <v>2640.94</v>
      </c>
      <c r="F23" s="16" t="s">
        <v>574</v>
      </c>
    </row>
    <row r="24" spans="1:6" x14ac:dyDescent="0.35">
      <c r="A24" s="15" t="s">
        <v>11</v>
      </c>
      <c r="B24" s="31">
        <v>45097</v>
      </c>
      <c r="C24" s="10" t="s">
        <v>12</v>
      </c>
      <c r="D24" s="5">
        <v>51.34</v>
      </c>
      <c r="E24" s="5">
        <v>2636.01</v>
      </c>
      <c r="F24" s="16" t="s">
        <v>575</v>
      </c>
    </row>
    <row r="25" spans="1:6" x14ac:dyDescent="0.35">
      <c r="A25" s="15" t="s">
        <v>11</v>
      </c>
      <c r="B25" s="31">
        <v>45097</v>
      </c>
      <c r="C25" s="10" t="s">
        <v>12</v>
      </c>
      <c r="D25" s="5">
        <v>50.11</v>
      </c>
      <c r="E25" s="5">
        <v>2711.66</v>
      </c>
      <c r="F25" s="16" t="s">
        <v>576</v>
      </c>
    </row>
    <row r="26" spans="1:6" x14ac:dyDescent="0.35">
      <c r="A26" s="15" t="s">
        <v>11</v>
      </c>
      <c r="B26" s="31">
        <v>45097</v>
      </c>
      <c r="C26" s="10" t="s">
        <v>12</v>
      </c>
      <c r="D26" s="5">
        <v>48.8</v>
      </c>
      <c r="E26" s="5">
        <v>2712.39</v>
      </c>
      <c r="F26" s="16" t="s">
        <v>577</v>
      </c>
    </row>
    <row r="27" spans="1:6" x14ac:dyDescent="0.35">
      <c r="A27" s="15" t="s">
        <v>11</v>
      </c>
      <c r="B27" s="31">
        <v>45097</v>
      </c>
      <c r="C27" s="10" t="s">
        <v>12</v>
      </c>
      <c r="D27" s="5">
        <v>51.36</v>
      </c>
      <c r="E27" s="5">
        <v>2239.0100000000002</v>
      </c>
      <c r="F27" s="16" t="s">
        <v>8</v>
      </c>
    </row>
    <row r="28" spans="1:6" x14ac:dyDescent="0.35">
      <c r="A28" s="15" t="s">
        <v>11</v>
      </c>
      <c r="B28" s="31">
        <v>45097</v>
      </c>
      <c r="C28" s="10" t="s">
        <v>12</v>
      </c>
      <c r="D28" s="5">
        <v>50.73</v>
      </c>
      <c r="E28" s="14">
        <v>2231.81</v>
      </c>
      <c r="F28" s="16" t="s">
        <v>9</v>
      </c>
    </row>
    <row r="29" spans="1:6" x14ac:dyDescent="0.35">
      <c r="A29" s="15" t="s">
        <v>11</v>
      </c>
      <c r="B29" s="31">
        <v>45097</v>
      </c>
      <c r="C29" s="10" t="s">
        <v>12</v>
      </c>
      <c r="D29" s="5">
        <v>50.26</v>
      </c>
      <c r="E29" s="5">
        <v>2238.4499999999998</v>
      </c>
      <c r="F29" s="16" t="s">
        <v>96</v>
      </c>
    </row>
    <row r="30" spans="1:6" x14ac:dyDescent="0.35">
      <c r="A30" s="15" t="s">
        <v>11</v>
      </c>
      <c r="B30" s="31">
        <v>45097</v>
      </c>
      <c r="C30" s="10" t="s">
        <v>12</v>
      </c>
      <c r="D30" s="5">
        <v>51.47</v>
      </c>
      <c r="E30" s="5">
        <v>2690.61</v>
      </c>
      <c r="F30" s="16" t="s">
        <v>578</v>
      </c>
    </row>
    <row r="31" spans="1:6" x14ac:dyDescent="0.35">
      <c r="A31" s="15" t="s">
        <v>11</v>
      </c>
      <c r="B31" s="31">
        <v>45097</v>
      </c>
      <c r="C31" s="10" t="s">
        <v>12</v>
      </c>
      <c r="D31" s="5">
        <v>50.06</v>
      </c>
      <c r="E31" s="5">
        <v>2690.75</v>
      </c>
      <c r="F31" s="16" t="s">
        <v>579</v>
      </c>
    </row>
    <row r="32" spans="1:6" x14ac:dyDescent="0.35">
      <c r="A32" s="15" t="s">
        <v>11</v>
      </c>
      <c r="B32" s="31">
        <v>45097</v>
      </c>
      <c r="C32" s="10" t="s">
        <v>12</v>
      </c>
      <c r="D32" s="5">
        <v>50.17</v>
      </c>
      <c r="E32" s="5">
        <v>2691.62</v>
      </c>
      <c r="F32" s="16" t="s">
        <v>580</v>
      </c>
    </row>
    <row r="33" spans="1:6" x14ac:dyDescent="0.35">
      <c r="A33" s="15" t="s">
        <v>11</v>
      </c>
      <c r="B33" s="31">
        <v>45097</v>
      </c>
      <c r="C33" s="10" t="s">
        <v>12</v>
      </c>
      <c r="D33" s="5">
        <v>48.26</v>
      </c>
      <c r="E33" s="5">
        <v>2686.69</v>
      </c>
      <c r="F33" s="16" t="s">
        <v>581</v>
      </c>
    </row>
    <row r="34" spans="1:6" x14ac:dyDescent="0.35">
      <c r="A34" s="15" t="s">
        <v>11</v>
      </c>
      <c r="B34" s="31">
        <v>45097</v>
      </c>
      <c r="C34" s="10" t="s">
        <v>12</v>
      </c>
      <c r="D34" s="5">
        <v>50.08</v>
      </c>
      <c r="E34" s="14">
        <v>2557.08</v>
      </c>
      <c r="F34" s="16" t="s">
        <v>582</v>
      </c>
    </row>
    <row r="35" spans="1:6" x14ac:dyDescent="0.35">
      <c r="A35" s="15" t="s">
        <v>11</v>
      </c>
      <c r="B35" s="31">
        <v>45097</v>
      </c>
      <c r="C35" s="10" t="s">
        <v>12</v>
      </c>
      <c r="D35" s="5">
        <v>50.13</v>
      </c>
      <c r="E35" s="5">
        <v>2533.56</v>
      </c>
      <c r="F35" s="16" t="s">
        <v>583</v>
      </c>
    </row>
    <row r="36" spans="1:6" x14ac:dyDescent="0.35">
      <c r="A36" s="15" t="s">
        <v>11</v>
      </c>
      <c r="B36" s="31">
        <v>45097</v>
      </c>
      <c r="C36" s="10" t="s">
        <v>12</v>
      </c>
      <c r="D36" s="5">
        <v>50.27</v>
      </c>
      <c r="E36" s="5">
        <v>2538.44</v>
      </c>
      <c r="F36" s="16" t="s">
        <v>584</v>
      </c>
    </row>
    <row r="37" spans="1:6" x14ac:dyDescent="0.35">
      <c r="A37" s="15" t="s">
        <v>11</v>
      </c>
      <c r="B37" s="31">
        <v>45097</v>
      </c>
      <c r="C37" s="10" t="s">
        <v>12</v>
      </c>
      <c r="D37" s="5">
        <v>49.95</v>
      </c>
      <c r="E37" s="5">
        <v>2543.7600000000002</v>
      </c>
      <c r="F37" s="16" t="s">
        <v>585</v>
      </c>
    </row>
    <row r="38" spans="1:6" x14ac:dyDescent="0.35">
      <c r="A38" s="15" t="s">
        <v>11</v>
      </c>
      <c r="B38" s="31">
        <v>45097</v>
      </c>
      <c r="C38" s="10" t="s">
        <v>12</v>
      </c>
      <c r="D38" s="5">
        <v>50.02</v>
      </c>
      <c r="E38" s="14">
        <v>2532.9699999999998</v>
      </c>
      <c r="F38" s="16" t="s">
        <v>586</v>
      </c>
    </row>
    <row r="39" spans="1:6" x14ac:dyDescent="0.35">
      <c r="A39" s="15" t="s">
        <v>11</v>
      </c>
      <c r="B39" s="31">
        <v>45097</v>
      </c>
      <c r="C39" s="10" t="s">
        <v>12</v>
      </c>
      <c r="D39" s="5">
        <v>50.06</v>
      </c>
      <c r="E39" s="5">
        <v>2539.91</v>
      </c>
      <c r="F39" s="16" t="s">
        <v>587</v>
      </c>
    </row>
    <row r="40" spans="1:6" x14ac:dyDescent="0.35">
      <c r="A40" s="15" t="s">
        <v>11</v>
      </c>
      <c r="B40" s="31">
        <v>45097</v>
      </c>
      <c r="C40" s="10" t="s">
        <v>12</v>
      </c>
      <c r="D40" s="5">
        <v>50.55</v>
      </c>
      <c r="E40" s="5">
        <v>2542.6</v>
      </c>
      <c r="F40" s="16" t="s">
        <v>588</v>
      </c>
    </row>
    <row r="41" spans="1:6" x14ac:dyDescent="0.35">
      <c r="A41" s="15" t="s">
        <v>11</v>
      </c>
      <c r="B41" s="31">
        <v>45097</v>
      </c>
      <c r="C41" s="10" t="s">
        <v>12</v>
      </c>
      <c r="D41" s="5">
        <v>48.6</v>
      </c>
      <c r="E41" s="14">
        <v>2526.31</v>
      </c>
      <c r="F41" s="16" t="s">
        <v>589</v>
      </c>
    </row>
    <row r="42" spans="1:6" x14ac:dyDescent="0.35">
      <c r="A42" s="15" t="s">
        <v>11</v>
      </c>
      <c r="B42" s="31">
        <v>45097</v>
      </c>
      <c r="C42" s="10" t="s">
        <v>12</v>
      </c>
      <c r="D42" s="5">
        <v>50.59</v>
      </c>
      <c r="E42" s="5">
        <v>2538.9299999999998</v>
      </c>
      <c r="F42" s="16" t="s">
        <v>590</v>
      </c>
    </row>
    <row r="43" spans="1:6" x14ac:dyDescent="0.35">
      <c r="A43" s="15" t="s">
        <v>11</v>
      </c>
      <c r="B43" s="31">
        <v>45097</v>
      </c>
      <c r="C43" s="10" t="s">
        <v>12</v>
      </c>
      <c r="D43" s="5">
        <v>50.83</v>
      </c>
      <c r="E43" s="5">
        <v>2701.73</v>
      </c>
      <c r="F43" s="16" t="s">
        <v>591</v>
      </c>
    </row>
    <row r="44" spans="1:6" x14ac:dyDescent="0.35">
      <c r="A44" s="15" t="s">
        <v>11</v>
      </c>
      <c r="B44" s="31">
        <v>45097</v>
      </c>
      <c r="C44" s="10" t="s">
        <v>12</v>
      </c>
      <c r="D44" s="5">
        <v>50.75</v>
      </c>
      <c r="E44" s="14">
        <v>2690.09</v>
      </c>
      <c r="F44" s="16" t="s">
        <v>592</v>
      </c>
    </row>
    <row r="45" spans="1:6" x14ac:dyDescent="0.35">
      <c r="A45" s="15" t="s">
        <v>11</v>
      </c>
      <c r="B45" s="31">
        <v>45097</v>
      </c>
      <c r="C45" s="10" t="s">
        <v>12</v>
      </c>
      <c r="D45" s="5">
        <v>48.88</v>
      </c>
      <c r="E45" s="14">
        <v>2710.48</v>
      </c>
      <c r="F45" s="16" t="s">
        <v>593</v>
      </c>
    </row>
    <row r="46" spans="1:6" x14ac:dyDescent="0.35">
      <c r="A46" s="15" t="s">
        <v>11</v>
      </c>
      <c r="B46" s="31">
        <v>45098</v>
      </c>
      <c r="C46" s="10" t="s">
        <v>12</v>
      </c>
      <c r="D46" s="5">
        <v>48.6</v>
      </c>
      <c r="E46" s="5">
        <v>2700.17</v>
      </c>
      <c r="F46" s="16" t="s">
        <v>594</v>
      </c>
    </row>
    <row r="47" spans="1:6" x14ac:dyDescent="0.35">
      <c r="A47" s="15" t="s">
        <v>11</v>
      </c>
      <c r="B47" s="31">
        <v>45098</v>
      </c>
      <c r="C47" s="10" t="s">
        <v>12</v>
      </c>
      <c r="D47" s="5">
        <v>50.3</v>
      </c>
      <c r="E47" s="14">
        <v>2240.85</v>
      </c>
      <c r="F47" s="16" t="s">
        <v>8</v>
      </c>
    </row>
    <row r="48" spans="1:6" x14ac:dyDescent="0.35">
      <c r="A48" s="15" t="s">
        <v>11</v>
      </c>
      <c r="B48" s="31">
        <v>45098</v>
      </c>
      <c r="C48" s="10" t="s">
        <v>12</v>
      </c>
      <c r="D48" s="5">
        <v>51.28</v>
      </c>
      <c r="E48" s="5">
        <v>2233.3200000000002</v>
      </c>
      <c r="F48" s="16" t="s">
        <v>9</v>
      </c>
    </row>
    <row r="49" spans="1:6" x14ac:dyDescent="0.35">
      <c r="A49" s="15" t="s">
        <v>11</v>
      </c>
      <c r="B49" s="31">
        <v>45098</v>
      </c>
      <c r="C49" s="10" t="s">
        <v>12</v>
      </c>
      <c r="D49" s="5">
        <v>50.69</v>
      </c>
      <c r="E49" s="5">
        <v>2237.23</v>
      </c>
      <c r="F49" s="16" t="s">
        <v>96</v>
      </c>
    </row>
    <row r="50" spans="1:6" x14ac:dyDescent="0.35">
      <c r="A50" s="15" t="s">
        <v>11</v>
      </c>
      <c r="B50" s="31">
        <v>45098</v>
      </c>
      <c r="C50" s="10" t="s">
        <v>12</v>
      </c>
      <c r="D50" s="5">
        <v>48.44</v>
      </c>
      <c r="E50" s="5">
        <v>2593.87</v>
      </c>
      <c r="F50" s="16" t="s">
        <v>595</v>
      </c>
    </row>
    <row r="51" spans="1:6" x14ac:dyDescent="0.35">
      <c r="A51" s="15" t="s">
        <v>11</v>
      </c>
      <c r="B51" s="31">
        <v>45098</v>
      </c>
      <c r="C51" s="10" t="s">
        <v>12</v>
      </c>
      <c r="D51" s="5">
        <v>50.4</v>
      </c>
      <c r="E51" s="5">
        <v>2597.9899999999998</v>
      </c>
      <c r="F51" s="16" t="s">
        <v>596</v>
      </c>
    </row>
    <row r="52" spans="1:6" x14ac:dyDescent="0.35">
      <c r="A52" s="15" t="s">
        <v>11</v>
      </c>
      <c r="B52" s="31">
        <v>45098</v>
      </c>
      <c r="C52" s="10" t="s">
        <v>12</v>
      </c>
      <c r="D52" s="5">
        <v>50.8</v>
      </c>
      <c r="E52" s="5">
        <v>2601.64</v>
      </c>
      <c r="F52" s="16" t="s">
        <v>597</v>
      </c>
    </row>
    <row r="53" spans="1:6" x14ac:dyDescent="0.35">
      <c r="A53" s="15" t="s">
        <v>11</v>
      </c>
      <c r="B53" s="31">
        <v>45098</v>
      </c>
      <c r="C53" s="10" t="s">
        <v>12</v>
      </c>
      <c r="D53" s="5">
        <v>51.91</v>
      </c>
      <c r="E53" s="5">
        <v>2597.6</v>
      </c>
      <c r="F53" s="16" t="s">
        <v>598</v>
      </c>
    </row>
    <row r="54" spans="1:6" x14ac:dyDescent="0.35">
      <c r="A54" s="15" t="s">
        <v>11</v>
      </c>
      <c r="B54" s="31">
        <v>45098</v>
      </c>
      <c r="C54" s="10" t="s">
        <v>12</v>
      </c>
      <c r="D54" s="5">
        <v>51.17</v>
      </c>
      <c r="E54" s="5">
        <v>2555.08</v>
      </c>
      <c r="F54" s="16" t="s">
        <v>599</v>
      </c>
    </row>
    <row r="55" spans="1:6" x14ac:dyDescent="0.35">
      <c r="A55" s="15" t="s">
        <v>11</v>
      </c>
      <c r="B55" s="31">
        <v>45098</v>
      </c>
      <c r="C55" s="10" t="s">
        <v>12</v>
      </c>
      <c r="D55" s="5">
        <v>51.28</v>
      </c>
      <c r="E55" s="5">
        <v>2561.9899999999998</v>
      </c>
      <c r="F55" s="16" t="s">
        <v>600</v>
      </c>
    </row>
    <row r="56" spans="1:6" x14ac:dyDescent="0.35">
      <c r="A56" s="15" t="s">
        <v>11</v>
      </c>
      <c r="B56" s="31">
        <v>45098</v>
      </c>
      <c r="C56" s="10" t="s">
        <v>12</v>
      </c>
      <c r="D56" s="5">
        <v>51.51</v>
      </c>
      <c r="E56" s="5">
        <v>2684.96</v>
      </c>
      <c r="F56" s="16" t="s">
        <v>601</v>
      </c>
    </row>
    <row r="57" spans="1:6" x14ac:dyDescent="0.35">
      <c r="A57" s="15" t="s">
        <v>11</v>
      </c>
      <c r="B57" s="31">
        <v>45098</v>
      </c>
      <c r="C57" s="10" t="s">
        <v>12</v>
      </c>
      <c r="D57" s="5">
        <v>49.79</v>
      </c>
      <c r="E57" s="5">
        <v>2681.63</v>
      </c>
      <c r="F57" s="16" t="s">
        <v>602</v>
      </c>
    </row>
    <row r="58" spans="1:6" x14ac:dyDescent="0.35">
      <c r="A58" s="15" t="s">
        <v>11</v>
      </c>
      <c r="B58" s="31">
        <v>45099</v>
      </c>
      <c r="C58" s="10" t="s">
        <v>12</v>
      </c>
      <c r="D58" s="5">
        <v>49.98</v>
      </c>
      <c r="E58" s="14">
        <v>2715.04</v>
      </c>
      <c r="F58" s="16" t="s">
        <v>603</v>
      </c>
    </row>
    <row r="59" spans="1:6" x14ac:dyDescent="0.35">
      <c r="A59" s="15" t="s">
        <v>11</v>
      </c>
      <c r="B59" s="31">
        <v>45099</v>
      </c>
      <c r="C59" s="10" t="s">
        <v>12</v>
      </c>
      <c r="D59" s="5">
        <v>50.43</v>
      </c>
      <c r="E59" s="5">
        <v>2692.92</v>
      </c>
      <c r="F59" s="16" t="s">
        <v>604</v>
      </c>
    </row>
    <row r="60" spans="1:6" x14ac:dyDescent="0.35">
      <c r="A60" s="15" t="s">
        <v>11</v>
      </c>
      <c r="B60" s="31">
        <v>45099</v>
      </c>
      <c r="C60" s="10" t="s">
        <v>12</v>
      </c>
      <c r="D60" s="5">
        <v>50.15</v>
      </c>
      <c r="E60" s="5">
        <v>2693.4</v>
      </c>
      <c r="F60" s="16" t="s">
        <v>605</v>
      </c>
    </row>
    <row r="61" spans="1:6" x14ac:dyDescent="0.35">
      <c r="A61" s="15" t="s">
        <v>11</v>
      </c>
      <c r="B61" s="31">
        <v>45099</v>
      </c>
      <c r="C61" s="10" t="s">
        <v>12</v>
      </c>
      <c r="D61" s="5">
        <v>50.55</v>
      </c>
      <c r="E61" s="5">
        <v>2686.54</v>
      </c>
      <c r="F61" s="16" t="s">
        <v>606</v>
      </c>
    </row>
    <row r="62" spans="1:6" x14ac:dyDescent="0.35">
      <c r="A62" s="15" t="s">
        <v>11</v>
      </c>
      <c r="B62" s="31">
        <v>45099</v>
      </c>
      <c r="C62" s="10" t="s">
        <v>12</v>
      </c>
      <c r="D62" s="5">
        <v>50.75</v>
      </c>
      <c r="E62" s="5">
        <v>2681.8</v>
      </c>
      <c r="F62" s="16" t="s">
        <v>607</v>
      </c>
    </row>
    <row r="63" spans="1:6" x14ac:dyDescent="0.35">
      <c r="A63" s="15" t="s">
        <v>11</v>
      </c>
      <c r="B63" s="31">
        <v>45099</v>
      </c>
      <c r="C63" s="10" t="s">
        <v>12</v>
      </c>
      <c r="D63" s="5">
        <v>49.37</v>
      </c>
      <c r="E63" s="5">
        <v>2538.7600000000002</v>
      </c>
      <c r="F63" s="16" t="s">
        <v>608</v>
      </c>
    </row>
    <row r="64" spans="1:6" x14ac:dyDescent="0.35">
      <c r="A64" s="15" t="s">
        <v>11</v>
      </c>
      <c r="B64" s="31">
        <v>45099</v>
      </c>
      <c r="C64" s="10" t="s">
        <v>12</v>
      </c>
      <c r="D64" s="5">
        <v>50.21</v>
      </c>
      <c r="E64" s="14">
        <v>2524.25</v>
      </c>
      <c r="F64" s="16" t="s">
        <v>609</v>
      </c>
    </row>
    <row r="65" spans="1:6" x14ac:dyDescent="0.35">
      <c r="A65" s="15" t="s">
        <v>11</v>
      </c>
      <c r="B65" s="31">
        <v>45099</v>
      </c>
      <c r="C65" s="10" t="s">
        <v>12</v>
      </c>
      <c r="D65" s="5">
        <v>48.43</v>
      </c>
      <c r="E65" s="5">
        <v>2539.6799999999998</v>
      </c>
      <c r="F65" s="16" t="s">
        <v>610</v>
      </c>
    </row>
    <row r="66" spans="1:6" x14ac:dyDescent="0.35">
      <c r="A66" s="15" t="s">
        <v>11</v>
      </c>
      <c r="B66" s="31">
        <v>45099</v>
      </c>
      <c r="C66" s="10" t="s">
        <v>12</v>
      </c>
      <c r="D66" s="5">
        <v>50.41</v>
      </c>
      <c r="E66" s="14">
        <v>2578.7800000000002</v>
      </c>
      <c r="F66" s="16" t="s">
        <v>611</v>
      </c>
    </row>
    <row r="67" spans="1:6" x14ac:dyDescent="0.35">
      <c r="A67" s="15" t="s">
        <v>11</v>
      </c>
      <c r="B67" s="31">
        <v>45099</v>
      </c>
      <c r="C67" s="10" t="s">
        <v>12</v>
      </c>
      <c r="D67" s="5">
        <v>49.38</v>
      </c>
      <c r="E67" s="5">
        <v>2592.5</v>
      </c>
      <c r="F67" s="16" t="s">
        <v>612</v>
      </c>
    </row>
    <row r="68" spans="1:6" x14ac:dyDescent="0.35">
      <c r="A68" s="15" t="s">
        <v>11</v>
      </c>
      <c r="B68" s="31">
        <v>45099</v>
      </c>
      <c r="C68" s="10" t="s">
        <v>12</v>
      </c>
      <c r="D68" s="5">
        <v>49.42</v>
      </c>
      <c r="E68" s="5">
        <v>2588.16</v>
      </c>
      <c r="F68" s="16" t="s">
        <v>613</v>
      </c>
    </row>
    <row r="69" spans="1:6" x14ac:dyDescent="0.35">
      <c r="A69" s="15" t="s">
        <v>11</v>
      </c>
      <c r="B69" s="31">
        <v>45099</v>
      </c>
      <c r="C69" s="10" t="s">
        <v>12</v>
      </c>
      <c r="D69" s="5">
        <v>51.38</v>
      </c>
      <c r="E69" s="14">
        <v>2545.4299999999998</v>
      </c>
      <c r="F69" s="16" t="s">
        <v>614</v>
      </c>
    </row>
    <row r="70" spans="1:6" x14ac:dyDescent="0.35">
      <c r="A70" s="15" t="s">
        <v>11</v>
      </c>
      <c r="B70" s="31">
        <v>45099</v>
      </c>
      <c r="C70" s="10" t="s">
        <v>12</v>
      </c>
      <c r="D70" s="5">
        <v>51.28</v>
      </c>
      <c r="E70" s="5">
        <v>2560.7199999999998</v>
      </c>
      <c r="F70" s="16" t="s">
        <v>615</v>
      </c>
    </row>
    <row r="71" spans="1:6" x14ac:dyDescent="0.35">
      <c r="A71" s="15" t="s">
        <v>11</v>
      </c>
      <c r="B71" s="31">
        <v>45099</v>
      </c>
      <c r="C71" s="10" t="s">
        <v>12</v>
      </c>
      <c r="D71" s="5">
        <v>50.12</v>
      </c>
      <c r="E71" s="5">
        <v>2556.3200000000002</v>
      </c>
      <c r="F71" s="16" t="s">
        <v>616</v>
      </c>
    </row>
    <row r="72" spans="1:6" x14ac:dyDescent="0.35">
      <c r="A72" s="15" t="s">
        <v>11</v>
      </c>
      <c r="B72" s="31">
        <v>45099</v>
      </c>
      <c r="C72" s="10" t="s">
        <v>12</v>
      </c>
      <c r="D72" s="5">
        <v>51.33</v>
      </c>
      <c r="E72" s="5">
        <v>2680.89</v>
      </c>
      <c r="F72" s="16" t="s">
        <v>617</v>
      </c>
    </row>
    <row r="73" spans="1:6" x14ac:dyDescent="0.35">
      <c r="A73" s="15" t="s">
        <v>11</v>
      </c>
      <c r="B73" s="31">
        <v>45099</v>
      </c>
      <c r="C73" s="10" t="s">
        <v>12</v>
      </c>
      <c r="D73" s="5">
        <v>51.22</v>
      </c>
      <c r="E73" s="5">
        <v>2676.85</v>
      </c>
      <c r="F73" s="16" t="s">
        <v>618</v>
      </c>
    </row>
    <row r="74" spans="1:6" x14ac:dyDescent="0.35">
      <c r="A74" s="15" t="s">
        <v>11</v>
      </c>
      <c r="B74" s="31">
        <v>45099</v>
      </c>
      <c r="C74" s="10" t="s">
        <v>12</v>
      </c>
      <c r="D74" s="5">
        <v>53.6</v>
      </c>
      <c r="E74" s="14">
        <v>2626.42</v>
      </c>
      <c r="F74" s="16" t="s">
        <v>619</v>
      </c>
    </row>
    <row r="75" spans="1:6" x14ac:dyDescent="0.35">
      <c r="A75" s="15" t="s">
        <v>11</v>
      </c>
      <c r="B75" s="31">
        <v>45099</v>
      </c>
      <c r="C75" s="10" t="s">
        <v>12</v>
      </c>
      <c r="D75" s="5">
        <v>51.26</v>
      </c>
      <c r="E75" s="5">
        <v>2613.58</v>
      </c>
      <c r="F75" s="16" t="s">
        <v>620</v>
      </c>
    </row>
    <row r="76" spans="1:6" x14ac:dyDescent="0.35">
      <c r="A76" s="15" t="s">
        <v>11</v>
      </c>
      <c r="B76" s="31">
        <v>45099</v>
      </c>
      <c r="C76" s="10" t="s">
        <v>12</v>
      </c>
      <c r="D76" s="5">
        <v>50.69</v>
      </c>
      <c r="E76" s="5">
        <v>2619.02</v>
      </c>
      <c r="F76" s="16" t="s">
        <v>621</v>
      </c>
    </row>
    <row r="77" spans="1:6" x14ac:dyDescent="0.35">
      <c r="A77" s="15" t="s">
        <v>11</v>
      </c>
      <c r="B77" s="31">
        <v>45099</v>
      </c>
      <c r="C77" s="10" t="s">
        <v>12</v>
      </c>
      <c r="D77" s="5">
        <v>53.95</v>
      </c>
      <c r="E77" s="5">
        <v>2543.17</v>
      </c>
      <c r="F77" s="16" t="s">
        <v>622</v>
      </c>
    </row>
    <row r="78" spans="1:6" x14ac:dyDescent="0.35">
      <c r="A78" s="15" t="s">
        <v>11</v>
      </c>
      <c r="B78" s="31">
        <v>45099</v>
      </c>
      <c r="C78" s="10" t="s">
        <v>12</v>
      </c>
      <c r="D78" s="5">
        <v>51</v>
      </c>
      <c r="E78" s="14">
        <v>2532.25</v>
      </c>
      <c r="F78" s="16" t="s">
        <v>623</v>
      </c>
    </row>
    <row r="79" spans="1:6" x14ac:dyDescent="0.35">
      <c r="A79" s="15" t="s">
        <v>11</v>
      </c>
      <c r="B79" s="31">
        <v>45099</v>
      </c>
      <c r="C79" s="10" t="s">
        <v>12</v>
      </c>
      <c r="D79" s="5">
        <v>50.84</v>
      </c>
      <c r="E79" s="5">
        <v>2548.73</v>
      </c>
      <c r="F79" s="16" t="s">
        <v>624</v>
      </c>
    </row>
    <row r="80" spans="1:6" x14ac:dyDescent="0.35">
      <c r="A80" s="15" t="s">
        <v>11</v>
      </c>
      <c r="B80" s="31">
        <v>45099</v>
      </c>
      <c r="C80" s="10" t="s">
        <v>12</v>
      </c>
      <c r="D80" s="5">
        <v>50.39</v>
      </c>
      <c r="E80" s="14">
        <v>2552.04</v>
      </c>
      <c r="F80" s="16" t="s">
        <v>625</v>
      </c>
    </row>
    <row r="81" spans="1:6" x14ac:dyDescent="0.35">
      <c r="A81" s="15" t="s">
        <v>11</v>
      </c>
      <c r="B81" s="31">
        <v>45099</v>
      </c>
      <c r="C81" s="10" t="s">
        <v>12</v>
      </c>
      <c r="D81" s="5">
        <v>49.68</v>
      </c>
      <c r="E81" s="5">
        <v>2593.4699999999998</v>
      </c>
      <c r="F81" s="16" t="s">
        <v>626</v>
      </c>
    </row>
    <row r="82" spans="1:6" x14ac:dyDescent="0.35">
      <c r="A82" s="15" t="s">
        <v>11</v>
      </c>
      <c r="B82" s="31">
        <v>45099</v>
      </c>
      <c r="C82" s="10" t="s">
        <v>12</v>
      </c>
      <c r="D82" s="5">
        <v>50.42</v>
      </c>
      <c r="E82" s="5">
        <v>2596.79</v>
      </c>
      <c r="F82" s="16" t="s">
        <v>627</v>
      </c>
    </row>
    <row r="83" spans="1:6" x14ac:dyDescent="0.35">
      <c r="A83" s="15" t="s">
        <v>11</v>
      </c>
      <c r="B83" s="31">
        <v>45099</v>
      </c>
      <c r="C83" s="10" t="s">
        <v>12</v>
      </c>
      <c r="D83" s="5">
        <v>51.14</v>
      </c>
      <c r="E83" s="5">
        <v>2689.54</v>
      </c>
      <c r="F83" s="16" t="s">
        <v>628</v>
      </c>
    </row>
    <row r="84" spans="1:6" x14ac:dyDescent="0.35">
      <c r="A84" s="15" t="s">
        <v>11</v>
      </c>
      <c r="B84" s="31">
        <v>45099</v>
      </c>
      <c r="C84" s="10" t="s">
        <v>12</v>
      </c>
      <c r="D84" s="5">
        <v>50.5</v>
      </c>
      <c r="E84" s="5">
        <v>2685.28</v>
      </c>
      <c r="F84" s="16" t="s">
        <v>629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Alice Mirasole</cp:lastModifiedBy>
  <dcterms:created xsi:type="dcterms:W3CDTF">2023-05-11T07:18:49Z</dcterms:created>
  <dcterms:modified xsi:type="dcterms:W3CDTF">2023-09-13T13:18:18Z</dcterms:modified>
</cp:coreProperties>
</file>