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jeremycarlot/Documents/Post-Doc – LOV/Projets/Villefranche/Projets/BenthFun – Jeremy/BenthFun/Data/6. Nutrients/"/>
    </mc:Choice>
  </mc:AlternateContent>
  <xr:revisionPtr revIDLastSave="0" documentId="13_ncr:1_{62481FF0-4CF7-5943-9A7C-8EC2CF605395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4" i="1" l="1"/>
  <c r="D246" i="1"/>
  <c r="D247" i="1"/>
  <c r="D243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4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" i="1"/>
</calcChain>
</file>

<file path=xl/sharedStrings.xml><?xml version="1.0" encoding="utf-8"?>
<sst xmlns="http://schemas.openxmlformats.org/spreadsheetml/2006/main" count="1095" uniqueCount="300">
  <si>
    <t>DATA ANALYSIS</t>
  </si>
  <si>
    <r>
      <t>NH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(mmol m</t>
    </r>
    <r>
      <rPr>
        <b/>
        <vertAlign val="superscript"/>
        <sz val="11"/>
        <color theme="1"/>
        <rFont val="Calibri"/>
        <family val="2"/>
        <scheme val="minor"/>
      </rPr>
      <t>-3)</t>
    </r>
  </si>
  <si>
    <r>
      <t>PO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 xml:space="preserve"> (mmol m</t>
    </r>
    <r>
      <rPr>
        <b/>
        <vertAlign val="superscript"/>
        <sz val="11"/>
        <color theme="1"/>
        <rFont val="Calibri"/>
        <family val="2"/>
        <scheme val="minor"/>
      </rPr>
      <t>-3</t>
    </r>
    <r>
      <rPr>
        <b/>
        <sz val="11"/>
        <color theme="1"/>
        <rFont val="Calibri"/>
        <family val="2"/>
        <scheme val="minor"/>
      </rPr>
      <t>)</t>
    </r>
  </si>
  <si>
    <r>
      <t>NO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(mmol m</t>
    </r>
    <r>
      <rPr>
        <b/>
        <vertAlign val="superscript"/>
        <sz val="11"/>
        <color theme="1"/>
        <rFont val="Calibri"/>
        <family val="2"/>
        <scheme val="minor"/>
      </rPr>
      <t>-3</t>
    </r>
    <r>
      <rPr>
        <b/>
        <sz val="11"/>
        <color theme="1"/>
        <rFont val="Calibri"/>
        <family val="2"/>
        <scheme val="minor"/>
      </rPr>
      <t>)</t>
    </r>
  </si>
  <si>
    <r>
      <t>NO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(mmol m</t>
    </r>
    <r>
      <rPr>
        <b/>
        <vertAlign val="superscript"/>
        <sz val="11"/>
        <color theme="1"/>
        <rFont val="Calibri"/>
        <family val="2"/>
        <scheme val="minor"/>
      </rPr>
      <t>-3</t>
    </r>
    <r>
      <rPr>
        <b/>
        <sz val="11"/>
        <color theme="1"/>
        <rFont val="Calibri"/>
        <family val="2"/>
        <scheme val="minor"/>
      </rPr>
      <t>)</t>
    </r>
  </si>
  <si>
    <r>
      <t>SiO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 xml:space="preserve"> (mmol m</t>
    </r>
    <r>
      <rPr>
        <b/>
        <vertAlign val="superscript"/>
        <sz val="11"/>
        <color theme="1"/>
        <rFont val="Calibri"/>
        <family val="2"/>
        <scheme val="minor"/>
      </rPr>
      <t>-3</t>
    </r>
    <r>
      <rPr>
        <b/>
        <sz val="11"/>
        <color theme="1"/>
        <rFont val="Calibri"/>
        <family val="2"/>
        <scheme val="minor"/>
      </rPr>
      <t>)</t>
    </r>
  </si>
  <si>
    <t>Package</t>
  </si>
  <si>
    <t>Pack1</t>
  </si>
  <si>
    <t>Pack2</t>
  </si>
  <si>
    <t>Pack4</t>
  </si>
  <si>
    <t>Pack5</t>
  </si>
  <si>
    <t>Pack6</t>
  </si>
  <si>
    <t>Pack7</t>
  </si>
  <si>
    <t>Pack8</t>
  </si>
  <si>
    <t>Pack9</t>
  </si>
  <si>
    <t>Pack11</t>
  </si>
  <si>
    <t>Pack13</t>
  </si>
  <si>
    <t>Pack15</t>
  </si>
  <si>
    <t>Sample</t>
  </si>
  <si>
    <t>Tn_t0_ELOW_blank_01</t>
  </si>
  <si>
    <t>Tn_t0_ELOW_blank_02</t>
  </si>
  <si>
    <t>Tn_t1_ELOW_tile_01</t>
  </si>
  <si>
    <t>Tn_t1_ELOW_tile_02</t>
  </si>
  <si>
    <t>Tn_t1_ELOW_tile_03</t>
  </si>
  <si>
    <t>Tn_t1_ELOW_tile_04</t>
  </si>
  <si>
    <t>Tn_t1_ELOW_tile_05</t>
  </si>
  <si>
    <t>Tn_t1_ELOW_tile_06</t>
  </si>
  <si>
    <t>Tn_t1_ELOW_blank_01</t>
  </si>
  <si>
    <t>Tn_t1_ELOW_blank_02</t>
  </si>
  <si>
    <t>Tn_t0_LOW_blank_01</t>
  </si>
  <si>
    <t>Tn_t0_LOW_blank_02</t>
  </si>
  <si>
    <t>Tn_t1_LOW_tile_01</t>
  </si>
  <si>
    <t>Tn_t1_LOW_tile_02</t>
  </si>
  <si>
    <t>Tn_t1_LOW_tile_03</t>
  </si>
  <si>
    <t>Tn_t1_LOW_tile_04</t>
  </si>
  <si>
    <t>Tn_t1_LOW_tile_05</t>
  </si>
  <si>
    <t>Tn_t1_LOW_blank_01</t>
  </si>
  <si>
    <t>Tn_t1_LOW_blank_02</t>
  </si>
  <si>
    <t>Tn_t0_AMB_blank_01</t>
  </si>
  <si>
    <t>Tn_t0_AMB_blank_02</t>
  </si>
  <si>
    <t>Tn_t1_AMB_tile_01</t>
  </si>
  <si>
    <t>Tn_t1_AMB_tile_02</t>
  </si>
  <si>
    <t>Tn_t1_AMB_tile_03</t>
  </si>
  <si>
    <t>Tn_t1_AMB_tile_04</t>
  </si>
  <si>
    <t>Tn_t1_AMB_tile_05</t>
  </si>
  <si>
    <t>Tn_t1_AMB_tile_06</t>
  </si>
  <si>
    <t>Tn_t1_AMB_blank_01</t>
  </si>
  <si>
    <t>Tn_t1_AMB_blank_02</t>
  </si>
  <si>
    <t>T2_t0_ELOW_blank_01</t>
  </si>
  <si>
    <t>T2_t0_ELOW_blank_02</t>
  </si>
  <si>
    <t>T2_t1_ELOW_tile_01</t>
  </si>
  <si>
    <t>T2_t1_ELOW_tile_02</t>
  </si>
  <si>
    <t>T2_t1_ELOW_tile_03</t>
  </si>
  <si>
    <t>T2_t1_ELOW_tile_04</t>
  </si>
  <si>
    <t>T2_t1_ELOW_tile_05</t>
  </si>
  <si>
    <t>T2_t1_ELOW_tile_06</t>
  </si>
  <si>
    <t>T2_t1_ELOW_blank_01</t>
  </si>
  <si>
    <t>T2_t1_ELOW_blank_02</t>
  </si>
  <si>
    <t>T2_t0_LOW_blank_01</t>
  </si>
  <si>
    <t>T2_t0_LOW_blank_02</t>
  </si>
  <si>
    <t>T2_t1_LOW_tile_01</t>
  </si>
  <si>
    <t>T2_t1_LOW_tile_02</t>
  </si>
  <si>
    <t>T2_t1_LOW_tile_03</t>
  </si>
  <si>
    <t>T2_t1_LOW_tile_04</t>
  </si>
  <si>
    <t>T2_t1_LOW_tile_05</t>
  </si>
  <si>
    <t>T2_t1_LOW_tile_06</t>
  </si>
  <si>
    <t>T2_t1_LOW_blank_01</t>
  </si>
  <si>
    <t>T2_t1_LOW_blank_02</t>
  </si>
  <si>
    <t>T2_t0_AMB_blank_01</t>
  </si>
  <si>
    <t>T2_t0_AMB_blank_02</t>
  </si>
  <si>
    <t>T2_t1_AMB_tile_01</t>
  </si>
  <si>
    <t>T2_t1_AMB_tile_02</t>
  </si>
  <si>
    <t>T2_t1_AMB_tile_03</t>
  </si>
  <si>
    <t>T2_t1_AMB_tile_04</t>
  </si>
  <si>
    <t>T2_t1_AMB_tile_05</t>
  </si>
  <si>
    <t>T2_t1_AMB_tile_06</t>
  </si>
  <si>
    <t>T2_t1_AMB_blank_01</t>
  </si>
  <si>
    <t>T2_t1_AMB_blank_02</t>
  </si>
  <si>
    <t>T3_t0_ELOW_blank_01</t>
  </si>
  <si>
    <t>T3_t0_ELOW_blank_02</t>
  </si>
  <si>
    <t>T3_t1_ELOW_tile_01</t>
  </si>
  <si>
    <t>T3_t1_ELOW_tile_02</t>
  </si>
  <si>
    <t>T3_t1_ELOW_tile_03</t>
  </si>
  <si>
    <t>T3_t1_ELOW_tile_04</t>
  </si>
  <si>
    <t>T3_t1_ELOW_tile_05</t>
  </si>
  <si>
    <t>T3_t1_ELOW_tile_06</t>
  </si>
  <si>
    <t>T3_t1_ELOW_blank_01</t>
  </si>
  <si>
    <t>T3_t1_ELOW_blank_02</t>
  </si>
  <si>
    <t>T3_t0_LOW_blank_01</t>
  </si>
  <si>
    <t>T3_t0_LOW_blank_02</t>
  </si>
  <si>
    <t>T3_t1_LOW_tile_01</t>
  </si>
  <si>
    <t>T3_t1_LOW_tile_02</t>
  </si>
  <si>
    <t>T3_t1_LOW_tile_03</t>
  </si>
  <si>
    <t>T3_t1_LOW_tile_04</t>
  </si>
  <si>
    <t>T3_t1_LOW_tile_05</t>
  </si>
  <si>
    <t>T3_t1_LOW_tile_06</t>
  </si>
  <si>
    <t>T3_t1_LOW_blank_01</t>
  </si>
  <si>
    <t>T3_t1_LOW_blank_02</t>
  </si>
  <si>
    <t>T3_t0_AMB_blank_01</t>
  </si>
  <si>
    <t>T3_t0_AMB_blank_02</t>
  </si>
  <si>
    <t>T3_t1_AMB_tile_01</t>
  </si>
  <si>
    <t>T3_t1_AMB_tile_02</t>
  </si>
  <si>
    <t>T3_t1_AMB_tile_03</t>
  </si>
  <si>
    <t>T3_t1_AMB_tile_04</t>
  </si>
  <si>
    <t>T3_t1_AMB_tile_05</t>
  </si>
  <si>
    <t>T3_t1_AMB_tile_06</t>
  </si>
  <si>
    <t>T3_t1_AMB_blank_01</t>
  </si>
  <si>
    <t>T3_t1_AMB_blank_02</t>
  </si>
  <si>
    <t>Tn2_t0_ELOW_blank_02</t>
  </si>
  <si>
    <t>Tn2_t1_ELOW_tile_01</t>
  </si>
  <si>
    <t>Tn2_t1_ELOW_tile_02</t>
  </si>
  <si>
    <t>Tn2_t1_ELOW_tile_03</t>
  </si>
  <si>
    <t>Tn2_t0_ELOW_blank_01</t>
  </si>
  <si>
    <t>Tn2_t1_ELOW_tile_04</t>
  </si>
  <si>
    <t>Tn2_t1_ELOW_tile_05</t>
  </si>
  <si>
    <t>Tn2_t1_ELOW_tile_06</t>
  </si>
  <si>
    <t>Tn2_t1_ELOW_blank_01</t>
  </si>
  <si>
    <t>Tn2_t1_ELOW_blank_02</t>
  </si>
  <si>
    <t>Tn2_t0_LOW_blank_01</t>
  </si>
  <si>
    <t>Tn2_t0_LOW_blank_02</t>
  </si>
  <si>
    <t>Tn2_t1_LOW_tile_01</t>
  </si>
  <si>
    <t>Tn2_t1_LOW_tile_02</t>
  </si>
  <si>
    <t>Tn2_t1_LOW_tile_03</t>
  </si>
  <si>
    <t>Tn2_t1_LOW_tile_04</t>
  </si>
  <si>
    <t>Tn2_t1_LOW_tile_05</t>
  </si>
  <si>
    <t>Tn2_t1_LOW_tile_06</t>
  </si>
  <si>
    <t>Tn2_t1_LOW_blank_01</t>
  </si>
  <si>
    <t>Tn2_t1_LOW_blank_02</t>
  </si>
  <si>
    <t>Tn2_t1_AMB_blank_01</t>
  </si>
  <si>
    <t>Tn2_t1_AMB_blank_02</t>
  </si>
  <si>
    <t>Tn2_t1_AMB_tile_01</t>
  </si>
  <si>
    <t>Tn2_t1_AMB_tile_02</t>
  </si>
  <si>
    <t>Tn2_t1_AMB_tile_03</t>
  </si>
  <si>
    <t>Tn2_t1_AMB_tile_04</t>
  </si>
  <si>
    <t>Tn2_t1_AMB_tile_05</t>
  </si>
  <si>
    <t>Tn2_t1_AMB_tile_06</t>
  </si>
  <si>
    <t>Tn2_t0_AMB_blank_01</t>
  </si>
  <si>
    <t>Tn2_t0_AMB_blank_02</t>
  </si>
  <si>
    <t>T0_t0_ELOW_blank_01</t>
  </si>
  <si>
    <t>PI_T1_ELOW_blank</t>
  </si>
  <si>
    <t>PI_T7_ELOW_t0</t>
  </si>
  <si>
    <t>PI_T8_ELOW_t0</t>
  </si>
  <si>
    <t>PI_T1_LOW_blank</t>
  </si>
  <si>
    <t>PI_T7_LOW_t0</t>
  </si>
  <si>
    <t>PI_T1_AMB_blank</t>
  </si>
  <si>
    <t>PI_T7_AMB_t0</t>
  </si>
  <si>
    <t>PI_T7_ELOW_tile_01</t>
  </si>
  <si>
    <t>PI_T7_ELOW_tile_02</t>
  </si>
  <si>
    <t>PI_T7_ELOW_tile_03</t>
  </si>
  <si>
    <t>PI_T8_ELOW_tile_01</t>
  </si>
  <si>
    <t>PI_T8_ELOW_tile_02</t>
  </si>
  <si>
    <t>PI_T8_ELOW_tile_03</t>
  </si>
  <si>
    <t>PI_T7_LOW_tile_01</t>
  </si>
  <si>
    <t>PI_T7_LOW_tile_02</t>
  </si>
  <si>
    <t>PI_T7_LOW_tile_03</t>
  </si>
  <si>
    <t>PI_T7_AMB_tile_01</t>
  </si>
  <si>
    <t>PI_T7_AMB_tile_02</t>
  </si>
  <si>
    <t>PI_T7_AMB_tile_03</t>
  </si>
  <si>
    <t>T0_t0_ELOW_blank_02</t>
  </si>
  <si>
    <t>T0_t1_ELOW_tile_01</t>
  </si>
  <si>
    <t>T0_t1_ELOW_tile_02</t>
  </si>
  <si>
    <t>T0_t1_ELOW_tile_03</t>
  </si>
  <si>
    <t>T0_t1_ELOW_tile_04</t>
  </si>
  <si>
    <t>T0_t1_ELOW_tile_05</t>
  </si>
  <si>
    <t>T0_t1_ELOW_tile_06</t>
  </si>
  <si>
    <t>T0_t1_ELOW_blank_01</t>
  </si>
  <si>
    <t>T0_t1_ELOW_blank_02</t>
  </si>
  <si>
    <t>T0_t0_LOW_blank_01</t>
  </si>
  <si>
    <t>T0_t0_LOW_blank_02</t>
  </si>
  <si>
    <t>Tn_t1_LOW_tile_06</t>
  </si>
  <si>
    <t>Pack10</t>
  </si>
  <si>
    <t>T0_t1_LOW_tile_01</t>
  </si>
  <si>
    <t>T0_t1_LOW_tile_02</t>
  </si>
  <si>
    <t>T0_t1_LOW_tile_03</t>
  </si>
  <si>
    <t>T0_t1_LOW_tile_04</t>
  </si>
  <si>
    <t>T0_t1_LOW_tile_05</t>
  </si>
  <si>
    <t>T0_t1_LOW_tile_06</t>
  </si>
  <si>
    <t>T0_t1_LOW_blank_01</t>
  </si>
  <si>
    <t>T0_t1_LOW_blank_02</t>
  </si>
  <si>
    <t>T0_t1_AMB_tile_01</t>
  </si>
  <si>
    <t>T0_t1_AMB_tile_02</t>
  </si>
  <si>
    <t>T0_t1_AMB_tile_03</t>
  </si>
  <si>
    <t>T0_t1_AMB_tile_04</t>
  </si>
  <si>
    <t>T0_t1_AMB_tile_05</t>
  </si>
  <si>
    <t>T0_t1_AMB_tile_06</t>
  </si>
  <si>
    <t>T0_t1_AMB_blank_01</t>
  </si>
  <si>
    <t>T0_t1_AMB_blank_02</t>
  </si>
  <si>
    <t>T1_t0_ELOW_blank_01</t>
  </si>
  <si>
    <t>T1_t0_ELOW_blank_02</t>
  </si>
  <si>
    <t>T1_t1_ELOW_tile_01</t>
  </si>
  <si>
    <t>T1_t1_ELOW_tile_02</t>
  </si>
  <si>
    <t>T1_t1_ELOW_tile_03</t>
  </si>
  <si>
    <t>T1_t1_ELOW_tile_04</t>
  </si>
  <si>
    <t>T1_t1_ELOW_tile_05</t>
  </si>
  <si>
    <t>T1_t1_ELOW_tile_06</t>
  </si>
  <si>
    <t>T1_t1_ELOW_blank_01</t>
  </si>
  <si>
    <t>T1_t1_ELOW_blank_02</t>
  </si>
  <si>
    <t>T0_t0_AMB_blank_01</t>
  </si>
  <si>
    <t>T0_t0_AMB_blank_02</t>
  </si>
  <si>
    <t>T1_t0_LOW_blank_01</t>
  </si>
  <si>
    <t>T1_t0_LOW_blank_02</t>
  </si>
  <si>
    <t>T1_t1_LOW_tile_01</t>
  </si>
  <si>
    <t>T1_t1_LOW_tile_02</t>
  </si>
  <si>
    <t>T1_t1_LOW_tile_03</t>
  </si>
  <si>
    <t>T1_t1_LOW_tile_04</t>
  </si>
  <si>
    <t>T1_t1_LOW_tile_05</t>
  </si>
  <si>
    <t>T1_t1_LOW_tile_06</t>
  </si>
  <si>
    <t>T1_t1_LOW_blank_01</t>
  </si>
  <si>
    <t>T1_t1_LOW_blank_02</t>
  </si>
  <si>
    <t>T1_t0_AMB_blank_01</t>
  </si>
  <si>
    <t>T1_t0_AMB_blank_02</t>
  </si>
  <si>
    <t>T1_t1_AMB_tile_01</t>
  </si>
  <si>
    <t>T1_t1_AMB_tile_02</t>
  </si>
  <si>
    <t>T1_t1_AMB_tile_03</t>
  </si>
  <si>
    <t>T1_t1_AMB_tile_04</t>
  </si>
  <si>
    <t>T1_t1_AMB_tile_06</t>
  </si>
  <si>
    <t>T1_t1_AMB_tile_05</t>
  </si>
  <si>
    <t>T1_t1_AMB_blank_01</t>
  </si>
  <si>
    <t>T1_t1_AMB_blank_02</t>
  </si>
  <si>
    <t>PI_T1_ELOW_tile_01</t>
  </si>
  <si>
    <t>PI_T1_ELOW_tile_02</t>
  </si>
  <si>
    <t>PI_T1_ELOW_tile_03</t>
  </si>
  <si>
    <t>PI_T2_ELOW_tile_01</t>
  </si>
  <si>
    <t>PI_T2_ELOW_tile_02</t>
  </si>
  <si>
    <t>PI_T2_ELOW_tile_03</t>
  </si>
  <si>
    <t>PI_T3_ELOW_tile_01</t>
  </si>
  <si>
    <t>PI_T3_ELOW_tile_02</t>
  </si>
  <si>
    <t>PI_T3_ELOW_tile_03</t>
  </si>
  <si>
    <t>PI_T4_ELOW_tile_01</t>
  </si>
  <si>
    <t>PI_T4_ELOW_tile_02</t>
  </si>
  <si>
    <t>PI_T4_ELOW_tile_03</t>
  </si>
  <si>
    <t>PI_T5_ELOW_tile_01</t>
  </si>
  <si>
    <t>PI_T5_ELOW_tile_02</t>
  </si>
  <si>
    <t>PI_T5_ELOW_tile_03</t>
  </si>
  <si>
    <t>PI_T6_ELOW_tile_01</t>
  </si>
  <si>
    <t>PI_T6_ELOW_tile_02</t>
  </si>
  <si>
    <t>PI_T6_ELOW_tile_03</t>
  </si>
  <si>
    <t>PI_T1_ELOW_t0</t>
  </si>
  <si>
    <t>PI_T2_ELOW_t0</t>
  </si>
  <si>
    <t>PI_T3_ELOW_t0</t>
  </si>
  <si>
    <t>PI_T4_ELOW_t0</t>
  </si>
  <si>
    <t>PI_T5_ELOW_t0</t>
  </si>
  <si>
    <t>PI_T6_ELOW_t0</t>
  </si>
  <si>
    <t>PI_T1_LOW_tile_01</t>
  </si>
  <si>
    <t>PI_T1_LOW_tile_02</t>
  </si>
  <si>
    <t>PI_T1_LOW_tile_03</t>
  </si>
  <si>
    <t>PI_T2_LOW_tile_01</t>
  </si>
  <si>
    <t>PI_T2_LOW_tile_02</t>
  </si>
  <si>
    <t>PI_T2_LOW_tile_03</t>
  </si>
  <si>
    <t>PI_T3_LOW_tile_01</t>
  </si>
  <si>
    <t>PI_T3_LOW_tile_02</t>
  </si>
  <si>
    <t>PI_T3_LOW_tile_03</t>
  </si>
  <si>
    <t>PI_T4_LOW_tile_01</t>
  </si>
  <si>
    <t>PI_T4_LOW_tile_02</t>
  </si>
  <si>
    <t>PI_T4_LOW_tile_03</t>
  </si>
  <si>
    <t>PI_T5_LOW_tile_01</t>
  </si>
  <si>
    <t>PI_T5_LOW_tile_02</t>
  </si>
  <si>
    <t>PI_T5_LOW_tile_03</t>
  </si>
  <si>
    <t>PI_T6_LOW_tile_01</t>
  </si>
  <si>
    <t>PI_T6_LOW_tile_02</t>
  </si>
  <si>
    <t>PI_T6_LOW_tile_03</t>
  </si>
  <si>
    <t>PI_T1_AMB_tile_01</t>
  </si>
  <si>
    <t>PI_T1_AMB_tile_02</t>
  </si>
  <si>
    <t>PI_T1_AMB_tile_03</t>
  </si>
  <si>
    <t>PI_T2_AMB_tile_01</t>
  </si>
  <si>
    <t>PI_T2_AMB_tile_02</t>
  </si>
  <si>
    <t>PI_T2_AMB_tile_03</t>
  </si>
  <si>
    <t>PI_T3_AMB_tile_01</t>
  </si>
  <si>
    <t>PI_T3_AMB_tile_02</t>
  </si>
  <si>
    <t>PI_T3_AMB_tile_03</t>
  </si>
  <si>
    <t>PI_T4_AMB_tile_01</t>
  </si>
  <si>
    <t>PI_T4_AMB_tile_02</t>
  </si>
  <si>
    <t>PI_T4_AMB_tile_03</t>
  </si>
  <si>
    <t>PI_T5_AMB_tile_01</t>
  </si>
  <si>
    <t>PI_T5_AMB_tile_02</t>
  </si>
  <si>
    <t>PI_T5_AMB_tile_03</t>
  </si>
  <si>
    <t>PI_T6_AMB_tile_01</t>
  </si>
  <si>
    <t>PI_T6_AMB_tile_02</t>
  </si>
  <si>
    <t>PI_T6_AMB_tile_03</t>
  </si>
  <si>
    <t>PI_T1_LOW_t0</t>
  </si>
  <si>
    <t>PI_T2_LOW_t0</t>
  </si>
  <si>
    <t>PI_T3_LOW_t0</t>
  </si>
  <si>
    <t>PI_T4_LOW_t0</t>
  </si>
  <si>
    <t>PI_T5_LOW_t0</t>
  </si>
  <si>
    <t>PI_T6_LOW_t0</t>
  </si>
  <si>
    <t>PI_T1_AMB_t0</t>
  </si>
  <si>
    <t>PI_T2_AMB_t0</t>
  </si>
  <si>
    <t>PI_T3_AMB_t0</t>
  </si>
  <si>
    <t>PI_T4_AMB_t0</t>
  </si>
  <si>
    <t>PI_T5_AMB_t0</t>
  </si>
  <si>
    <t>PI_T6_AMB_t0</t>
  </si>
  <si>
    <t>Experiment</t>
  </si>
  <si>
    <t>Transplants</t>
  </si>
  <si>
    <t>PI Curves</t>
  </si>
  <si>
    <t>Historic</t>
  </si>
  <si>
    <t>Phase</t>
  </si>
  <si>
    <t>pH</t>
  </si>
  <si>
    <t>ELOW</t>
  </si>
  <si>
    <t>LOW</t>
  </si>
  <si>
    <t>AMB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</si>
</sst>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2"/>
  <sheetViews>
    <sheetView tabSelected="1" zoomScaleNormal="100" workbookViewId="0">
      <pane ySplit="1" topLeftCell="A241" activePane="bottomLeft" state="frozen"/>
      <selection pane="bottomLeft" activeCell="F250" sqref="F250"/>
    </sheetView>
  </sheetViews>
  <sheetFormatPr baseColWidth="10" defaultColWidth="8.83203125" defaultRowHeight="15" x14ac:dyDescent="0.2"/>
  <cols>
    <col min="1" max="1" width="13.33203125" style="1" bestFit="1" customWidth="1"/>
    <col min="2" max="2" width="7.33203125" style="1" bestFit="1" customWidth="1"/>
    <col min="3" max="3" width="10.1640625" style="1" bestFit="1" customWidth="1"/>
    <col min="4" max="5" width="5.6640625" style="1" bestFit="1" customWidth="1"/>
    <col min="6" max="6" width="22.5" style="1" bestFit="1" customWidth="1"/>
    <col min="7" max="11" width="19.1640625" style="1" customWidth="1"/>
    <col min="12" max="12" width="17" style="1" bestFit="1" customWidth="1"/>
    <col min="13" max="13" width="31" bestFit="1" customWidth="1"/>
  </cols>
  <sheetData>
    <row r="1" spans="1:11" ht="17" x14ac:dyDescent="0.2">
      <c r="A1" s="2" t="s">
        <v>0</v>
      </c>
      <c r="B1" s="2" t="s">
        <v>6</v>
      </c>
      <c r="C1" s="2" t="s">
        <v>291</v>
      </c>
      <c r="D1" s="2" t="s">
        <v>295</v>
      </c>
      <c r="E1" s="2" t="s">
        <v>296</v>
      </c>
      <c r="F1" s="2" t="s">
        <v>18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</row>
    <row r="2" spans="1:11" x14ac:dyDescent="0.2">
      <c r="A2" s="3">
        <v>45236</v>
      </c>
      <c r="B2" s="3" t="s">
        <v>7</v>
      </c>
      <c r="C2" s="3" t="s">
        <v>292</v>
      </c>
      <c r="D2" s="3" t="str">
        <f>LEFT(F2, 2)</f>
        <v>T0</v>
      </c>
      <c r="E2" s="3" t="s">
        <v>297</v>
      </c>
      <c r="F2" s="5" t="s">
        <v>138</v>
      </c>
      <c r="G2" s="4">
        <v>1.8915999999999999</v>
      </c>
      <c r="H2" s="4">
        <v>9.7100000000000006E-2</v>
      </c>
      <c r="I2" s="4">
        <v>7.9000000000000001E-2</v>
      </c>
      <c r="J2" s="4">
        <v>0.5445000000000001</v>
      </c>
      <c r="K2" s="4">
        <v>2.7658</v>
      </c>
    </row>
    <row r="3" spans="1:11" x14ac:dyDescent="0.2">
      <c r="A3" s="3">
        <v>45236</v>
      </c>
      <c r="B3" s="3" t="s">
        <v>7</v>
      </c>
      <c r="C3" s="3" t="s">
        <v>292</v>
      </c>
      <c r="D3" s="3" t="str">
        <f t="shared" ref="D3:D66" si="0">LEFT(F3, 2)</f>
        <v>T0</v>
      </c>
      <c r="E3" s="3" t="s">
        <v>297</v>
      </c>
      <c r="F3" s="5" t="s">
        <v>158</v>
      </c>
      <c r="G3" s="4">
        <v>0.62819999999999998</v>
      </c>
      <c r="H3" s="4">
        <v>3.8300000000000001E-2</v>
      </c>
      <c r="I3" s="4">
        <v>5.5100000000000003E-2</v>
      </c>
      <c r="J3" s="4">
        <v>0.1389</v>
      </c>
      <c r="K3" s="4">
        <v>2.5174000000000003</v>
      </c>
    </row>
    <row r="4" spans="1:11" x14ac:dyDescent="0.2">
      <c r="A4" s="3">
        <v>45236</v>
      </c>
      <c r="B4" s="3" t="s">
        <v>7</v>
      </c>
      <c r="C4" s="3" t="s">
        <v>292</v>
      </c>
      <c r="D4" s="3" t="str">
        <f t="shared" si="0"/>
        <v>T0</v>
      </c>
      <c r="E4" s="3" t="s">
        <v>297</v>
      </c>
      <c r="F4" s="5" t="s">
        <v>159</v>
      </c>
      <c r="G4" s="4">
        <v>2.3674000000000004</v>
      </c>
      <c r="H4" s="4">
        <v>0.1278</v>
      </c>
      <c r="I4" s="4">
        <v>9.9199999999999997E-2</v>
      </c>
      <c r="J4" s="4">
        <v>0.44829999999999998</v>
      </c>
      <c r="K4" s="4">
        <v>1.8765000000000001</v>
      </c>
    </row>
    <row r="5" spans="1:11" x14ac:dyDescent="0.2">
      <c r="A5" s="3">
        <v>45236</v>
      </c>
      <c r="B5" s="3" t="s">
        <v>7</v>
      </c>
      <c r="C5" s="3" t="s">
        <v>292</v>
      </c>
      <c r="D5" s="3" t="str">
        <f t="shared" si="0"/>
        <v>T0</v>
      </c>
      <c r="E5" s="3" t="s">
        <v>297</v>
      </c>
      <c r="F5" s="5" t="s">
        <v>160</v>
      </c>
      <c r="G5" s="4">
        <v>1.9457</v>
      </c>
      <c r="H5" s="4">
        <v>0.12520000000000001</v>
      </c>
      <c r="I5" s="4">
        <v>0.16020000000000001</v>
      </c>
      <c r="J5" s="4">
        <v>1.0550999999999999</v>
      </c>
      <c r="K5" s="4">
        <v>2.3556999999999997</v>
      </c>
    </row>
    <row r="6" spans="1:11" x14ac:dyDescent="0.2">
      <c r="A6" s="3">
        <v>45236</v>
      </c>
      <c r="B6" s="3" t="s">
        <v>7</v>
      </c>
      <c r="C6" s="3" t="s">
        <v>292</v>
      </c>
      <c r="D6" s="3" t="str">
        <f t="shared" si="0"/>
        <v>T0</v>
      </c>
      <c r="E6" s="3" t="s">
        <v>297</v>
      </c>
      <c r="F6" s="5" t="s">
        <v>161</v>
      </c>
      <c r="G6" s="4">
        <v>1.8616999999999999</v>
      </c>
      <c r="H6" s="4">
        <v>0.37019999999999997</v>
      </c>
      <c r="I6" s="4">
        <v>0.13400000000000001</v>
      </c>
      <c r="J6" s="4">
        <v>0.57089999999999996</v>
      </c>
      <c r="K6" s="4">
        <v>2.4379999999999997</v>
      </c>
    </row>
    <row r="7" spans="1:11" x14ac:dyDescent="0.2">
      <c r="A7" s="3">
        <v>45236</v>
      </c>
      <c r="B7" s="3" t="s">
        <v>7</v>
      </c>
      <c r="C7" s="3" t="s">
        <v>292</v>
      </c>
      <c r="D7" s="3" t="str">
        <f t="shared" si="0"/>
        <v>T0</v>
      </c>
      <c r="E7" s="3" t="s">
        <v>297</v>
      </c>
      <c r="F7" s="5" t="s">
        <v>162</v>
      </c>
      <c r="G7" s="4">
        <v>3.0911000000000004</v>
      </c>
      <c r="H7" s="4">
        <v>0.20700000000000002</v>
      </c>
      <c r="I7" s="4">
        <v>0.1825</v>
      </c>
      <c r="J7" s="4">
        <v>1.3292999999999999</v>
      </c>
      <c r="K7" s="4">
        <v>1.5975000000000001</v>
      </c>
    </row>
    <row r="8" spans="1:11" x14ac:dyDescent="0.2">
      <c r="A8" s="3">
        <v>45236</v>
      </c>
      <c r="B8" s="3" t="s">
        <v>7</v>
      </c>
      <c r="C8" s="3" t="s">
        <v>292</v>
      </c>
      <c r="D8" s="3" t="str">
        <f t="shared" si="0"/>
        <v>T0</v>
      </c>
      <c r="E8" s="3" t="s">
        <v>297</v>
      </c>
      <c r="F8" s="5" t="s">
        <v>163</v>
      </c>
      <c r="G8" s="4">
        <v>1.5156000000000001</v>
      </c>
      <c r="H8" s="4">
        <v>0.2293</v>
      </c>
      <c r="I8" s="4">
        <v>0.11660000000000001</v>
      </c>
      <c r="J8" s="4">
        <v>0.98839999999999995</v>
      </c>
      <c r="K8" s="4">
        <v>1.1597999999999999</v>
      </c>
    </row>
    <row r="9" spans="1:11" x14ac:dyDescent="0.2">
      <c r="A9" s="3">
        <v>45236</v>
      </c>
      <c r="B9" s="3" t="s">
        <v>7</v>
      </c>
      <c r="C9" s="3" t="s">
        <v>292</v>
      </c>
      <c r="D9" s="3" t="str">
        <f t="shared" si="0"/>
        <v>T0</v>
      </c>
      <c r="E9" s="3" t="s">
        <v>297</v>
      </c>
      <c r="F9" s="5" t="s">
        <v>164</v>
      </c>
      <c r="G9" s="4">
        <v>2.2724000000000002</v>
      </c>
      <c r="H9" s="4">
        <v>0.2747</v>
      </c>
      <c r="I9" s="4">
        <v>0.13069999999999998</v>
      </c>
      <c r="J9" s="4">
        <v>0.78620000000000001</v>
      </c>
      <c r="K9" s="4">
        <v>1.2227000000000001</v>
      </c>
    </row>
    <row r="10" spans="1:11" x14ac:dyDescent="0.2">
      <c r="A10" s="3">
        <v>45236</v>
      </c>
      <c r="B10" s="3" t="s">
        <v>7</v>
      </c>
      <c r="C10" s="3" t="s">
        <v>292</v>
      </c>
      <c r="D10" s="3" t="str">
        <f t="shared" si="0"/>
        <v>T0</v>
      </c>
      <c r="E10" s="3" t="s">
        <v>297</v>
      </c>
      <c r="F10" s="5" t="s">
        <v>165</v>
      </c>
      <c r="G10" s="4">
        <v>0.91849999999999998</v>
      </c>
      <c r="H10" s="4">
        <v>3.9199999999999999E-2</v>
      </c>
      <c r="I10" s="4">
        <v>5.2700000000000004E-2</v>
      </c>
      <c r="J10" s="4">
        <v>8.249999999999999E-2</v>
      </c>
      <c r="K10" s="4">
        <v>2.1168</v>
      </c>
    </row>
    <row r="11" spans="1:11" x14ac:dyDescent="0.2">
      <c r="A11" s="3">
        <v>45236</v>
      </c>
      <c r="B11" s="3" t="s">
        <v>7</v>
      </c>
      <c r="C11" s="3" t="s">
        <v>292</v>
      </c>
      <c r="D11" s="3" t="str">
        <f t="shared" si="0"/>
        <v>T0</v>
      </c>
      <c r="E11" s="3" t="s">
        <v>297</v>
      </c>
      <c r="F11" s="5" t="s">
        <v>166</v>
      </c>
      <c r="G11" s="4">
        <v>0.70960000000000001</v>
      </c>
      <c r="H11" s="4">
        <v>3.56E-2</v>
      </c>
      <c r="I11" s="4">
        <v>4.99E-2</v>
      </c>
      <c r="J11" s="4">
        <v>0.31440000000000001</v>
      </c>
      <c r="K11" s="4">
        <v>0.87870000000000004</v>
      </c>
    </row>
    <row r="12" spans="1:11" x14ac:dyDescent="0.2">
      <c r="A12" s="3">
        <v>45236</v>
      </c>
      <c r="B12" s="3" t="s">
        <v>7</v>
      </c>
      <c r="C12" s="3" t="s">
        <v>292</v>
      </c>
      <c r="D12" s="3" t="str">
        <f t="shared" si="0"/>
        <v>T0</v>
      </c>
      <c r="E12" s="3" t="s">
        <v>298</v>
      </c>
      <c r="F12" s="5" t="s">
        <v>167</v>
      </c>
      <c r="G12" s="4">
        <v>1.0416000000000001</v>
      </c>
      <c r="H12" s="4">
        <v>0.1348</v>
      </c>
      <c r="I12" s="4">
        <v>0.1077</v>
      </c>
      <c r="J12" s="4">
        <v>0.46519999999999995</v>
      </c>
      <c r="K12" s="4">
        <v>1.2745</v>
      </c>
    </row>
    <row r="13" spans="1:11" x14ac:dyDescent="0.2">
      <c r="A13" s="3">
        <v>45236</v>
      </c>
      <c r="B13" s="3" t="s">
        <v>7</v>
      </c>
      <c r="C13" s="3" t="s">
        <v>292</v>
      </c>
      <c r="D13" s="3" t="str">
        <f t="shared" si="0"/>
        <v>T0</v>
      </c>
      <c r="E13" s="3" t="s">
        <v>298</v>
      </c>
      <c r="F13" s="5" t="s">
        <v>168</v>
      </c>
      <c r="G13" s="4">
        <v>1.2579</v>
      </c>
      <c r="H13" s="4">
        <v>9.06E-2</v>
      </c>
      <c r="I13" s="4">
        <v>0.13190000000000002</v>
      </c>
      <c r="J13" s="4">
        <v>0.46279999999999999</v>
      </c>
      <c r="K13" s="4">
        <v>1.323</v>
      </c>
    </row>
    <row r="14" spans="1:11" x14ac:dyDescent="0.2">
      <c r="A14" s="3">
        <v>45236</v>
      </c>
      <c r="B14" s="3" t="s">
        <v>7</v>
      </c>
      <c r="C14" s="3" t="s">
        <v>292</v>
      </c>
      <c r="D14" s="3" t="str">
        <f t="shared" si="0"/>
        <v>T0</v>
      </c>
      <c r="E14" s="3" t="s">
        <v>298</v>
      </c>
      <c r="F14" s="5" t="s">
        <v>171</v>
      </c>
      <c r="G14" s="4">
        <v>1.6219999999999999</v>
      </c>
      <c r="H14" s="4">
        <v>0.15160000000000001</v>
      </c>
      <c r="I14" s="4">
        <v>0.1125</v>
      </c>
      <c r="J14" s="4">
        <v>0.67669999999999997</v>
      </c>
      <c r="K14" s="4">
        <v>1.3119999999999998</v>
      </c>
    </row>
    <row r="15" spans="1:11" x14ac:dyDescent="0.2">
      <c r="A15" s="3">
        <v>45236</v>
      </c>
      <c r="B15" s="3" t="s">
        <v>7</v>
      </c>
      <c r="C15" s="3" t="s">
        <v>292</v>
      </c>
      <c r="D15" s="3" t="str">
        <f t="shared" si="0"/>
        <v>T0</v>
      </c>
      <c r="E15" s="3" t="s">
        <v>298</v>
      </c>
      <c r="F15" s="5" t="s">
        <v>172</v>
      </c>
      <c r="G15" s="4">
        <v>1.8673999999999999</v>
      </c>
      <c r="H15" s="4">
        <v>0.16930000000000001</v>
      </c>
      <c r="I15" s="4">
        <v>0.15129999999999999</v>
      </c>
      <c r="J15" s="4">
        <v>1.0695000000000001</v>
      </c>
      <c r="K15" s="4">
        <v>1.7177</v>
      </c>
    </row>
    <row r="16" spans="1:11" x14ac:dyDescent="0.2">
      <c r="A16" s="3">
        <v>45236</v>
      </c>
      <c r="B16" s="3" t="s">
        <v>7</v>
      </c>
      <c r="C16" s="3" t="s">
        <v>292</v>
      </c>
      <c r="D16" s="3" t="str">
        <f t="shared" si="0"/>
        <v>T0</v>
      </c>
      <c r="E16" s="3" t="s">
        <v>298</v>
      </c>
      <c r="F16" s="5" t="s">
        <v>173</v>
      </c>
      <c r="G16" s="4">
        <v>1.4240999999999999</v>
      </c>
      <c r="H16" s="4">
        <v>0.11800000000000001</v>
      </c>
      <c r="I16" s="4">
        <v>0.1222</v>
      </c>
      <c r="J16" s="4">
        <v>0.53400000000000003</v>
      </c>
      <c r="K16" s="4">
        <v>1.6360999999999999</v>
      </c>
    </row>
    <row r="17" spans="1:11" x14ac:dyDescent="0.2">
      <c r="A17" s="3">
        <v>45236</v>
      </c>
      <c r="B17" s="3" t="s">
        <v>7</v>
      </c>
      <c r="C17" s="3" t="s">
        <v>292</v>
      </c>
      <c r="D17" s="3" t="str">
        <f t="shared" si="0"/>
        <v>T0</v>
      </c>
      <c r="E17" s="3" t="s">
        <v>298</v>
      </c>
      <c r="F17" s="5" t="s">
        <v>174</v>
      </c>
      <c r="G17" s="4">
        <v>1.9962</v>
      </c>
      <c r="H17" s="4">
        <v>0.37089999999999995</v>
      </c>
      <c r="I17" s="4">
        <v>0.1449</v>
      </c>
      <c r="J17" s="4">
        <v>0.7107</v>
      </c>
      <c r="K17" s="4">
        <v>2.5479000000000003</v>
      </c>
    </row>
    <row r="18" spans="1:11" x14ac:dyDescent="0.2">
      <c r="A18" s="3">
        <v>45236</v>
      </c>
      <c r="B18" s="3" t="s">
        <v>7</v>
      </c>
      <c r="C18" s="3" t="s">
        <v>292</v>
      </c>
      <c r="D18" s="3" t="str">
        <f t="shared" si="0"/>
        <v>T0</v>
      </c>
      <c r="E18" s="3" t="s">
        <v>298</v>
      </c>
      <c r="F18" s="5" t="s">
        <v>175</v>
      </c>
      <c r="G18" s="4">
        <v>2.0802</v>
      </c>
      <c r="H18" s="4">
        <v>0.1381</v>
      </c>
      <c r="I18" s="4">
        <v>0.12630000000000002</v>
      </c>
      <c r="J18" s="4">
        <v>0.6552</v>
      </c>
      <c r="K18" s="4">
        <v>2.3350999999999997</v>
      </c>
    </row>
    <row r="19" spans="1:11" x14ac:dyDescent="0.2">
      <c r="A19" s="3">
        <v>45236</v>
      </c>
      <c r="B19" s="3" t="s">
        <v>7</v>
      </c>
      <c r="C19" s="3" t="s">
        <v>292</v>
      </c>
      <c r="D19" s="3" t="str">
        <f t="shared" si="0"/>
        <v>T0</v>
      </c>
      <c r="E19" s="3" t="s">
        <v>298</v>
      </c>
      <c r="F19" s="5" t="s">
        <v>176</v>
      </c>
      <c r="G19" s="4">
        <v>3.0639000000000003</v>
      </c>
      <c r="H19" s="4">
        <v>0.21199999999999999</v>
      </c>
      <c r="I19" s="4">
        <v>0.19500000000000001</v>
      </c>
      <c r="J19" s="4">
        <v>1.1851</v>
      </c>
      <c r="K19" s="4">
        <v>1.8069999999999999</v>
      </c>
    </row>
    <row r="20" spans="1:11" x14ac:dyDescent="0.2">
      <c r="A20" s="3">
        <v>45236</v>
      </c>
      <c r="B20" s="3" t="s">
        <v>7</v>
      </c>
      <c r="C20" s="3" t="s">
        <v>292</v>
      </c>
      <c r="D20" s="3" t="str">
        <f t="shared" si="0"/>
        <v>T0</v>
      </c>
      <c r="E20" s="3" t="s">
        <v>298</v>
      </c>
      <c r="F20" s="5" t="s">
        <v>177</v>
      </c>
      <c r="G20" s="4">
        <v>1.0266</v>
      </c>
      <c r="H20" s="4">
        <v>0.15490000000000001</v>
      </c>
      <c r="I20" s="4">
        <v>8.6699999999999999E-2</v>
      </c>
      <c r="J20" s="4">
        <v>0.53739999999999999</v>
      </c>
      <c r="K20" s="4">
        <v>1.4662999999999999</v>
      </c>
    </row>
    <row r="21" spans="1:11" x14ac:dyDescent="0.2">
      <c r="A21" s="3">
        <v>45236</v>
      </c>
      <c r="B21" s="3" t="s">
        <v>7</v>
      </c>
      <c r="C21" s="3" t="s">
        <v>292</v>
      </c>
      <c r="D21" s="3" t="str">
        <f t="shared" si="0"/>
        <v>T0</v>
      </c>
      <c r="E21" s="3" t="s">
        <v>298</v>
      </c>
      <c r="F21" s="5" t="s">
        <v>178</v>
      </c>
      <c r="G21" s="4">
        <v>1.7148000000000001</v>
      </c>
      <c r="H21" s="4">
        <v>0.16980000000000001</v>
      </c>
      <c r="I21" s="4">
        <v>0.10690000000000001</v>
      </c>
      <c r="J21" s="4">
        <v>0.78120000000000001</v>
      </c>
      <c r="K21" s="4">
        <v>1.5887</v>
      </c>
    </row>
    <row r="22" spans="1:11" x14ac:dyDescent="0.2">
      <c r="A22" s="3">
        <v>45236</v>
      </c>
      <c r="B22" s="3" t="s">
        <v>7</v>
      </c>
      <c r="C22" s="3" t="s">
        <v>292</v>
      </c>
      <c r="D22" s="3" t="str">
        <f t="shared" si="0"/>
        <v>T0</v>
      </c>
      <c r="E22" s="3" t="s">
        <v>299</v>
      </c>
      <c r="F22" s="5" t="s">
        <v>197</v>
      </c>
      <c r="G22" s="4">
        <v>0.73599999999999999</v>
      </c>
      <c r="H22" s="4">
        <v>0.14269999999999999</v>
      </c>
      <c r="I22" s="4">
        <v>6.6000000000000003E-2</v>
      </c>
      <c r="J22" s="4">
        <v>8.4499999999999992E-2</v>
      </c>
      <c r="K22" s="4">
        <v>1.1303999999999998</v>
      </c>
    </row>
    <row r="23" spans="1:11" x14ac:dyDescent="0.2">
      <c r="A23" s="3">
        <v>45236</v>
      </c>
      <c r="B23" s="3" t="s">
        <v>7</v>
      </c>
      <c r="C23" s="3" t="s">
        <v>292</v>
      </c>
      <c r="D23" s="3" t="str">
        <f t="shared" si="0"/>
        <v>T0</v>
      </c>
      <c r="E23" s="3" t="s">
        <v>299</v>
      </c>
      <c r="F23" s="5" t="s">
        <v>198</v>
      </c>
      <c r="G23" s="4">
        <v>1.2219</v>
      </c>
      <c r="H23" s="4">
        <v>0.12520000000000001</v>
      </c>
      <c r="I23" s="4">
        <v>5.5900000000000005E-2</v>
      </c>
      <c r="J23" s="4">
        <v>0.44379999999999997</v>
      </c>
      <c r="K23" s="4">
        <v>0.81440000000000001</v>
      </c>
    </row>
    <row r="24" spans="1:11" x14ac:dyDescent="0.2">
      <c r="A24" s="3">
        <v>45236</v>
      </c>
      <c r="B24" s="3" t="s">
        <v>7</v>
      </c>
      <c r="C24" s="3" t="s">
        <v>292</v>
      </c>
      <c r="D24" s="3" t="str">
        <f t="shared" si="0"/>
        <v>T0</v>
      </c>
      <c r="E24" s="3" t="s">
        <v>299</v>
      </c>
      <c r="F24" s="5" t="s">
        <v>179</v>
      </c>
      <c r="G24" s="4">
        <v>4.4385000000000003</v>
      </c>
      <c r="H24" s="4">
        <v>0.16520000000000001</v>
      </c>
      <c r="I24" s="4">
        <v>0.14529999999999998</v>
      </c>
      <c r="J24" s="4">
        <v>0.81020000000000003</v>
      </c>
      <c r="K24" s="4">
        <v>1.2656999999999998</v>
      </c>
    </row>
    <row r="25" spans="1:11" x14ac:dyDescent="0.2">
      <c r="A25" s="3">
        <v>45236</v>
      </c>
      <c r="B25" s="3" t="s">
        <v>7</v>
      </c>
      <c r="C25" s="3" t="s">
        <v>292</v>
      </c>
      <c r="D25" s="3" t="str">
        <f t="shared" si="0"/>
        <v>T0</v>
      </c>
      <c r="E25" s="3" t="s">
        <v>299</v>
      </c>
      <c r="F25" s="5" t="s">
        <v>180</v>
      </c>
      <c r="G25" s="4">
        <v>1.6080000000000001</v>
      </c>
      <c r="H25" s="4">
        <v>0.14480000000000001</v>
      </c>
      <c r="I25" s="4">
        <v>0.1109</v>
      </c>
      <c r="J25" s="4">
        <v>0.43110000000000004</v>
      </c>
      <c r="K25" s="4">
        <v>1.9397</v>
      </c>
    </row>
    <row r="26" spans="1:11" x14ac:dyDescent="0.2">
      <c r="A26" s="3">
        <v>45236</v>
      </c>
      <c r="B26" s="3" t="s">
        <v>7</v>
      </c>
      <c r="C26" s="3" t="s">
        <v>292</v>
      </c>
      <c r="D26" s="3" t="str">
        <f t="shared" si="0"/>
        <v>T0</v>
      </c>
      <c r="E26" s="3" t="s">
        <v>299</v>
      </c>
      <c r="F26" s="5" t="s">
        <v>181</v>
      </c>
      <c r="G26" s="4">
        <v>2.0279000000000003</v>
      </c>
      <c r="H26" s="4">
        <v>0.18060000000000001</v>
      </c>
      <c r="I26" s="4">
        <v>0.1178</v>
      </c>
      <c r="J26" s="4">
        <v>0.69619999999999993</v>
      </c>
      <c r="K26" s="4">
        <v>1.7030000000000001</v>
      </c>
    </row>
    <row r="27" spans="1:11" x14ac:dyDescent="0.2">
      <c r="A27" s="3">
        <v>45236</v>
      </c>
      <c r="B27" s="3" t="s">
        <v>7</v>
      </c>
      <c r="C27" s="3" t="s">
        <v>292</v>
      </c>
      <c r="D27" s="3" t="str">
        <f t="shared" si="0"/>
        <v>T0</v>
      </c>
      <c r="E27" s="3" t="s">
        <v>299</v>
      </c>
      <c r="F27" s="5" t="s">
        <v>182</v>
      </c>
      <c r="G27" s="4">
        <v>0.93120000000000003</v>
      </c>
      <c r="H27" s="4">
        <v>0.1129</v>
      </c>
      <c r="I27" s="4">
        <v>9.7200000000000009E-2</v>
      </c>
      <c r="J27" s="4">
        <v>0.39029999999999998</v>
      </c>
      <c r="K27" s="4">
        <v>1.66</v>
      </c>
    </row>
    <row r="28" spans="1:11" x14ac:dyDescent="0.2">
      <c r="A28" s="3">
        <v>45236</v>
      </c>
      <c r="B28" s="3" t="s">
        <v>7</v>
      </c>
      <c r="C28" s="3" t="s">
        <v>292</v>
      </c>
      <c r="D28" s="3" t="str">
        <f t="shared" si="0"/>
        <v>T0</v>
      </c>
      <c r="E28" s="3" t="s">
        <v>299</v>
      </c>
      <c r="F28" s="5" t="s">
        <v>183</v>
      </c>
      <c r="G28" s="4">
        <v>0.93169999999999997</v>
      </c>
      <c r="H28" s="4">
        <v>7.0000000000000007E-2</v>
      </c>
      <c r="I28" s="4">
        <v>7.9399999999999998E-2</v>
      </c>
      <c r="J28" s="4">
        <v>0.34250000000000003</v>
      </c>
      <c r="K28" s="4">
        <v>0.94520000000000004</v>
      </c>
    </row>
    <row r="29" spans="1:11" x14ac:dyDescent="0.2">
      <c r="A29" s="3">
        <v>45236</v>
      </c>
      <c r="B29" s="3" t="s">
        <v>7</v>
      </c>
      <c r="C29" s="3" t="s">
        <v>292</v>
      </c>
      <c r="D29" s="3" t="str">
        <f t="shared" si="0"/>
        <v>T0</v>
      </c>
      <c r="E29" s="3" t="s">
        <v>299</v>
      </c>
      <c r="F29" s="5" t="s">
        <v>184</v>
      </c>
      <c r="G29" s="4">
        <v>1.1141000000000001</v>
      </c>
      <c r="H29" s="4">
        <v>9.7600000000000006E-2</v>
      </c>
      <c r="I29" s="4">
        <v>0.1125</v>
      </c>
      <c r="J29" s="4">
        <v>0.45149999999999996</v>
      </c>
      <c r="K29" s="4">
        <v>1.8576999999999999</v>
      </c>
    </row>
    <row r="30" spans="1:11" x14ac:dyDescent="0.2">
      <c r="A30" s="3">
        <v>45236</v>
      </c>
      <c r="B30" s="3" t="s">
        <v>7</v>
      </c>
      <c r="C30" s="3" t="s">
        <v>292</v>
      </c>
      <c r="D30" s="3" t="str">
        <f t="shared" si="0"/>
        <v>T0</v>
      </c>
      <c r="E30" s="3" t="s">
        <v>299</v>
      </c>
      <c r="F30" s="5" t="s">
        <v>185</v>
      </c>
      <c r="G30" s="4">
        <v>1.6211</v>
      </c>
      <c r="H30" s="4">
        <v>0.2346</v>
      </c>
      <c r="I30" s="4">
        <v>8.7499999999999994E-2</v>
      </c>
      <c r="J30" s="4">
        <v>0.80249999999999999</v>
      </c>
      <c r="K30" s="4">
        <v>1.1341000000000001</v>
      </c>
    </row>
    <row r="31" spans="1:11" x14ac:dyDescent="0.2">
      <c r="A31" s="3">
        <v>45236</v>
      </c>
      <c r="B31" s="3" t="s">
        <v>7</v>
      </c>
      <c r="C31" s="3" t="s">
        <v>292</v>
      </c>
      <c r="D31" s="3" t="str">
        <f t="shared" si="0"/>
        <v>T0</v>
      </c>
      <c r="E31" s="3" t="s">
        <v>299</v>
      </c>
      <c r="F31" s="5" t="s">
        <v>186</v>
      </c>
      <c r="G31" s="4">
        <v>0.80110000000000003</v>
      </c>
      <c r="H31" s="4">
        <v>6.3500000000000001E-2</v>
      </c>
      <c r="I31" s="4">
        <v>4.5400000000000003E-2</v>
      </c>
      <c r="J31" s="4">
        <v>9.7099999999999992E-2</v>
      </c>
      <c r="K31" s="4">
        <v>0.81620000000000004</v>
      </c>
    </row>
    <row r="32" spans="1:11" x14ac:dyDescent="0.2">
      <c r="A32" s="3">
        <v>45237</v>
      </c>
      <c r="B32" s="3" t="s">
        <v>8</v>
      </c>
      <c r="C32" s="3" t="s">
        <v>292</v>
      </c>
      <c r="D32" s="3" t="str">
        <f t="shared" si="0"/>
        <v>T1</v>
      </c>
      <c r="E32" s="3" t="s">
        <v>297</v>
      </c>
      <c r="F32" s="5" t="s">
        <v>187</v>
      </c>
      <c r="G32" s="4">
        <v>0.70099999999999996</v>
      </c>
      <c r="H32" s="4">
        <v>4.9600000000000005E-2</v>
      </c>
      <c r="I32" s="4">
        <v>6.3E-2</v>
      </c>
      <c r="J32" s="4">
        <v>0.32650000000000001</v>
      </c>
      <c r="K32" s="4">
        <v>1.5975000000000001</v>
      </c>
    </row>
    <row r="33" spans="1:11" x14ac:dyDescent="0.2">
      <c r="A33" s="3">
        <v>45237</v>
      </c>
      <c r="B33" s="3" t="s">
        <v>8</v>
      </c>
      <c r="C33" s="3" t="s">
        <v>292</v>
      </c>
      <c r="D33" s="3" t="str">
        <f t="shared" si="0"/>
        <v>T1</v>
      </c>
      <c r="E33" s="3" t="s">
        <v>297</v>
      </c>
      <c r="F33" s="5" t="s">
        <v>188</v>
      </c>
      <c r="G33" s="4">
        <v>1.0597000000000001</v>
      </c>
      <c r="H33" s="4">
        <v>4.5900000000000003E-2</v>
      </c>
      <c r="I33" s="4">
        <v>4.9399999999999999E-2</v>
      </c>
      <c r="J33" s="4">
        <v>0.10820000000000002</v>
      </c>
      <c r="K33" s="4">
        <v>1.1636</v>
      </c>
    </row>
    <row r="34" spans="1:11" x14ac:dyDescent="0.2">
      <c r="A34" s="3">
        <v>45237</v>
      </c>
      <c r="B34" s="3" t="s">
        <v>8</v>
      </c>
      <c r="C34" s="3" t="s">
        <v>292</v>
      </c>
      <c r="D34" s="3" t="str">
        <f t="shared" si="0"/>
        <v>T1</v>
      </c>
      <c r="E34" s="3" t="s">
        <v>297</v>
      </c>
      <c r="F34" s="5" t="s">
        <v>189</v>
      </c>
      <c r="G34" s="4">
        <v>3.6292</v>
      </c>
      <c r="H34" s="4">
        <v>0.3075</v>
      </c>
      <c r="I34" s="4">
        <v>0.12689999999999999</v>
      </c>
      <c r="J34" s="4">
        <v>0.5806</v>
      </c>
      <c r="K34" s="4">
        <v>1.2966</v>
      </c>
    </row>
    <row r="35" spans="1:11" x14ac:dyDescent="0.2">
      <c r="A35" s="3">
        <v>45237</v>
      </c>
      <c r="B35" s="3" t="s">
        <v>8</v>
      </c>
      <c r="C35" s="3" t="s">
        <v>292</v>
      </c>
      <c r="D35" s="3" t="str">
        <f t="shared" si="0"/>
        <v>T1</v>
      </c>
      <c r="E35" s="3" t="s">
        <v>297</v>
      </c>
      <c r="F35" s="5" t="s">
        <v>190</v>
      </c>
      <c r="G35" s="4">
        <v>6.3503999999999996</v>
      </c>
      <c r="H35" s="4">
        <v>0.1842</v>
      </c>
      <c r="I35" s="4">
        <v>0.14599999999999999</v>
      </c>
      <c r="J35" s="4">
        <v>1.0479000000000003</v>
      </c>
      <c r="K35" s="4">
        <v>1.4519</v>
      </c>
    </row>
    <row r="36" spans="1:11" x14ac:dyDescent="0.2">
      <c r="A36" s="3">
        <v>45237</v>
      </c>
      <c r="B36" s="3" t="s">
        <v>8</v>
      </c>
      <c r="C36" s="3" t="s">
        <v>292</v>
      </c>
      <c r="D36" s="3" t="str">
        <f t="shared" si="0"/>
        <v>T1</v>
      </c>
      <c r="E36" s="3" t="s">
        <v>297</v>
      </c>
      <c r="F36" s="5" t="s">
        <v>191</v>
      </c>
      <c r="G36" s="4">
        <v>6.2422000000000004</v>
      </c>
      <c r="H36" s="4">
        <v>0.65650000000000008</v>
      </c>
      <c r="I36" s="4">
        <v>0.16039999999999999</v>
      </c>
      <c r="J36" s="4">
        <v>1.0872000000000002</v>
      </c>
      <c r="K36" s="4">
        <v>1.2913999999999999</v>
      </c>
    </row>
    <row r="37" spans="1:11" x14ac:dyDescent="0.2">
      <c r="A37" s="3">
        <v>45237</v>
      </c>
      <c r="B37" s="3" t="s">
        <v>8</v>
      </c>
      <c r="C37" s="3" t="s">
        <v>292</v>
      </c>
      <c r="D37" s="3" t="str">
        <f t="shared" si="0"/>
        <v>T1</v>
      </c>
      <c r="E37" s="3" t="s">
        <v>297</v>
      </c>
      <c r="F37" s="5" t="s">
        <v>192</v>
      </c>
      <c r="G37" s="4">
        <v>2.8370000000000002</v>
      </c>
      <c r="H37" s="4">
        <v>0.1229</v>
      </c>
      <c r="I37" s="4">
        <v>6.7299999999999999E-2</v>
      </c>
      <c r="J37" s="4">
        <v>0.30630000000000002</v>
      </c>
      <c r="K37" s="4">
        <v>1.1581000000000001</v>
      </c>
    </row>
    <row r="38" spans="1:11" x14ac:dyDescent="0.2">
      <c r="A38" s="3">
        <v>45237</v>
      </c>
      <c r="B38" s="3" t="s">
        <v>8</v>
      </c>
      <c r="C38" s="3" t="s">
        <v>292</v>
      </c>
      <c r="D38" s="3" t="str">
        <f t="shared" si="0"/>
        <v>T1</v>
      </c>
      <c r="E38" s="3" t="s">
        <v>297</v>
      </c>
      <c r="F38" s="5" t="s">
        <v>193</v>
      </c>
      <c r="G38" s="4">
        <v>5.0656999999999996</v>
      </c>
      <c r="H38" s="4">
        <v>0.17560000000000001</v>
      </c>
      <c r="I38" s="4">
        <v>0.121</v>
      </c>
      <c r="J38" s="4">
        <v>0.79330000000000001</v>
      </c>
      <c r="K38" s="4">
        <v>1.4117999999999999</v>
      </c>
    </row>
    <row r="39" spans="1:11" x14ac:dyDescent="0.2">
      <c r="A39" s="3">
        <v>45237</v>
      </c>
      <c r="B39" s="3" t="s">
        <v>8</v>
      </c>
      <c r="C39" s="3" t="s">
        <v>292</v>
      </c>
      <c r="D39" s="3" t="str">
        <f t="shared" si="0"/>
        <v>T1</v>
      </c>
      <c r="E39" s="3" t="s">
        <v>297</v>
      </c>
      <c r="F39" s="5" t="s">
        <v>194</v>
      </c>
      <c r="G39" s="4">
        <v>3.2486999999999999</v>
      </c>
      <c r="H39" s="4">
        <v>0.12419999999999999</v>
      </c>
      <c r="I39" s="4">
        <v>9.5299999999999996E-2</v>
      </c>
      <c r="J39" s="4">
        <v>0.3992</v>
      </c>
      <c r="K39" s="4">
        <v>1.141</v>
      </c>
    </row>
    <row r="40" spans="1:11" x14ac:dyDescent="0.2">
      <c r="A40" s="3">
        <v>45237</v>
      </c>
      <c r="B40" s="3" t="s">
        <v>8</v>
      </c>
      <c r="C40" s="3" t="s">
        <v>292</v>
      </c>
      <c r="D40" s="3" t="str">
        <f t="shared" si="0"/>
        <v>T1</v>
      </c>
      <c r="E40" s="3" t="s">
        <v>297</v>
      </c>
      <c r="F40" s="5" t="s">
        <v>195</v>
      </c>
      <c r="G40" s="4">
        <v>3.4626000000000001</v>
      </c>
      <c r="H40" s="4">
        <v>9.3599999999999989E-2</v>
      </c>
      <c r="I40" s="4">
        <v>6.2599999999999989E-2</v>
      </c>
      <c r="J40" s="4">
        <v>0.20080000000000003</v>
      </c>
      <c r="K40" s="4">
        <v>1.1792</v>
      </c>
    </row>
    <row r="41" spans="1:11" x14ac:dyDescent="0.2">
      <c r="A41" s="3">
        <v>45237</v>
      </c>
      <c r="B41" s="3" t="s">
        <v>8</v>
      </c>
      <c r="C41" s="3" t="s">
        <v>292</v>
      </c>
      <c r="D41" s="3" t="str">
        <f t="shared" si="0"/>
        <v>T1</v>
      </c>
      <c r="E41" s="3" t="s">
        <v>297</v>
      </c>
      <c r="F41" s="5" t="s">
        <v>196</v>
      </c>
      <c r="G41" s="4">
        <v>4.4329999999999998</v>
      </c>
      <c r="H41" s="4">
        <v>0.25159999999999999</v>
      </c>
      <c r="I41" s="4">
        <v>0.1608</v>
      </c>
      <c r="J41" s="4">
        <v>0.75019999999999998</v>
      </c>
      <c r="K41" s="4">
        <v>1.3507</v>
      </c>
    </row>
    <row r="42" spans="1:11" x14ac:dyDescent="0.2">
      <c r="A42" s="3">
        <v>45237</v>
      </c>
      <c r="B42" s="3" t="s">
        <v>8</v>
      </c>
      <c r="C42" s="3" t="s">
        <v>292</v>
      </c>
      <c r="D42" s="3" t="str">
        <f t="shared" si="0"/>
        <v>T1</v>
      </c>
      <c r="E42" s="3" t="s">
        <v>298</v>
      </c>
      <c r="F42" s="5" t="s">
        <v>199</v>
      </c>
      <c r="G42" s="4">
        <v>3.7296</v>
      </c>
      <c r="H42" s="4">
        <v>0.12179999999999999</v>
      </c>
      <c r="I42" s="4">
        <v>0.11169999999999999</v>
      </c>
      <c r="J42" s="4">
        <v>0.87419999999999998</v>
      </c>
      <c r="K42" s="4">
        <v>1.3658999999999999</v>
      </c>
    </row>
    <row r="43" spans="1:11" x14ac:dyDescent="0.2">
      <c r="A43" s="3">
        <v>45237</v>
      </c>
      <c r="B43" s="3" t="s">
        <v>8</v>
      </c>
      <c r="C43" s="3" t="s">
        <v>292</v>
      </c>
      <c r="D43" s="3" t="str">
        <f t="shared" si="0"/>
        <v>T1</v>
      </c>
      <c r="E43" s="3" t="s">
        <v>298</v>
      </c>
      <c r="F43" s="5" t="s">
        <v>200</v>
      </c>
      <c r="G43" s="4">
        <v>0.95850000000000002</v>
      </c>
      <c r="H43" s="4">
        <v>3.9400000000000004E-2</v>
      </c>
      <c r="I43" s="4">
        <v>4.8599999999999997E-2</v>
      </c>
      <c r="J43" s="4">
        <v>0.15409999999999999</v>
      </c>
      <c r="K43" s="4">
        <v>1.2874000000000001</v>
      </c>
    </row>
    <row r="44" spans="1:11" x14ac:dyDescent="0.2">
      <c r="A44" s="3">
        <v>45237</v>
      </c>
      <c r="B44" s="3" t="s">
        <v>8</v>
      </c>
      <c r="C44" s="3" t="s">
        <v>292</v>
      </c>
      <c r="D44" s="3" t="str">
        <f t="shared" si="0"/>
        <v>T1</v>
      </c>
      <c r="E44" s="3" t="s">
        <v>298</v>
      </c>
      <c r="F44" s="5" t="s">
        <v>201</v>
      </c>
      <c r="G44" s="4">
        <v>2.6254</v>
      </c>
      <c r="H44" s="4">
        <v>0.12089999999999999</v>
      </c>
      <c r="I44" s="4">
        <v>0.10469999999999999</v>
      </c>
      <c r="J44" s="4">
        <v>0.63779999999999992</v>
      </c>
      <c r="K44" s="4">
        <v>1.2065999999999999</v>
      </c>
    </row>
    <row r="45" spans="1:11" x14ac:dyDescent="0.2">
      <c r="A45" s="3">
        <v>45237</v>
      </c>
      <c r="B45" s="3" t="s">
        <v>8</v>
      </c>
      <c r="C45" s="3" t="s">
        <v>292</v>
      </c>
      <c r="D45" s="3" t="str">
        <f t="shared" si="0"/>
        <v>T1</v>
      </c>
      <c r="E45" s="3" t="s">
        <v>298</v>
      </c>
      <c r="F45" s="5" t="s">
        <v>202</v>
      </c>
      <c r="G45" s="4">
        <v>3.1623000000000001</v>
      </c>
      <c r="H45" s="4">
        <v>0.1361</v>
      </c>
      <c r="I45" s="4">
        <v>0.128</v>
      </c>
      <c r="J45" s="4">
        <v>0.57809999999999995</v>
      </c>
      <c r="K45" s="4">
        <v>1.0502</v>
      </c>
    </row>
    <row r="46" spans="1:11" x14ac:dyDescent="0.2">
      <c r="A46" s="3">
        <v>45237</v>
      </c>
      <c r="B46" s="3" t="s">
        <v>8</v>
      </c>
      <c r="C46" s="3" t="s">
        <v>292</v>
      </c>
      <c r="D46" s="3" t="str">
        <f t="shared" si="0"/>
        <v>T1</v>
      </c>
      <c r="E46" s="3" t="s">
        <v>298</v>
      </c>
      <c r="F46" s="5" t="s">
        <v>203</v>
      </c>
      <c r="G46" s="4">
        <v>3.3771</v>
      </c>
      <c r="H46" s="4">
        <v>0.1331</v>
      </c>
      <c r="I46" s="4">
        <v>0.1444</v>
      </c>
      <c r="J46" s="4">
        <v>0.71730000000000005</v>
      </c>
      <c r="K46" s="4">
        <v>1.0895000000000001</v>
      </c>
    </row>
    <row r="47" spans="1:11" x14ac:dyDescent="0.2">
      <c r="A47" s="3">
        <v>45237</v>
      </c>
      <c r="B47" s="3" t="s">
        <v>8</v>
      </c>
      <c r="C47" s="3" t="s">
        <v>292</v>
      </c>
      <c r="D47" s="3" t="str">
        <f t="shared" si="0"/>
        <v>T1</v>
      </c>
      <c r="E47" s="3" t="s">
        <v>298</v>
      </c>
      <c r="F47" s="5" t="s">
        <v>204</v>
      </c>
      <c r="G47" s="4">
        <v>4.2439</v>
      </c>
      <c r="H47" s="4">
        <v>0.14760000000000001</v>
      </c>
      <c r="I47" s="4">
        <v>0.12140000000000001</v>
      </c>
      <c r="J47" s="4">
        <v>0.55319999999999991</v>
      </c>
      <c r="K47" s="4">
        <v>1.3222</v>
      </c>
    </row>
    <row r="48" spans="1:11" x14ac:dyDescent="0.2">
      <c r="A48" s="3">
        <v>45237</v>
      </c>
      <c r="B48" s="3" t="s">
        <v>8</v>
      </c>
      <c r="C48" s="3" t="s">
        <v>292</v>
      </c>
      <c r="D48" s="3" t="str">
        <f t="shared" si="0"/>
        <v>T1</v>
      </c>
      <c r="E48" s="3" t="s">
        <v>298</v>
      </c>
      <c r="F48" s="5" t="s">
        <v>205</v>
      </c>
      <c r="G48" s="4">
        <v>2.5895999999999999</v>
      </c>
      <c r="H48" s="4">
        <v>0.1144</v>
      </c>
      <c r="I48" s="4">
        <v>8.9099999999999999E-2</v>
      </c>
      <c r="J48" s="4">
        <v>0.60699999999999998</v>
      </c>
      <c r="K48" s="4">
        <v>1.4222000000000001</v>
      </c>
    </row>
    <row r="49" spans="1:11" x14ac:dyDescent="0.2">
      <c r="A49" s="3">
        <v>45237</v>
      </c>
      <c r="B49" s="3" t="s">
        <v>8</v>
      </c>
      <c r="C49" s="3" t="s">
        <v>292</v>
      </c>
      <c r="D49" s="3" t="str">
        <f t="shared" si="0"/>
        <v>T1</v>
      </c>
      <c r="E49" s="3" t="s">
        <v>298</v>
      </c>
      <c r="F49" s="5" t="s">
        <v>206</v>
      </c>
      <c r="G49" s="4">
        <v>4.1171000000000006</v>
      </c>
      <c r="H49" s="4">
        <v>0.13070000000000001</v>
      </c>
      <c r="I49" s="4">
        <v>0.10580000000000001</v>
      </c>
      <c r="J49" s="4">
        <v>0.56320000000000003</v>
      </c>
      <c r="K49" s="4">
        <v>1.3733</v>
      </c>
    </row>
    <row r="50" spans="1:11" x14ac:dyDescent="0.2">
      <c r="A50" s="3">
        <v>45237</v>
      </c>
      <c r="B50" s="3" t="s">
        <v>8</v>
      </c>
      <c r="C50" s="3" t="s">
        <v>292</v>
      </c>
      <c r="D50" s="3" t="str">
        <f t="shared" si="0"/>
        <v>T1</v>
      </c>
      <c r="E50" s="3" t="s">
        <v>298</v>
      </c>
      <c r="F50" s="5" t="s">
        <v>207</v>
      </c>
      <c r="G50" s="4">
        <v>2.1381999999999999</v>
      </c>
      <c r="H50" s="4">
        <v>7.4099999999999999E-2</v>
      </c>
      <c r="I50" s="4">
        <v>7.3499999999999996E-2</v>
      </c>
      <c r="J50" s="4">
        <v>0.31459999999999999</v>
      </c>
      <c r="K50" s="4">
        <v>1.2733000000000001</v>
      </c>
    </row>
    <row r="51" spans="1:11" x14ac:dyDescent="0.2">
      <c r="A51" s="3">
        <v>45237</v>
      </c>
      <c r="B51" s="3" t="s">
        <v>8</v>
      </c>
      <c r="C51" s="3" t="s">
        <v>292</v>
      </c>
      <c r="D51" s="3" t="str">
        <f t="shared" si="0"/>
        <v>T1</v>
      </c>
      <c r="E51" s="3" t="s">
        <v>298</v>
      </c>
      <c r="F51" s="5" t="s">
        <v>208</v>
      </c>
      <c r="G51" s="4">
        <v>3.1919</v>
      </c>
      <c r="H51" s="4">
        <v>4.1000000000000002E-2</v>
      </c>
      <c r="I51" s="4">
        <v>6.4599999999999991E-2</v>
      </c>
      <c r="J51" s="4">
        <v>0.19630000000000003</v>
      </c>
      <c r="K51" s="4">
        <v>1.3177000000000001</v>
      </c>
    </row>
    <row r="52" spans="1:11" x14ac:dyDescent="0.2">
      <c r="A52" s="3">
        <v>45237</v>
      </c>
      <c r="B52" s="3" t="s">
        <v>8</v>
      </c>
      <c r="C52" s="3" t="s">
        <v>292</v>
      </c>
      <c r="D52" s="3" t="str">
        <f t="shared" si="0"/>
        <v>T1</v>
      </c>
      <c r="E52" s="3" t="s">
        <v>299</v>
      </c>
      <c r="F52" s="5" t="s">
        <v>209</v>
      </c>
      <c r="G52" s="4">
        <v>2.5198999999999998</v>
      </c>
      <c r="H52" s="4">
        <v>9.1199999999999989E-2</v>
      </c>
      <c r="I52" s="4">
        <v>7.3899999999999993E-2</v>
      </c>
      <c r="J52" s="4">
        <v>0.52970000000000006</v>
      </c>
      <c r="K52" s="4">
        <v>1.1910000000000001</v>
      </c>
    </row>
    <row r="53" spans="1:11" x14ac:dyDescent="0.2">
      <c r="A53" s="3">
        <v>45237</v>
      </c>
      <c r="B53" s="3" t="s">
        <v>8</v>
      </c>
      <c r="C53" s="3" t="s">
        <v>292</v>
      </c>
      <c r="D53" s="3" t="str">
        <f t="shared" si="0"/>
        <v>T1</v>
      </c>
      <c r="E53" s="3" t="s">
        <v>299</v>
      </c>
      <c r="F53" s="5" t="s">
        <v>210</v>
      </c>
      <c r="G53" s="4">
        <v>2.1367000000000003</v>
      </c>
      <c r="H53" s="4">
        <v>7.9799999999999996E-2</v>
      </c>
      <c r="I53" s="4">
        <v>5.7099999999999998E-2</v>
      </c>
      <c r="J53" s="4">
        <v>0.24299999999999999</v>
      </c>
      <c r="K53" s="4">
        <v>1.1132</v>
      </c>
    </row>
    <row r="54" spans="1:11" x14ac:dyDescent="0.2">
      <c r="A54" s="3">
        <v>45237</v>
      </c>
      <c r="B54" s="3" t="s">
        <v>8</v>
      </c>
      <c r="C54" s="3" t="s">
        <v>292</v>
      </c>
      <c r="D54" s="3" t="str">
        <f t="shared" si="0"/>
        <v>T1</v>
      </c>
      <c r="E54" s="3" t="s">
        <v>299</v>
      </c>
      <c r="F54" s="5" t="s">
        <v>211</v>
      </c>
      <c r="G54" s="4">
        <v>2.2320000000000002</v>
      </c>
      <c r="H54" s="4">
        <v>9.4299999999999995E-2</v>
      </c>
      <c r="I54" s="4">
        <v>0.1129</v>
      </c>
      <c r="J54" s="4">
        <v>0.59709999999999996</v>
      </c>
      <c r="K54" s="4">
        <v>1.1999</v>
      </c>
    </row>
    <row r="55" spans="1:11" x14ac:dyDescent="0.2">
      <c r="A55" s="3">
        <v>45237</v>
      </c>
      <c r="B55" s="3" t="s">
        <v>8</v>
      </c>
      <c r="C55" s="3" t="s">
        <v>292</v>
      </c>
      <c r="D55" s="3" t="str">
        <f t="shared" si="0"/>
        <v>T1</v>
      </c>
      <c r="E55" s="3" t="s">
        <v>299</v>
      </c>
      <c r="F55" s="5" t="s">
        <v>212</v>
      </c>
      <c r="G55" s="4">
        <v>1.8044</v>
      </c>
      <c r="H55" s="4">
        <v>5.16E-2</v>
      </c>
      <c r="I55" s="4">
        <v>8.9099999999999999E-2</v>
      </c>
      <c r="J55" s="4">
        <v>0.62309999999999999</v>
      </c>
      <c r="K55" s="4">
        <v>1.3088</v>
      </c>
    </row>
    <row r="56" spans="1:11" x14ac:dyDescent="0.2">
      <c r="A56" s="3">
        <v>45237</v>
      </c>
      <c r="B56" s="3" t="s">
        <v>8</v>
      </c>
      <c r="C56" s="3" t="s">
        <v>292</v>
      </c>
      <c r="D56" s="3" t="str">
        <f t="shared" si="0"/>
        <v>T1</v>
      </c>
      <c r="E56" s="3" t="s">
        <v>299</v>
      </c>
      <c r="F56" s="5" t="s">
        <v>213</v>
      </c>
      <c r="G56" s="4">
        <v>1.9231</v>
      </c>
      <c r="H56" s="4">
        <v>0.12329999999999999</v>
      </c>
      <c r="I56" s="4">
        <v>9.8099999999999993E-2</v>
      </c>
      <c r="J56" s="4">
        <v>0.54780000000000006</v>
      </c>
      <c r="K56" s="4">
        <v>1.2310000000000001</v>
      </c>
    </row>
    <row r="57" spans="1:11" x14ac:dyDescent="0.2">
      <c r="A57" s="3">
        <v>45237</v>
      </c>
      <c r="B57" s="3" t="s">
        <v>8</v>
      </c>
      <c r="C57" s="3" t="s">
        <v>292</v>
      </c>
      <c r="D57" s="3" t="str">
        <f t="shared" si="0"/>
        <v>T1</v>
      </c>
      <c r="E57" s="3" t="s">
        <v>299</v>
      </c>
      <c r="F57" s="5" t="s">
        <v>214</v>
      </c>
      <c r="G57" s="4">
        <v>1.7082999999999999</v>
      </c>
      <c r="H57" s="4">
        <v>4.9600000000000005E-2</v>
      </c>
      <c r="I57" s="4">
        <v>6.0699999999999997E-2</v>
      </c>
      <c r="J57" s="4">
        <v>0.16619999999999999</v>
      </c>
      <c r="K57" s="4">
        <v>1.5319</v>
      </c>
    </row>
    <row r="58" spans="1:11" x14ac:dyDescent="0.2">
      <c r="A58" s="3">
        <v>45237</v>
      </c>
      <c r="B58" s="3" t="s">
        <v>8</v>
      </c>
      <c r="C58" s="3" t="s">
        <v>292</v>
      </c>
      <c r="D58" s="3" t="str">
        <f t="shared" si="0"/>
        <v>T1</v>
      </c>
      <c r="E58" s="3" t="s">
        <v>299</v>
      </c>
      <c r="F58" s="5" t="s">
        <v>215</v>
      </c>
      <c r="G58" s="4">
        <v>1.9747999999999999</v>
      </c>
      <c r="H58" s="4">
        <v>0.12139999999999999</v>
      </c>
      <c r="I58" s="4">
        <v>0.11249999999999999</v>
      </c>
      <c r="J58" s="4">
        <v>1.4222000000000001</v>
      </c>
      <c r="K58" s="4">
        <v>1.4837</v>
      </c>
    </row>
    <row r="59" spans="1:11" x14ac:dyDescent="0.2">
      <c r="A59" s="3">
        <v>45237</v>
      </c>
      <c r="B59" s="3" t="s">
        <v>8</v>
      </c>
      <c r="C59" s="3" t="s">
        <v>292</v>
      </c>
      <c r="D59" s="3" t="str">
        <f t="shared" si="0"/>
        <v>T1</v>
      </c>
      <c r="E59" s="3" t="s">
        <v>299</v>
      </c>
      <c r="F59" s="5" t="s">
        <v>216</v>
      </c>
      <c r="G59" s="4">
        <v>1.8025</v>
      </c>
      <c r="H59" s="4">
        <v>9.2999999999999999E-2</v>
      </c>
      <c r="I59" s="4">
        <v>8.249999999999999E-2</v>
      </c>
      <c r="J59" s="4">
        <v>1.1195000000000002</v>
      </c>
      <c r="K59" s="4">
        <v>1.6289</v>
      </c>
    </row>
    <row r="60" spans="1:11" x14ac:dyDescent="0.2">
      <c r="A60" s="3">
        <v>45237</v>
      </c>
      <c r="B60" s="3" t="s">
        <v>8</v>
      </c>
      <c r="C60" s="3" t="s">
        <v>292</v>
      </c>
      <c r="D60" s="3" t="str">
        <f t="shared" si="0"/>
        <v>T1</v>
      </c>
      <c r="E60" s="3" t="s">
        <v>299</v>
      </c>
      <c r="F60" s="5" t="s">
        <v>217</v>
      </c>
      <c r="G60" s="4">
        <v>2.4285000000000001</v>
      </c>
      <c r="H60" s="4">
        <v>9.7099999999999992E-2</v>
      </c>
      <c r="I60" s="4">
        <v>7.3499999999999996E-2</v>
      </c>
      <c r="J60" s="4">
        <v>0.49</v>
      </c>
      <c r="K60" s="4">
        <v>1.3852</v>
      </c>
    </row>
    <row r="61" spans="1:11" x14ac:dyDescent="0.2">
      <c r="A61" s="3">
        <v>45237</v>
      </c>
      <c r="B61" s="3" t="s">
        <v>8</v>
      </c>
      <c r="C61" s="3" t="s">
        <v>292</v>
      </c>
      <c r="D61" s="3" t="str">
        <f t="shared" si="0"/>
        <v>T1</v>
      </c>
      <c r="E61" s="3" t="s">
        <v>299</v>
      </c>
      <c r="F61" s="5" t="s">
        <v>218</v>
      </c>
      <c r="G61" s="4">
        <v>2.3332000000000002</v>
      </c>
      <c r="H61" s="4">
        <v>5.57E-2</v>
      </c>
      <c r="I61" s="4">
        <v>5.2899999999999996E-2</v>
      </c>
      <c r="J61" s="4">
        <v>0.38169999999999998</v>
      </c>
      <c r="K61" s="4">
        <v>1.0925</v>
      </c>
    </row>
    <row r="62" spans="1:11" x14ac:dyDescent="0.2">
      <c r="A62" s="3">
        <v>45237</v>
      </c>
      <c r="B62" s="3" t="s">
        <v>9</v>
      </c>
      <c r="C62" s="3" t="s">
        <v>293</v>
      </c>
      <c r="D62" s="3" t="str">
        <f t="shared" si="0"/>
        <v>PI</v>
      </c>
      <c r="E62" s="3" t="s">
        <v>297</v>
      </c>
      <c r="F62" s="5" t="s">
        <v>219</v>
      </c>
      <c r="G62" s="4">
        <v>4.0427</v>
      </c>
      <c r="H62" s="4">
        <v>0.25520000000000004</v>
      </c>
      <c r="I62" s="4">
        <v>0.121</v>
      </c>
      <c r="J62" s="4">
        <v>0.95030000000000014</v>
      </c>
      <c r="K62" s="4">
        <v>2.2364999999999999</v>
      </c>
    </row>
    <row r="63" spans="1:11" x14ac:dyDescent="0.2">
      <c r="A63" s="3">
        <v>45237</v>
      </c>
      <c r="B63" s="3" t="s">
        <v>9</v>
      </c>
      <c r="C63" s="3" t="s">
        <v>293</v>
      </c>
      <c r="D63" s="3" t="str">
        <f t="shared" si="0"/>
        <v>PI</v>
      </c>
      <c r="E63" s="3" t="s">
        <v>297</v>
      </c>
      <c r="F63" s="5" t="s">
        <v>220</v>
      </c>
      <c r="G63" s="4">
        <v>4.7479000000000005</v>
      </c>
      <c r="H63" s="4">
        <v>0.15709999999999999</v>
      </c>
      <c r="I63" s="4">
        <v>0.1701</v>
      </c>
      <c r="J63" s="4">
        <v>0.97350000000000014</v>
      </c>
      <c r="K63" s="4">
        <v>1.5902000000000001</v>
      </c>
    </row>
    <row r="64" spans="1:11" x14ac:dyDescent="0.2">
      <c r="A64" s="3">
        <v>45237</v>
      </c>
      <c r="B64" s="3" t="s">
        <v>9</v>
      </c>
      <c r="C64" s="3" t="s">
        <v>293</v>
      </c>
      <c r="D64" s="3" t="str">
        <f t="shared" si="0"/>
        <v>PI</v>
      </c>
      <c r="E64" s="3" t="s">
        <v>297</v>
      </c>
      <c r="F64" s="5" t="s">
        <v>221</v>
      </c>
      <c r="G64" s="4">
        <v>7.1862000000000004</v>
      </c>
      <c r="H64" s="4">
        <v>0.23929999999999998</v>
      </c>
      <c r="I64" s="4">
        <v>0.15379999999999999</v>
      </c>
      <c r="J64" s="4">
        <v>0.96860000000000013</v>
      </c>
      <c r="K64" s="4">
        <v>1.6731</v>
      </c>
    </row>
    <row r="65" spans="1:14" x14ac:dyDescent="0.2">
      <c r="A65" s="3">
        <v>45237</v>
      </c>
      <c r="B65" s="3" t="s">
        <v>9</v>
      </c>
      <c r="C65" s="3" t="s">
        <v>293</v>
      </c>
      <c r="D65" s="3" t="str">
        <f t="shared" si="0"/>
        <v>PI</v>
      </c>
      <c r="E65" s="3" t="s">
        <v>297</v>
      </c>
      <c r="F65" s="5" t="s">
        <v>222</v>
      </c>
      <c r="G65" s="4">
        <v>4.8414000000000001</v>
      </c>
      <c r="H65" s="4">
        <v>0.17949999999999999</v>
      </c>
      <c r="I65" s="4">
        <v>9.2999999999999999E-2</v>
      </c>
      <c r="J65" s="4">
        <v>0.54200000000000004</v>
      </c>
      <c r="K65" s="4">
        <v>1.9983</v>
      </c>
      <c r="M65" s="1"/>
      <c r="N65" s="1"/>
    </row>
    <row r="66" spans="1:14" x14ac:dyDescent="0.2">
      <c r="A66" s="3">
        <v>45237</v>
      </c>
      <c r="B66" s="3" t="s">
        <v>9</v>
      </c>
      <c r="C66" s="3" t="s">
        <v>293</v>
      </c>
      <c r="D66" s="3" t="str">
        <f t="shared" si="0"/>
        <v>PI</v>
      </c>
      <c r="E66" s="3" t="s">
        <v>297</v>
      </c>
      <c r="F66" s="5" t="s">
        <v>223</v>
      </c>
      <c r="G66" s="4">
        <v>7.6300999999999997</v>
      </c>
      <c r="H66" s="4">
        <v>0.39789999999999998</v>
      </c>
      <c r="I66" s="4">
        <v>0.1351</v>
      </c>
      <c r="J66" s="4">
        <v>1.2138</v>
      </c>
      <c r="K66" s="4">
        <v>2.1255999999999999</v>
      </c>
      <c r="M66" s="1"/>
      <c r="N66" s="1"/>
    </row>
    <row r="67" spans="1:14" x14ac:dyDescent="0.2">
      <c r="A67" s="3">
        <v>45237</v>
      </c>
      <c r="B67" s="3" t="s">
        <v>9</v>
      </c>
      <c r="C67" s="3" t="s">
        <v>293</v>
      </c>
      <c r="D67" s="3" t="str">
        <f t="shared" ref="D67:D130" si="1">LEFT(F67, 2)</f>
        <v>PI</v>
      </c>
      <c r="E67" s="3" t="s">
        <v>297</v>
      </c>
      <c r="F67" s="5" t="s">
        <v>224</v>
      </c>
      <c r="G67" s="4">
        <v>4.3959000000000001</v>
      </c>
      <c r="H67" s="4">
        <v>0.15340000000000001</v>
      </c>
      <c r="I67" s="4">
        <v>9.7700000000000009E-2</v>
      </c>
      <c r="J67" s="4">
        <v>0.64349999999999996</v>
      </c>
      <c r="K67" s="4">
        <v>2.3752</v>
      </c>
    </row>
    <row r="68" spans="1:14" x14ac:dyDescent="0.2">
      <c r="A68" s="3">
        <v>45237</v>
      </c>
      <c r="B68" s="3" t="s">
        <v>9</v>
      </c>
      <c r="C68" s="3" t="s">
        <v>293</v>
      </c>
      <c r="D68" s="3" t="str">
        <f t="shared" si="1"/>
        <v>PI</v>
      </c>
      <c r="E68" s="3" t="s">
        <v>297</v>
      </c>
      <c r="F68" s="5" t="s">
        <v>225</v>
      </c>
      <c r="G68" s="4">
        <v>5.3330000000000002</v>
      </c>
      <c r="H68" s="4">
        <v>0.1915</v>
      </c>
      <c r="I68" s="4">
        <v>0.10899999999999999</v>
      </c>
      <c r="J68" s="4">
        <v>0.64659999999999995</v>
      </c>
      <c r="K68" s="4">
        <v>2.0720000000000001</v>
      </c>
    </row>
    <row r="69" spans="1:14" x14ac:dyDescent="0.2">
      <c r="A69" s="3">
        <v>45237</v>
      </c>
      <c r="B69" s="3" t="s">
        <v>9</v>
      </c>
      <c r="C69" s="3" t="s">
        <v>293</v>
      </c>
      <c r="D69" s="3" t="str">
        <f t="shared" si="1"/>
        <v>PI</v>
      </c>
      <c r="E69" s="3" t="s">
        <v>297</v>
      </c>
      <c r="F69" s="5" t="s">
        <v>226</v>
      </c>
      <c r="G69" s="4">
        <v>5.3327</v>
      </c>
      <c r="H69" s="4">
        <v>0.25819999999999999</v>
      </c>
      <c r="I69" s="4">
        <v>0.1134</v>
      </c>
      <c r="J69" s="4">
        <v>0.97170000000000023</v>
      </c>
      <c r="K69" s="4">
        <v>2.0948000000000002</v>
      </c>
    </row>
    <row r="70" spans="1:14" x14ac:dyDescent="0.2">
      <c r="A70" s="3">
        <v>45237</v>
      </c>
      <c r="B70" s="3" t="s">
        <v>9</v>
      </c>
      <c r="C70" s="3" t="s">
        <v>293</v>
      </c>
      <c r="D70" s="3" t="str">
        <f t="shared" si="1"/>
        <v>PI</v>
      </c>
      <c r="E70" s="3" t="s">
        <v>297</v>
      </c>
      <c r="F70" s="5" t="s">
        <v>227</v>
      </c>
      <c r="G70" s="4">
        <v>2.9487999999999999</v>
      </c>
      <c r="H70" s="4">
        <v>0.1285</v>
      </c>
      <c r="I70" s="4">
        <v>8.7299999999999989E-2</v>
      </c>
      <c r="J70" s="4">
        <v>0.67920000000000003</v>
      </c>
      <c r="K70" s="4">
        <v>2.4489000000000001</v>
      </c>
    </row>
    <row r="71" spans="1:14" x14ac:dyDescent="0.2">
      <c r="A71" s="3">
        <v>45237</v>
      </c>
      <c r="B71" s="3" t="s">
        <v>9</v>
      </c>
      <c r="C71" s="3" t="s">
        <v>293</v>
      </c>
      <c r="D71" s="3" t="str">
        <f t="shared" si="1"/>
        <v>PI</v>
      </c>
      <c r="E71" s="3" t="s">
        <v>297</v>
      </c>
      <c r="F71" s="5" t="s">
        <v>228</v>
      </c>
      <c r="G71" s="4">
        <v>3.9592999999999998</v>
      </c>
      <c r="H71" s="4">
        <v>0.17180000000000001</v>
      </c>
      <c r="I71" s="4">
        <v>8.4599999999999995E-2</v>
      </c>
      <c r="J71" s="4">
        <v>0.47689999999999999</v>
      </c>
      <c r="K71" s="4">
        <v>2.2317</v>
      </c>
    </row>
    <row r="72" spans="1:14" x14ac:dyDescent="0.2">
      <c r="A72" s="3">
        <v>45237</v>
      </c>
      <c r="B72" s="3" t="s">
        <v>9</v>
      </c>
      <c r="C72" s="3" t="s">
        <v>293</v>
      </c>
      <c r="D72" s="3" t="str">
        <f t="shared" si="1"/>
        <v>PI</v>
      </c>
      <c r="E72" s="3" t="s">
        <v>297</v>
      </c>
      <c r="F72" s="5" t="s">
        <v>229</v>
      </c>
      <c r="G72" s="4">
        <v>3.359</v>
      </c>
      <c r="H72" s="4">
        <v>0.14229999999999998</v>
      </c>
      <c r="I72" s="4">
        <v>0.1217</v>
      </c>
      <c r="J72" s="4">
        <v>0.7611</v>
      </c>
      <c r="K72" s="4">
        <v>2.3835000000000002</v>
      </c>
    </row>
    <row r="73" spans="1:14" x14ac:dyDescent="0.2">
      <c r="A73" s="3">
        <v>45237</v>
      </c>
      <c r="B73" s="3" t="s">
        <v>9</v>
      </c>
      <c r="C73" s="3" t="s">
        <v>293</v>
      </c>
      <c r="D73" s="3" t="str">
        <f t="shared" si="1"/>
        <v>PI</v>
      </c>
      <c r="E73" s="3" t="s">
        <v>297</v>
      </c>
      <c r="F73" s="5" t="s">
        <v>230</v>
      </c>
      <c r="G73" s="4">
        <v>3.0179</v>
      </c>
      <c r="H73" s="4">
        <v>7.7600000000000002E-2</v>
      </c>
      <c r="I73" s="4">
        <v>8.8599999999999998E-2</v>
      </c>
      <c r="J73" s="4">
        <v>0.45379999999999998</v>
      </c>
      <c r="K73" s="4">
        <v>2.3351999999999999</v>
      </c>
    </row>
    <row r="74" spans="1:14" x14ac:dyDescent="0.2">
      <c r="A74" s="3">
        <v>45237</v>
      </c>
      <c r="B74" s="3" t="s">
        <v>9</v>
      </c>
      <c r="C74" s="3" t="s">
        <v>293</v>
      </c>
      <c r="D74" s="3" t="str">
        <f t="shared" si="1"/>
        <v>PI</v>
      </c>
      <c r="E74" s="3" t="s">
        <v>297</v>
      </c>
      <c r="F74" s="5" t="s">
        <v>231</v>
      </c>
      <c r="G74" s="4">
        <v>3.0975999999999999</v>
      </c>
      <c r="H74" s="4">
        <v>0.2056</v>
      </c>
      <c r="I74" s="4">
        <v>9.2700000000000005E-2</v>
      </c>
      <c r="J74" s="4">
        <v>0.41969999999999996</v>
      </c>
      <c r="K74" s="4">
        <v>2.1148000000000002</v>
      </c>
    </row>
    <row r="75" spans="1:14" x14ac:dyDescent="0.2">
      <c r="A75" s="3">
        <v>45237</v>
      </c>
      <c r="B75" s="3" t="s">
        <v>9</v>
      </c>
      <c r="C75" s="3" t="s">
        <v>293</v>
      </c>
      <c r="D75" s="3" t="str">
        <f t="shared" si="1"/>
        <v>PI</v>
      </c>
      <c r="E75" s="3" t="s">
        <v>297</v>
      </c>
      <c r="F75" s="5" t="s">
        <v>232</v>
      </c>
      <c r="G75" s="4">
        <v>4.9867999999999997</v>
      </c>
      <c r="H75" s="4">
        <v>0.3281</v>
      </c>
      <c r="I75" s="4">
        <v>0.1578</v>
      </c>
      <c r="J75" s="4">
        <v>0.79010000000000002</v>
      </c>
      <c r="K75" s="4">
        <v>1.7538</v>
      </c>
    </row>
    <row r="76" spans="1:14" x14ac:dyDescent="0.2">
      <c r="A76" s="3">
        <v>45237</v>
      </c>
      <c r="B76" s="3" t="s">
        <v>9</v>
      </c>
      <c r="C76" s="3" t="s">
        <v>293</v>
      </c>
      <c r="D76" s="3" t="str">
        <f t="shared" si="1"/>
        <v>PI</v>
      </c>
      <c r="E76" s="3" t="s">
        <v>297</v>
      </c>
      <c r="F76" s="5" t="s">
        <v>233</v>
      </c>
      <c r="G76" s="4">
        <v>2.3052000000000001</v>
      </c>
      <c r="H76" s="4">
        <v>0.128</v>
      </c>
      <c r="I76" s="4">
        <v>9.1999999999999998E-2</v>
      </c>
      <c r="J76" s="4">
        <v>0.56979999999999997</v>
      </c>
      <c r="K76" s="4">
        <v>1.964</v>
      </c>
    </row>
    <row r="77" spans="1:14" x14ac:dyDescent="0.2">
      <c r="A77" s="3">
        <v>45237</v>
      </c>
      <c r="B77" s="3" t="s">
        <v>9</v>
      </c>
      <c r="C77" s="3" t="s">
        <v>293</v>
      </c>
      <c r="D77" s="3" t="str">
        <f t="shared" si="1"/>
        <v>PI</v>
      </c>
      <c r="E77" s="3" t="s">
        <v>297</v>
      </c>
      <c r="F77" s="5" t="s">
        <v>234</v>
      </c>
      <c r="G77" s="4">
        <v>4.2458</v>
      </c>
      <c r="H77" s="4">
        <v>0.2868</v>
      </c>
      <c r="I77" s="4">
        <v>0.11269999999999999</v>
      </c>
      <c r="J77" s="4">
        <v>0.73569999999999991</v>
      </c>
      <c r="K77" s="4">
        <v>2.0253000000000001</v>
      </c>
    </row>
    <row r="78" spans="1:14" x14ac:dyDescent="0.2">
      <c r="A78" s="3">
        <v>45237</v>
      </c>
      <c r="B78" s="3" t="s">
        <v>9</v>
      </c>
      <c r="C78" s="3" t="s">
        <v>293</v>
      </c>
      <c r="D78" s="3" t="str">
        <f t="shared" si="1"/>
        <v>PI</v>
      </c>
      <c r="E78" s="3" t="s">
        <v>297</v>
      </c>
      <c r="F78" s="5" t="s">
        <v>235</v>
      </c>
      <c r="G78" s="4">
        <v>4.3281999999999998</v>
      </c>
      <c r="H78" s="4">
        <v>0.20119999999999999</v>
      </c>
      <c r="I78" s="4">
        <v>0.11699999999999999</v>
      </c>
      <c r="J78" s="4">
        <v>1.1385000000000001</v>
      </c>
      <c r="K78" s="4">
        <v>1.8532000000000002</v>
      </c>
    </row>
    <row r="79" spans="1:14" x14ac:dyDescent="0.2">
      <c r="A79" s="3">
        <v>45237</v>
      </c>
      <c r="B79" s="3" t="s">
        <v>9</v>
      </c>
      <c r="C79" s="3" t="s">
        <v>293</v>
      </c>
      <c r="D79" s="3" t="str">
        <f t="shared" si="1"/>
        <v>PI</v>
      </c>
      <c r="E79" s="3" t="s">
        <v>297</v>
      </c>
      <c r="F79" s="5" t="s">
        <v>236</v>
      </c>
      <c r="G79" s="4">
        <v>1.8355999999999999</v>
      </c>
      <c r="H79" s="4">
        <v>9.6000000000000002E-2</v>
      </c>
      <c r="I79" s="4">
        <v>7.9299999999999995E-2</v>
      </c>
      <c r="J79" s="4">
        <v>0.46080000000000004</v>
      </c>
      <c r="K79" s="4">
        <v>1.6677</v>
      </c>
    </row>
    <row r="80" spans="1:14" x14ac:dyDescent="0.2">
      <c r="A80" s="3">
        <v>45238</v>
      </c>
      <c r="B80" s="3" t="s">
        <v>10</v>
      </c>
      <c r="C80" s="3" t="s">
        <v>293</v>
      </c>
      <c r="D80" s="3" t="str">
        <f t="shared" si="1"/>
        <v>PI</v>
      </c>
      <c r="E80" s="3" t="s">
        <v>298</v>
      </c>
      <c r="F80" s="5" t="s">
        <v>243</v>
      </c>
      <c r="G80" s="4">
        <v>3.2486999999999999</v>
      </c>
      <c r="H80" s="4">
        <v>8.9599999999999999E-2</v>
      </c>
      <c r="I80" s="4">
        <v>0.1077</v>
      </c>
      <c r="J80" s="4">
        <v>0.46379999999999999</v>
      </c>
      <c r="K80" s="4">
        <v>0.91739999999999999</v>
      </c>
    </row>
    <row r="81" spans="1:11" x14ac:dyDescent="0.2">
      <c r="A81" s="3">
        <v>45238</v>
      </c>
      <c r="B81" s="3" t="s">
        <v>10</v>
      </c>
      <c r="C81" s="3" t="s">
        <v>293</v>
      </c>
      <c r="D81" s="3" t="str">
        <f t="shared" si="1"/>
        <v>PI</v>
      </c>
      <c r="E81" s="3" t="s">
        <v>298</v>
      </c>
      <c r="F81" s="5" t="s">
        <v>244</v>
      </c>
      <c r="G81" s="4">
        <v>2.4932000000000003</v>
      </c>
      <c r="H81" s="4">
        <v>8.6599999999999996E-2</v>
      </c>
      <c r="I81" s="4">
        <v>0.1047</v>
      </c>
      <c r="J81" s="4">
        <v>0.3982</v>
      </c>
      <c r="K81" s="4">
        <v>1.2652999999999999</v>
      </c>
    </row>
    <row r="82" spans="1:11" x14ac:dyDescent="0.2">
      <c r="A82" s="3">
        <v>45238</v>
      </c>
      <c r="B82" s="3" t="s">
        <v>10</v>
      </c>
      <c r="C82" s="3" t="s">
        <v>293</v>
      </c>
      <c r="D82" s="3" t="str">
        <f t="shared" si="1"/>
        <v>PI</v>
      </c>
      <c r="E82" s="3" t="s">
        <v>298</v>
      </c>
      <c r="F82" s="5" t="s">
        <v>245</v>
      </c>
      <c r="G82" s="4">
        <v>2.9935</v>
      </c>
      <c r="H82" s="4">
        <v>7.4400000000000008E-2</v>
      </c>
      <c r="I82" s="4">
        <v>8.3300000000000013E-2</v>
      </c>
      <c r="J82" s="4">
        <v>0.24129999999999999</v>
      </c>
      <c r="K82" s="4">
        <v>0.74150000000000005</v>
      </c>
    </row>
    <row r="83" spans="1:11" x14ac:dyDescent="0.2">
      <c r="A83" s="3">
        <v>45238</v>
      </c>
      <c r="B83" s="3" t="s">
        <v>10</v>
      </c>
      <c r="C83" s="3" t="s">
        <v>293</v>
      </c>
      <c r="D83" s="3" t="str">
        <f t="shared" si="1"/>
        <v>PI</v>
      </c>
      <c r="E83" s="3" t="s">
        <v>298</v>
      </c>
      <c r="F83" s="5" t="s">
        <v>246</v>
      </c>
      <c r="G83" s="4">
        <v>2.7227000000000001</v>
      </c>
      <c r="H83" s="4">
        <v>5.3200000000000004E-2</v>
      </c>
      <c r="I83" s="4">
        <v>7.8E-2</v>
      </c>
      <c r="J83" s="4">
        <v>0.1578</v>
      </c>
      <c r="K83" s="4">
        <v>0.6946</v>
      </c>
    </row>
    <row r="84" spans="1:11" x14ac:dyDescent="0.2">
      <c r="A84" s="3">
        <v>45238</v>
      </c>
      <c r="B84" s="3" t="s">
        <v>10</v>
      </c>
      <c r="C84" s="3" t="s">
        <v>293</v>
      </c>
      <c r="D84" s="3" t="str">
        <f t="shared" si="1"/>
        <v>PI</v>
      </c>
      <c r="E84" s="3" t="s">
        <v>298</v>
      </c>
      <c r="F84" s="5" t="s">
        <v>247</v>
      </c>
      <c r="G84" s="4">
        <v>2.2663000000000002</v>
      </c>
      <c r="H84" s="4">
        <v>9.7200000000000009E-2</v>
      </c>
      <c r="I84" s="4">
        <v>0.1027</v>
      </c>
      <c r="J84" s="4">
        <v>0.43169999999999997</v>
      </c>
      <c r="K84" s="4">
        <v>1.2044000000000001</v>
      </c>
    </row>
    <row r="85" spans="1:11" x14ac:dyDescent="0.2">
      <c r="A85" s="3">
        <v>45238</v>
      </c>
      <c r="B85" s="3" t="s">
        <v>10</v>
      </c>
      <c r="C85" s="3" t="s">
        <v>293</v>
      </c>
      <c r="D85" s="3" t="str">
        <f t="shared" si="1"/>
        <v>PI</v>
      </c>
      <c r="E85" s="3" t="s">
        <v>298</v>
      </c>
      <c r="F85" s="5" t="s">
        <v>248</v>
      </c>
      <c r="G85" s="4">
        <v>1.9131</v>
      </c>
      <c r="H85" s="4">
        <v>5.62E-2</v>
      </c>
      <c r="I85" s="4">
        <v>7.9000000000000001E-2</v>
      </c>
      <c r="J85" s="4">
        <v>0.21139999999999998</v>
      </c>
      <c r="K85" s="4">
        <v>0.72730000000000006</v>
      </c>
    </row>
    <row r="86" spans="1:11" x14ac:dyDescent="0.2">
      <c r="A86" s="3">
        <v>45238</v>
      </c>
      <c r="B86" s="3" t="s">
        <v>10</v>
      </c>
      <c r="C86" s="3" t="s">
        <v>293</v>
      </c>
      <c r="D86" s="3" t="str">
        <f t="shared" si="1"/>
        <v>PI</v>
      </c>
      <c r="E86" s="3" t="s">
        <v>298</v>
      </c>
      <c r="F86" s="5" t="s">
        <v>249</v>
      </c>
      <c r="G86" s="4">
        <v>2.7515000000000001</v>
      </c>
      <c r="H86" s="4">
        <v>6.4699999999999994E-2</v>
      </c>
      <c r="I86" s="4">
        <v>8.5300000000000001E-2</v>
      </c>
      <c r="J86" s="4">
        <v>0.24870000000000003</v>
      </c>
      <c r="K86" s="4">
        <v>0.79790000000000005</v>
      </c>
    </row>
    <row r="87" spans="1:11" x14ac:dyDescent="0.2">
      <c r="A87" s="3">
        <v>45238</v>
      </c>
      <c r="B87" s="3" t="s">
        <v>10</v>
      </c>
      <c r="C87" s="3" t="s">
        <v>293</v>
      </c>
      <c r="D87" s="3" t="str">
        <f t="shared" si="1"/>
        <v>PI</v>
      </c>
      <c r="E87" s="3" t="s">
        <v>298</v>
      </c>
      <c r="F87" s="5" t="s">
        <v>250</v>
      </c>
      <c r="G87" s="4">
        <v>2.2645</v>
      </c>
      <c r="H87" s="4">
        <v>0.13550000000000001</v>
      </c>
      <c r="I87" s="4">
        <v>8.7600000000000011E-2</v>
      </c>
      <c r="J87" s="4">
        <v>0.249</v>
      </c>
      <c r="K87" s="4">
        <v>0.99309999999999998</v>
      </c>
    </row>
    <row r="88" spans="1:11" x14ac:dyDescent="0.2">
      <c r="A88" s="3">
        <v>45238</v>
      </c>
      <c r="B88" s="3" t="s">
        <v>10</v>
      </c>
      <c r="C88" s="3" t="s">
        <v>293</v>
      </c>
      <c r="D88" s="3" t="str">
        <f t="shared" si="1"/>
        <v>PI</v>
      </c>
      <c r="E88" s="3" t="s">
        <v>298</v>
      </c>
      <c r="F88" s="5" t="s">
        <v>251</v>
      </c>
      <c r="G88" s="4">
        <v>2.1308000000000002</v>
      </c>
      <c r="H88" s="4">
        <v>6.0400000000000002E-2</v>
      </c>
      <c r="I88" s="4">
        <v>7.3700000000000002E-2</v>
      </c>
      <c r="J88" s="4">
        <v>0.1613</v>
      </c>
      <c r="K88" s="4">
        <v>0.78239999999999998</v>
      </c>
    </row>
    <row r="89" spans="1:11" x14ac:dyDescent="0.2">
      <c r="A89" s="3">
        <v>45238</v>
      </c>
      <c r="B89" s="3" t="s">
        <v>10</v>
      </c>
      <c r="C89" s="3" t="s">
        <v>293</v>
      </c>
      <c r="D89" s="3" t="str">
        <f t="shared" si="1"/>
        <v>PI</v>
      </c>
      <c r="E89" s="3" t="s">
        <v>298</v>
      </c>
      <c r="F89" s="5" t="s">
        <v>252</v>
      </c>
      <c r="G89" s="4">
        <v>2.3555000000000001</v>
      </c>
      <c r="H89" s="4">
        <v>8.8500000000000009E-2</v>
      </c>
      <c r="I89" s="4">
        <v>7.8399999999999997E-2</v>
      </c>
      <c r="J89" s="4">
        <v>0.3347</v>
      </c>
      <c r="K89" s="4">
        <v>1.1106</v>
      </c>
    </row>
    <row r="90" spans="1:11" x14ac:dyDescent="0.2">
      <c r="A90" s="3">
        <v>45238</v>
      </c>
      <c r="B90" s="3" t="s">
        <v>10</v>
      </c>
      <c r="C90" s="3" t="s">
        <v>293</v>
      </c>
      <c r="D90" s="3" t="str">
        <f t="shared" si="1"/>
        <v>PI</v>
      </c>
      <c r="E90" s="3" t="s">
        <v>298</v>
      </c>
      <c r="F90" s="5" t="s">
        <v>253</v>
      </c>
      <c r="G90" s="4">
        <v>2.9334000000000002</v>
      </c>
      <c r="H90" s="4">
        <v>7.4200000000000002E-2</v>
      </c>
      <c r="I90" s="4">
        <v>0.1014</v>
      </c>
      <c r="J90" s="4">
        <v>0.38370000000000004</v>
      </c>
      <c r="K90" s="4">
        <v>1.1859999999999999</v>
      </c>
    </row>
    <row r="91" spans="1:11" x14ac:dyDescent="0.2">
      <c r="A91" s="3">
        <v>45238</v>
      </c>
      <c r="B91" s="3" t="s">
        <v>10</v>
      </c>
      <c r="C91" s="3" t="s">
        <v>293</v>
      </c>
      <c r="D91" s="3" t="str">
        <f t="shared" si="1"/>
        <v>PI</v>
      </c>
      <c r="E91" s="3" t="s">
        <v>298</v>
      </c>
      <c r="F91" s="5" t="s">
        <v>254</v>
      </c>
      <c r="G91" s="4">
        <v>2.0752000000000002</v>
      </c>
      <c r="H91" s="4">
        <v>9.6299999999999997E-2</v>
      </c>
      <c r="I91" s="4">
        <v>9.9100000000000008E-2</v>
      </c>
      <c r="J91" s="4">
        <v>0.50190000000000001</v>
      </c>
      <c r="K91" s="4">
        <v>1.1306</v>
      </c>
    </row>
    <row r="92" spans="1:11" x14ac:dyDescent="0.2">
      <c r="A92" s="3">
        <v>45238</v>
      </c>
      <c r="B92" s="3" t="s">
        <v>10</v>
      </c>
      <c r="C92" s="3" t="s">
        <v>293</v>
      </c>
      <c r="D92" s="3" t="str">
        <f t="shared" si="1"/>
        <v>PI</v>
      </c>
      <c r="E92" s="3" t="s">
        <v>298</v>
      </c>
      <c r="F92" s="5" t="s">
        <v>255</v>
      </c>
      <c r="G92" s="4">
        <v>1.0987</v>
      </c>
      <c r="H92" s="4">
        <v>4.3000000000000003E-2</v>
      </c>
      <c r="I92" s="4">
        <v>5.6900000000000006E-2</v>
      </c>
      <c r="J92" s="4">
        <v>0.24940000000000001</v>
      </c>
      <c r="K92" s="4">
        <v>0.84609999999999996</v>
      </c>
    </row>
    <row r="93" spans="1:11" x14ac:dyDescent="0.2">
      <c r="A93" s="3">
        <v>45238</v>
      </c>
      <c r="B93" s="3" t="s">
        <v>10</v>
      </c>
      <c r="C93" s="3" t="s">
        <v>293</v>
      </c>
      <c r="D93" s="3" t="str">
        <f t="shared" si="1"/>
        <v>PI</v>
      </c>
      <c r="E93" s="3" t="s">
        <v>298</v>
      </c>
      <c r="F93" s="5" t="s">
        <v>256</v>
      </c>
      <c r="G93" s="4">
        <v>2.7441</v>
      </c>
      <c r="H93" s="4">
        <v>8.8900000000000007E-2</v>
      </c>
      <c r="I93" s="4">
        <v>0.1024</v>
      </c>
      <c r="J93" s="4">
        <v>0.49859999999999999</v>
      </c>
      <c r="K93" s="4">
        <v>1.2824</v>
      </c>
    </row>
    <row r="94" spans="1:11" x14ac:dyDescent="0.2">
      <c r="A94" s="3">
        <v>45238</v>
      </c>
      <c r="B94" s="3" t="s">
        <v>10</v>
      </c>
      <c r="C94" s="3" t="s">
        <v>293</v>
      </c>
      <c r="D94" s="3" t="str">
        <f t="shared" si="1"/>
        <v>PI</v>
      </c>
      <c r="E94" s="3" t="s">
        <v>298</v>
      </c>
      <c r="F94" s="5" t="s">
        <v>257</v>
      </c>
      <c r="G94" s="4">
        <v>1.7079000000000002</v>
      </c>
      <c r="H94" s="4">
        <v>4.0900000000000006E-2</v>
      </c>
      <c r="I94" s="4">
        <v>6.9500000000000006E-2</v>
      </c>
      <c r="J94" s="4">
        <v>0.22499999999999998</v>
      </c>
      <c r="K94" s="4">
        <v>0.79159999999999997</v>
      </c>
    </row>
    <row r="95" spans="1:11" x14ac:dyDescent="0.2">
      <c r="A95" s="3">
        <v>45238</v>
      </c>
      <c r="B95" s="3" t="s">
        <v>10</v>
      </c>
      <c r="C95" s="3" t="s">
        <v>293</v>
      </c>
      <c r="D95" s="3" t="str">
        <f t="shared" si="1"/>
        <v>PI</v>
      </c>
      <c r="E95" s="3" t="s">
        <v>298</v>
      </c>
      <c r="F95" s="5" t="s">
        <v>258</v>
      </c>
      <c r="G95" s="4">
        <v>2.4018999999999999</v>
      </c>
      <c r="H95" s="4">
        <v>6.5500000000000003E-2</v>
      </c>
      <c r="I95" s="4">
        <v>7.1099999999999997E-2</v>
      </c>
      <c r="J95" s="4">
        <v>0.14540000000000003</v>
      </c>
      <c r="K95" s="4">
        <v>0.93730000000000002</v>
      </c>
    </row>
    <row r="96" spans="1:11" x14ac:dyDescent="0.2">
      <c r="A96" s="3">
        <v>45238</v>
      </c>
      <c r="B96" s="3" t="s">
        <v>10</v>
      </c>
      <c r="C96" s="3" t="s">
        <v>293</v>
      </c>
      <c r="D96" s="3" t="str">
        <f t="shared" si="1"/>
        <v>PI</v>
      </c>
      <c r="E96" s="3" t="s">
        <v>298</v>
      </c>
      <c r="F96" s="5" t="s">
        <v>259</v>
      </c>
      <c r="G96" s="4">
        <v>1.3116000000000001</v>
      </c>
      <c r="H96" s="4">
        <v>3.4099999999999998E-2</v>
      </c>
      <c r="I96" s="4">
        <v>8.2000000000000003E-2</v>
      </c>
      <c r="J96" s="4">
        <v>0.1789</v>
      </c>
      <c r="K96" s="4">
        <v>0.94110000000000005</v>
      </c>
    </row>
    <row r="97" spans="1:16" x14ac:dyDescent="0.2">
      <c r="A97" s="3">
        <v>45238</v>
      </c>
      <c r="B97" s="3" t="s">
        <v>10</v>
      </c>
      <c r="C97" s="3" t="s">
        <v>293</v>
      </c>
      <c r="D97" s="3" t="str">
        <f t="shared" si="1"/>
        <v>PI</v>
      </c>
      <c r="E97" s="3" t="s">
        <v>298</v>
      </c>
      <c r="F97" s="5" t="s">
        <v>260</v>
      </c>
      <c r="G97" s="4">
        <v>1.8302</v>
      </c>
      <c r="H97" s="4">
        <v>7.1000000000000008E-2</v>
      </c>
      <c r="I97" s="4">
        <v>8.8200000000000001E-2</v>
      </c>
      <c r="J97" s="4">
        <v>0.27190000000000003</v>
      </c>
      <c r="K97" s="4">
        <v>1.5592999999999999</v>
      </c>
    </row>
    <row r="98" spans="1:16" x14ac:dyDescent="0.2">
      <c r="A98" s="3">
        <v>45238</v>
      </c>
      <c r="B98" s="3" t="s">
        <v>11</v>
      </c>
      <c r="C98" s="3" t="s">
        <v>293</v>
      </c>
      <c r="D98" s="3" t="str">
        <f t="shared" si="1"/>
        <v>PI</v>
      </c>
      <c r="E98" s="3" t="s">
        <v>299</v>
      </c>
      <c r="F98" s="5" t="s">
        <v>261</v>
      </c>
      <c r="G98" s="4">
        <v>2.7334000000000001</v>
      </c>
      <c r="H98" s="4">
        <v>8.3299999999999999E-2</v>
      </c>
      <c r="I98" s="4">
        <v>0.1014</v>
      </c>
      <c r="J98" s="4">
        <v>0.46510000000000001</v>
      </c>
      <c r="K98" s="4">
        <v>1.1566000000000001</v>
      </c>
    </row>
    <row r="99" spans="1:16" x14ac:dyDescent="0.2">
      <c r="A99" s="3">
        <v>45238</v>
      </c>
      <c r="B99" s="3" t="s">
        <v>11</v>
      </c>
      <c r="C99" s="3" t="s">
        <v>293</v>
      </c>
      <c r="D99" s="3" t="str">
        <f t="shared" si="1"/>
        <v>PI</v>
      </c>
      <c r="E99" s="3" t="s">
        <v>299</v>
      </c>
      <c r="F99" s="5" t="s">
        <v>262</v>
      </c>
      <c r="G99" s="4">
        <v>2.2058999999999997</v>
      </c>
      <c r="H99" s="4">
        <v>6.2899999999999998E-2</v>
      </c>
      <c r="I99" s="4">
        <v>7.6100000000000001E-2</v>
      </c>
      <c r="J99" s="4">
        <v>0.54109999999999991</v>
      </c>
      <c r="K99" s="4">
        <v>1.1959</v>
      </c>
      <c r="M99" s="1"/>
      <c r="N99" s="1"/>
      <c r="O99" s="1"/>
      <c r="P99" s="1"/>
    </row>
    <row r="100" spans="1:16" x14ac:dyDescent="0.2">
      <c r="A100" s="3">
        <v>45238</v>
      </c>
      <c r="B100" s="3" t="s">
        <v>11</v>
      </c>
      <c r="C100" s="3" t="s">
        <v>293</v>
      </c>
      <c r="D100" s="3" t="str">
        <f t="shared" si="1"/>
        <v>PI</v>
      </c>
      <c r="E100" s="3" t="s">
        <v>299</v>
      </c>
      <c r="F100" s="5" t="s">
        <v>263</v>
      </c>
      <c r="G100" s="4">
        <v>3.4071000000000002</v>
      </c>
      <c r="H100" s="4">
        <v>6.3199999999999992E-2</v>
      </c>
      <c r="I100" s="4">
        <v>8.9900000000000008E-2</v>
      </c>
      <c r="J100" s="4">
        <v>0.24540000000000003</v>
      </c>
      <c r="K100" s="4">
        <v>1.1197999999999999</v>
      </c>
    </row>
    <row r="101" spans="1:16" x14ac:dyDescent="0.2">
      <c r="A101" s="3">
        <v>45238</v>
      </c>
      <c r="B101" s="3" t="s">
        <v>11</v>
      </c>
      <c r="C101" s="3" t="s">
        <v>293</v>
      </c>
      <c r="D101" s="3" t="str">
        <f t="shared" si="1"/>
        <v>PI</v>
      </c>
      <c r="E101" s="3" t="s">
        <v>299</v>
      </c>
      <c r="F101" s="5" t="s">
        <v>264</v>
      </c>
      <c r="G101" s="4">
        <v>2.1312000000000002</v>
      </c>
      <c r="H101" s="4">
        <v>7.6600000000000001E-2</v>
      </c>
      <c r="I101" s="4">
        <v>8.0699999999999994E-2</v>
      </c>
      <c r="J101" s="4">
        <v>0.22300000000000003</v>
      </c>
      <c r="K101" s="4">
        <v>1.0770999999999999</v>
      </c>
    </row>
    <row r="102" spans="1:16" x14ac:dyDescent="0.2">
      <c r="A102" s="3">
        <v>45238</v>
      </c>
      <c r="B102" s="3" t="s">
        <v>11</v>
      </c>
      <c r="C102" s="3" t="s">
        <v>293</v>
      </c>
      <c r="D102" s="3" t="str">
        <f t="shared" si="1"/>
        <v>PI</v>
      </c>
      <c r="E102" s="3" t="s">
        <v>299</v>
      </c>
      <c r="F102" s="5" t="s">
        <v>265</v>
      </c>
      <c r="G102" s="4">
        <v>5.0193000000000003</v>
      </c>
      <c r="H102" s="4">
        <v>6.1200000000000004E-2</v>
      </c>
      <c r="I102" s="4">
        <v>9.9100000000000008E-2</v>
      </c>
      <c r="J102" s="4">
        <v>0.15289999999999998</v>
      </c>
      <c r="K102" s="4">
        <v>1.2427999999999999</v>
      </c>
    </row>
    <row r="103" spans="1:16" x14ac:dyDescent="0.2">
      <c r="A103" s="3">
        <v>45238</v>
      </c>
      <c r="B103" s="3" t="s">
        <v>11</v>
      </c>
      <c r="C103" s="3" t="s">
        <v>293</v>
      </c>
      <c r="D103" s="3" t="str">
        <f t="shared" si="1"/>
        <v>PI</v>
      </c>
      <c r="E103" s="3" t="s">
        <v>299</v>
      </c>
      <c r="F103" s="5" t="s">
        <v>266</v>
      </c>
      <c r="G103" s="4">
        <v>2.8745000000000003</v>
      </c>
      <c r="H103" s="4">
        <v>6.1000000000000006E-2</v>
      </c>
      <c r="I103" s="4">
        <v>0.106</v>
      </c>
      <c r="J103" s="4">
        <v>0.36290000000000006</v>
      </c>
      <c r="K103" s="4">
        <v>1.3042</v>
      </c>
    </row>
    <row r="104" spans="1:16" x14ac:dyDescent="0.2">
      <c r="A104" s="3">
        <v>45238</v>
      </c>
      <c r="B104" s="3" t="s">
        <v>11</v>
      </c>
      <c r="C104" s="3" t="s">
        <v>293</v>
      </c>
      <c r="D104" s="3" t="str">
        <f t="shared" si="1"/>
        <v>PI</v>
      </c>
      <c r="E104" s="3" t="s">
        <v>299</v>
      </c>
      <c r="F104" s="5" t="s">
        <v>267</v>
      </c>
      <c r="G104" s="4">
        <v>2.0556999999999999</v>
      </c>
      <c r="H104" s="4">
        <v>5.5800000000000002E-2</v>
      </c>
      <c r="I104" s="4">
        <v>9.0499999999999997E-2</v>
      </c>
      <c r="J104" s="4">
        <v>0.38290000000000002</v>
      </c>
      <c r="K104" s="4">
        <v>1.2513000000000001</v>
      </c>
    </row>
    <row r="105" spans="1:16" x14ac:dyDescent="0.2">
      <c r="A105" s="3">
        <v>45238</v>
      </c>
      <c r="B105" s="3" t="s">
        <v>11</v>
      </c>
      <c r="C105" s="3" t="s">
        <v>293</v>
      </c>
      <c r="D105" s="3" t="str">
        <f t="shared" si="1"/>
        <v>PI</v>
      </c>
      <c r="E105" s="3" t="s">
        <v>299</v>
      </c>
      <c r="F105" s="5" t="s">
        <v>268</v>
      </c>
      <c r="G105" s="4">
        <v>2.3581000000000003</v>
      </c>
      <c r="H105" s="4">
        <v>0.18429999999999999</v>
      </c>
      <c r="I105" s="4">
        <v>0.1027</v>
      </c>
      <c r="J105" s="4">
        <v>0.17459999999999998</v>
      </c>
      <c r="K105" s="4">
        <v>2.0484999999999998</v>
      </c>
    </row>
    <row r="106" spans="1:16" x14ac:dyDescent="0.2">
      <c r="A106" s="3">
        <v>45238</v>
      </c>
      <c r="B106" s="3" t="s">
        <v>11</v>
      </c>
      <c r="C106" s="3" t="s">
        <v>293</v>
      </c>
      <c r="D106" s="3" t="str">
        <f t="shared" si="1"/>
        <v>PI</v>
      </c>
      <c r="E106" s="3" t="s">
        <v>299</v>
      </c>
      <c r="F106" s="5" t="s">
        <v>269</v>
      </c>
      <c r="G106" s="4">
        <v>2.6217999999999999</v>
      </c>
      <c r="H106" s="4">
        <v>7.3099999999999998E-2</v>
      </c>
      <c r="I106" s="4">
        <v>0.1265</v>
      </c>
      <c r="J106" s="4">
        <v>0.39150000000000001</v>
      </c>
      <c r="K106" s="4">
        <v>1.8896999999999999</v>
      </c>
    </row>
    <row r="107" spans="1:16" x14ac:dyDescent="0.2">
      <c r="A107" s="3">
        <v>45238</v>
      </c>
      <c r="B107" s="3" t="s">
        <v>11</v>
      </c>
      <c r="C107" s="3" t="s">
        <v>293</v>
      </c>
      <c r="D107" s="3" t="str">
        <f t="shared" si="1"/>
        <v>PI</v>
      </c>
      <c r="E107" s="3" t="s">
        <v>299</v>
      </c>
      <c r="F107" s="5" t="s">
        <v>270</v>
      </c>
      <c r="G107" s="4">
        <v>2.5684</v>
      </c>
      <c r="H107" s="4">
        <v>8.48E-2</v>
      </c>
      <c r="I107" s="4">
        <v>0.1386</v>
      </c>
      <c r="J107" s="4">
        <v>0.6694</v>
      </c>
      <c r="K107" s="4">
        <v>2.0392999999999999</v>
      </c>
    </row>
    <row r="108" spans="1:16" x14ac:dyDescent="0.2">
      <c r="A108" s="3">
        <v>45238</v>
      </c>
      <c r="B108" s="3" t="s">
        <v>11</v>
      </c>
      <c r="C108" s="3" t="s">
        <v>293</v>
      </c>
      <c r="D108" s="3" t="str">
        <f t="shared" si="1"/>
        <v>PI</v>
      </c>
      <c r="E108" s="3" t="s">
        <v>299</v>
      </c>
      <c r="F108" s="5" t="s">
        <v>271</v>
      </c>
      <c r="G108" s="4">
        <v>1.6080999999999999</v>
      </c>
      <c r="H108" s="4">
        <v>6.6900000000000001E-2</v>
      </c>
      <c r="I108" s="4">
        <v>9.0900000000000009E-2</v>
      </c>
      <c r="J108" s="4">
        <v>0.3347</v>
      </c>
      <c r="K108" s="4">
        <v>1.9715</v>
      </c>
      <c r="M108" s="1"/>
      <c r="N108" s="1"/>
      <c r="O108" s="1"/>
      <c r="P108" s="1"/>
    </row>
    <row r="109" spans="1:16" x14ac:dyDescent="0.2">
      <c r="A109" s="3">
        <v>45238</v>
      </c>
      <c r="B109" s="3" t="s">
        <v>11</v>
      </c>
      <c r="C109" s="3" t="s">
        <v>293</v>
      </c>
      <c r="D109" s="3" t="str">
        <f t="shared" si="1"/>
        <v>PI</v>
      </c>
      <c r="E109" s="3" t="s">
        <v>299</v>
      </c>
      <c r="F109" s="5" t="s">
        <v>272</v>
      </c>
      <c r="G109" s="4">
        <v>1.6881000000000002</v>
      </c>
      <c r="H109" s="4">
        <v>7.0300000000000001E-2</v>
      </c>
      <c r="I109" s="4">
        <v>0.1077</v>
      </c>
      <c r="J109" s="4">
        <v>0.45079999999999998</v>
      </c>
      <c r="K109" s="4">
        <v>1.6907999999999999</v>
      </c>
    </row>
    <row r="110" spans="1:16" x14ac:dyDescent="0.2">
      <c r="A110" s="3">
        <v>45238</v>
      </c>
      <c r="B110" s="3" t="s">
        <v>11</v>
      </c>
      <c r="C110" s="3" t="s">
        <v>293</v>
      </c>
      <c r="D110" s="3" t="str">
        <f t="shared" si="1"/>
        <v>PI</v>
      </c>
      <c r="E110" s="3" t="s">
        <v>299</v>
      </c>
      <c r="F110" s="5" t="s">
        <v>273</v>
      </c>
      <c r="G110" s="4">
        <v>3.7714000000000003</v>
      </c>
      <c r="H110" s="4">
        <v>7.46E-2</v>
      </c>
      <c r="I110" s="4">
        <v>0.1265</v>
      </c>
      <c r="J110" s="4">
        <v>0.40379999999999999</v>
      </c>
      <c r="K110" s="4">
        <v>1.7271999999999998</v>
      </c>
    </row>
    <row r="111" spans="1:16" x14ac:dyDescent="0.2">
      <c r="A111" s="3">
        <v>45238</v>
      </c>
      <c r="B111" s="3" t="s">
        <v>11</v>
      </c>
      <c r="C111" s="3" t="s">
        <v>293</v>
      </c>
      <c r="D111" s="3" t="str">
        <f t="shared" si="1"/>
        <v>PI</v>
      </c>
      <c r="E111" s="3" t="s">
        <v>299</v>
      </c>
      <c r="F111" s="5" t="s">
        <v>274</v>
      </c>
      <c r="G111" s="4">
        <v>2.5485000000000002</v>
      </c>
      <c r="H111" s="4">
        <v>9.7600000000000006E-2</v>
      </c>
      <c r="I111" s="4">
        <v>8.6900000000000005E-2</v>
      </c>
      <c r="J111" s="4">
        <v>0.16529999999999997</v>
      </c>
      <c r="K111" s="4">
        <v>2.3105000000000002</v>
      </c>
    </row>
    <row r="112" spans="1:16" x14ac:dyDescent="0.2">
      <c r="A112" s="3">
        <v>45238</v>
      </c>
      <c r="B112" s="3" t="s">
        <v>11</v>
      </c>
      <c r="C112" s="3" t="s">
        <v>293</v>
      </c>
      <c r="D112" s="3" t="str">
        <f t="shared" si="1"/>
        <v>PI</v>
      </c>
      <c r="E112" s="3" t="s">
        <v>299</v>
      </c>
      <c r="F112" s="5" t="s">
        <v>275</v>
      </c>
      <c r="G112" s="4">
        <v>4.4093999999999998</v>
      </c>
      <c r="H112" s="4">
        <v>7.2000000000000008E-2</v>
      </c>
      <c r="I112" s="4">
        <v>0.13269999999999998</v>
      </c>
      <c r="J112" s="4">
        <v>0.4884</v>
      </c>
      <c r="K112" s="4">
        <v>2.4569000000000001</v>
      </c>
    </row>
    <row r="113" spans="1:11" x14ac:dyDescent="0.2">
      <c r="A113" s="3">
        <v>45238</v>
      </c>
      <c r="B113" s="3" t="s">
        <v>11</v>
      </c>
      <c r="C113" s="3" t="s">
        <v>293</v>
      </c>
      <c r="D113" s="3" t="str">
        <f t="shared" si="1"/>
        <v>PI</v>
      </c>
      <c r="E113" s="3" t="s">
        <v>299</v>
      </c>
      <c r="F113" s="5" t="s">
        <v>276</v>
      </c>
      <c r="G113" s="4">
        <v>2.5728</v>
      </c>
      <c r="H113" s="4">
        <v>5.7100000000000005E-2</v>
      </c>
      <c r="I113" s="4">
        <v>0.1116</v>
      </c>
      <c r="J113" s="4">
        <v>0.74129999999999996</v>
      </c>
      <c r="K113" s="4">
        <v>2.4878999999999998</v>
      </c>
    </row>
    <row r="114" spans="1:11" x14ac:dyDescent="0.2">
      <c r="A114" s="3">
        <v>45238</v>
      </c>
      <c r="B114" s="3" t="s">
        <v>11</v>
      </c>
      <c r="C114" s="3" t="s">
        <v>293</v>
      </c>
      <c r="D114" s="3" t="str">
        <f t="shared" si="1"/>
        <v>PI</v>
      </c>
      <c r="E114" s="3" t="s">
        <v>299</v>
      </c>
      <c r="F114" s="5" t="s">
        <v>277</v>
      </c>
      <c r="G114" s="4">
        <v>1.1076000000000001</v>
      </c>
      <c r="H114" s="4">
        <v>6.9400000000000003E-2</v>
      </c>
      <c r="I114" s="4">
        <v>6.9800000000000001E-2</v>
      </c>
      <c r="J114" s="4">
        <v>0.22190000000000001</v>
      </c>
      <c r="K114" s="4">
        <v>3.1156000000000001</v>
      </c>
    </row>
    <row r="115" spans="1:11" x14ac:dyDescent="0.2">
      <c r="A115" s="3">
        <v>45238</v>
      </c>
      <c r="B115" s="3" t="s">
        <v>11</v>
      </c>
      <c r="C115" s="3" t="s">
        <v>293</v>
      </c>
      <c r="D115" s="3" t="str">
        <f t="shared" si="1"/>
        <v>PI</v>
      </c>
      <c r="E115" s="3" t="s">
        <v>299</v>
      </c>
      <c r="F115" s="5" t="s">
        <v>278</v>
      </c>
      <c r="G115" s="4">
        <v>3.1953</v>
      </c>
      <c r="H115" s="4">
        <v>8.3299999999999999E-2</v>
      </c>
      <c r="I115" s="4">
        <v>0.12940000000000002</v>
      </c>
      <c r="J115" s="4">
        <v>0.53479999999999994</v>
      </c>
      <c r="K115" s="4">
        <v>3.3551000000000002</v>
      </c>
    </row>
    <row r="116" spans="1:11" x14ac:dyDescent="0.2">
      <c r="A116" s="3">
        <v>45238</v>
      </c>
      <c r="B116" s="3" t="s">
        <v>12</v>
      </c>
      <c r="C116" s="3" t="s">
        <v>293</v>
      </c>
      <c r="D116" s="3" t="str">
        <f t="shared" si="1"/>
        <v>PI</v>
      </c>
      <c r="E116" s="3" t="s">
        <v>297</v>
      </c>
      <c r="F116" s="5" t="s">
        <v>237</v>
      </c>
      <c r="G116" s="4">
        <v>5.444</v>
      </c>
      <c r="H116" s="4">
        <v>0.28739999999999999</v>
      </c>
      <c r="I116" s="4">
        <v>0.1192</v>
      </c>
      <c r="J116" s="4">
        <v>1.1882000000000001</v>
      </c>
      <c r="K116" s="4">
        <v>2.5719000000000003</v>
      </c>
    </row>
    <row r="117" spans="1:11" x14ac:dyDescent="0.2">
      <c r="A117" s="3">
        <v>45238</v>
      </c>
      <c r="B117" s="3" t="s">
        <v>12</v>
      </c>
      <c r="C117" s="3" t="s">
        <v>293</v>
      </c>
      <c r="D117" s="3" t="str">
        <f t="shared" si="1"/>
        <v>PI</v>
      </c>
      <c r="E117" s="3" t="s">
        <v>297</v>
      </c>
      <c r="F117" s="5" t="s">
        <v>238</v>
      </c>
      <c r="G117" s="4">
        <v>2.4361000000000002</v>
      </c>
      <c r="H117" s="4">
        <v>0.11080000000000001</v>
      </c>
      <c r="I117" s="4">
        <v>8.4000000000000005E-2</v>
      </c>
      <c r="J117" s="4">
        <v>1.3607</v>
      </c>
      <c r="K117" s="4">
        <v>2.1700999999999997</v>
      </c>
    </row>
    <row r="118" spans="1:11" x14ac:dyDescent="0.2">
      <c r="A118" s="3">
        <v>45238</v>
      </c>
      <c r="B118" s="3" t="s">
        <v>12</v>
      </c>
      <c r="C118" s="3" t="s">
        <v>293</v>
      </c>
      <c r="D118" s="3" t="str">
        <f t="shared" si="1"/>
        <v>PI</v>
      </c>
      <c r="E118" s="3" t="s">
        <v>297</v>
      </c>
      <c r="F118" s="5" t="s">
        <v>239</v>
      </c>
      <c r="G118" s="4">
        <v>4.3426999999999998</v>
      </c>
      <c r="H118" s="4">
        <v>9.9100000000000008E-2</v>
      </c>
      <c r="I118" s="4">
        <v>8.3300000000000013E-2</v>
      </c>
      <c r="J118" s="4">
        <v>1.0528000000000002</v>
      </c>
      <c r="K118" s="4">
        <v>2.3894000000000002</v>
      </c>
    </row>
    <row r="119" spans="1:11" x14ac:dyDescent="0.2">
      <c r="A119" s="3">
        <v>45238</v>
      </c>
      <c r="B119" s="3" t="s">
        <v>12</v>
      </c>
      <c r="C119" s="3" t="s">
        <v>293</v>
      </c>
      <c r="D119" s="3" t="str">
        <f t="shared" si="1"/>
        <v>PI</v>
      </c>
      <c r="E119" s="3" t="s">
        <v>297</v>
      </c>
      <c r="F119" s="5" t="s">
        <v>240</v>
      </c>
      <c r="G119" s="4">
        <v>3.1318999999999999</v>
      </c>
      <c r="H119" s="4">
        <v>8.6099999999999996E-2</v>
      </c>
      <c r="I119" s="4">
        <v>7.5700000000000003E-2</v>
      </c>
      <c r="J119" s="4">
        <v>0.50700000000000001</v>
      </c>
      <c r="K119" s="4">
        <v>2.2560000000000002</v>
      </c>
    </row>
    <row r="120" spans="1:11" x14ac:dyDescent="0.2">
      <c r="A120" s="3">
        <v>45238</v>
      </c>
      <c r="B120" s="3" t="s">
        <v>12</v>
      </c>
      <c r="C120" s="3" t="s">
        <v>293</v>
      </c>
      <c r="D120" s="3" t="str">
        <f t="shared" si="1"/>
        <v>PI</v>
      </c>
      <c r="E120" s="3" t="s">
        <v>297</v>
      </c>
      <c r="F120" s="5" t="s">
        <v>241</v>
      </c>
      <c r="G120" s="4">
        <v>2.3466</v>
      </c>
      <c r="H120" s="4">
        <v>7.7700000000000005E-2</v>
      </c>
      <c r="I120" s="4">
        <v>6.1200000000000004E-2</v>
      </c>
      <c r="J120" s="4">
        <v>0.57479999999999998</v>
      </c>
      <c r="K120" s="4">
        <v>2.3731999999999998</v>
      </c>
    </row>
    <row r="121" spans="1:11" x14ac:dyDescent="0.2">
      <c r="A121" s="3">
        <v>45238</v>
      </c>
      <c r="B121" s="3" t="s">
        <v>12</v>
      </c>
      <c r="C121" s="3" t="s">
        <v>293</v>
      </c>
      <c r="D121" s="3" t="str">
        <f t="shared" si="1"/>
        <v>PI</v>
      </c>
      <c r="E121" s="3" t="s">
        <v>297</v>
      </c>
      <c r="F121" s="5" t="s">
        <v>242</v>
      </c>
      <c r="G121" s="4">
        <v>1.51</v>
      </c>
      <c r="H121" s="4">
        <v>8.9599999999999999E-2</v>
      </c>
      <c r="I121" s="4">
        <v>8.8200000000000001E-2</v>
      </c>
      <c r="J121" s="4">
        <v>0.68140000000000001</v>
      </c>
      <c r="K121" s="4">
        <v>2.1711</v>
      </c>
    </row>
    <row r="122" spans="1:11" x14ac:dyDescent="0.2">
      <c r="A122" s="3">
        <v>45238</v>
      </c>
      <c r="B122" s="3" t="s">
        <v>12</v>
      </c>
      <c r="C122" s="3" t="s">
        <v>293</v>
      </c>
      <c r="D122" s="3" t="str">
        <f t="shared" si="1"/>
        <v>PI</v>
      </c>
      <c r="E122" s="3" t="s">
        <v>298</v>
      </c>
      <c r="F122" s="5" t="s">
        <v>279</v>
      </c>
      <c r="G122" s="4">
        <v>8.7421000000000006</v>
      </c>
      <c r="H122" s="4">
        <v>0.25730000000000003</v>
      </c>
      <c r="I122" s="4">
        <v>0.11850000000000001</v>
      </c>
      <c r="J122" s="4">
        <v>1.6161999999999999</v>
      </c>
      <c r="K122" s="4">
        <v>2.1437999999999997</v>
      </c>
    </row>
    <row r="123" spans="1:11" x14ac:dyDescent="0.2">
      <c r="A123" s="3">
        <v>45238</v>
      </c>
      <c r="B123" s="3" t="s">
        <v>12</v>
      </c>
      <c r="C123" s="3" t="s">
        <v>293</v>
      </c>
      <c r="D123" s="3" t="str">
        <f t="shared" si="1"/>
        <v>PI</v>
      </c>
      <c r="E123" s="3" t="s">
        <v>298</v>
      </c>
      <c r="F123" s="5" t="s">
        <v>280</v>
      </c>
      <c r="G123" s="4">
        <v>4.0534999999999997</v>
      </c>
      <c r="H123" s="4">
        <v>0.17630000000000001</v>
      </c>
      <c r="I123" s="4">
        <v>7.3399999999999993E-2</v>
      </c>
      <c r="J123" s="4">
        <v>1.0218</v>
      </c>
      <c r="K123" s="4">
        <v>1.9750000000000001</v>
      </c>
    </row>
    <row r="124" spans="1:11" x14ac:dyDescent="0.2">
      <c r="A124" s="3">
        <v>45238</v>
      </c>
      <c r="B124" s="3" t="s">
        <v>12</v>
      </c>
      <c r="C124" s="3" t="s">
        <v>293</v>
      </c>
      <c r="D124" s="3" t="str">
        <f t="shared" si="1"/>
        <v>PI</v>
      </c>
      <c r="E124" s="3" t="s">
        <v>298</v>
      </c>
      <c r="F124" s="5" t="s">
        <v>281</v>
      </c>
      <c r="G124" s="4">
        <v>2.3687</v>
      </c>
      <c r="H124" s="4">
        <v>4.82E-2</v>
      </c>
      <c r="I124" s="4">
        <v>6.0600000000000001E-2</v>
      </c>
      <c r="J124" s="4">
        <v>0.31640000000000001</v>
      </c>
      <c r="K124" s="4">
        <v>1.6219999999999999</v>
      </c>
    </row>
    <row r="125" spans="1:11" x14ac:dyDescent="0.2">
      <c r="A125" s="3">
        <v>45238</v>
      </c>
      <c r="B125" s="3" t="s">
        <v>12</v>
      </c>
      <c r="C125" s="3" t="s">
        <v>293</v>
      </c>
      <c r="D125" s="3" t="str">
        <f t="shared" si="1"/>
        <v>PI</v>
      </c>
      <c r="E125" s="3" t="s">
        <v>298</v>
      </c>
      <c r="F125" s="5" t="s">
        <v>282</v>
      </c>
      <c r="G125" s="4">
        <v>1.6044</v>
      </c>
      <c r="H125" s="4">
        <v>7.0300000000000001E-2</v>
      </c>
      <c r="I125" s="4">
        <v>5.6900000000000006E-2</v>
      </c>
      <c r="J125" s="4">
        <v>0.3019</v>
      </c>
      <c r="K125" s="4">
        <v>1.4287000000000001</v>
      </c>
    </row>
    <row r="126" spans="1:11" x14ac:dyDescent="0.2">
      <c r="A126" s="3">
        <v>45238</v>
      </c>
      <c r="B126" s="3" t="s">
        <v>12</v>
      </c>
      <c r="C126" s="3" t="s">
        <v>293</v>
      </c>
      <c r="D126" s="3" t="str">
        <f t="shared" si="1"/>
        <v>PI</v>
      </c>
      <c r="E126" s="3" t="s">
        <v>298</v>
      </c>
      <c r="F126" s="5" t="s">
        <v>283</v>
      </c>
      <c r="G126" s="4">
        <v>2.8073999999999999</v>
      </c>
      <c r="H126" s="4">
        <v>9.5399999999999999E-2</v>
      </c>
      <c r="I126" s="4">
        <v>6.720000000000001E-2</v>
      </c>
      <c r="J126" s="4">
        <v>0.50900000000000001</v>
      </c>
      <c r="K126" s="4">
        <v>1.4329000000000001</v>
      </c>
    </row>
    <row r="127" spans="1:11" x14ac:dyDescent="0.2">
      <c r="A127" s="3">
        <v>45238</v>
      </c>
      <c r="B127" s="3" t="s">
        <v>12</v>
      </c>
      <c r="C127" s="3" t="s">
        <v>293</v>
      </c>
      <c r="D127" s="3" t="str">
        <f t="shared" si="1"/>
        <v>PI</v>
      </c>
      <c r="E127" s="3" t="s">
        <v>298</v>
      </c>
      <c r="F127" s="5" t="s">
        <v>284</v>
      </c>
      <c r="G127" s="4">
        <v>5.2274000000000003</v>
      </c>
      <c r="H127" s="4">
        <v>0.2389</v>
      </c>
      <c r="I127" s="4">
        <v>9.1200000000000003E-2</v>
      </c>
      <c r="J127" s="4">
        <v>0.94730000000000003</v>
      </c>
      <c r="K127" s="4">
        <v>1.7408000000000001</v>
      </c>
    </row>
    <row r="128" spans="1:11" x14ac:dyDescent="0.2">
      <c r="A128" s="3">
        <v>45238</v>
      </c>
      <c r="B128" s="3" t="s">
        <v>12</v>
      </c>
      <c r="C128" s="3" t="s">
        <v>293</v>
      </c>
      <c r="D128" s="3" t="str">
        <f t="shared" si="1"/>
        <v>PI</v>
      </c>
      <c r="E128" s="3" t="s">
        <v>299</v>
      </c>
      <c r="F128" s="5" t="s">
        <v>285</v>
      </c>
      <c r="G128" s="4">
        <v>3.0645000000000002</v>
      </c>
      <c r="H128" s="4">
        <v>0.1154</v>
      </c>
      <c r="I128" s="4">
        <v>7.7399999999999997E-2</v>
      </c>
      <c r="J128" s="4">
        <v>0.58630000000000004</v>
      </c>
      <c r="K128" s="4">
        <v>1.4445999999999999</v>
      </c>
    </row>
    <row r="129" spans="1:12" x14ac:dyDescent="0.2">
      <c r="A129" s="3">
        <v>45238</v>
      </c>
      <c r="B129" s="3" t="s">
        <v>12</v>
      </c>
      <c r="C129" s="3" t="s">
        <v>293</v>
      </c>
      <c r="D129" s="3" t="str">
        <f t="shared" si="1"/>
        <v>PI</v>
      </c>
      <c r="E129" s="3" t="s">
        <v>299</v>
      </c>
      <c r="F129" s="5" t="s">
        <v>286</v>
      </c>
      <c r="G129" s="4">
        <v>2.1073</v>
      </c>
      <c r="H129" s="4">
        <v>8.0500000000000002E-2</v>
      </c>
      <c r="I129" s="4">
        <v>7.6399999999999996E-2</v>
      </c>
      <c r="J129" s="4">
        <v>0.68199999999999994</v>
      </c>
      <c r="K129" s="4">
        <v>1.8229</v>
      </c>
    </row>
    <row r="130" spans="1:12" x14ac:dyDescent="0.2">
      <c r="A130" s="3">
        <v>45238</v>
      </c>
      <c r="B130" s="3" t="s">
        <v>12</v>
      </c>
      <c r="C130" s="3" t="s">
        <v>293</v>
      </c>
      <c r="D130" s="3" t="str">
        <f t="shared" si="1"/>
        <v>PI</v>
      </c>
      <c r="E130" s="3" t="s">
        <v>299</v>
      </c>
      <c r="F130" s="5" t="s">
        <v>287</v>
      </c>
      <c r="G130" s="4">
        <v>2.7916000000000003</v>
      </c>
      <c r="H130" s="4">
        <v>8.0500000000000002E-2</v>
      </c>
      <c r="I130" s="4">
        <v>7.3099999999999998E-2</v>
      </c>
      <c r="J130" s="4">
        <v>0.50409999999999999</v>
      </c>
      <c r="K130" s="4">
        <v>1.8508</v>
      </c>
    </row>
    <row r="131" spans="1:12" x14ac:dyDescent="0.2">
      <c r="A131" s="3">
        <v>45238</v>
      </c>
      <c r="B131" s="3" t="s">
        <v>12</v>
      </c>
      <c r="C131" s="3" t="s">
        <v>293</v>
      </c>
      <c r="D131" s="3" t="str">
        <f t="shared" ref="D131:D194" si="2">LEFT(F131, 2)</f>
        <v>PI</v>
      </c>
      <c r="E131" s="3" t="s">
        <v>299</v>
      </c>
      <c r="F131" s="5" t="s">
        <v>288</v>
      </c>
      <c r="G131" s="4">
        <v>2.0813999999999999</v>
      </c>
      <c r="H131" s="4">
        <v>5.62E-2</v>
      </c>
      <c r="I131" s="4">
        <v>6.2900000000000011E-2</v>
      </c>
      <c r="J131" s="4">
        <v>0.30580000000000002</v>
      </c>
      <c r="K131" s="4">
        <v>1.7212000000000001</v>
      </c>
    </row>
    <row r="132" spans="1:12" x14ac:dyDescent="0.2">
      <c r="A132" s="3">
        <v>45238</v>
      </c>
      <c r="B132" s="3" t="s">
        <v>12</v>
      </c>
      <c r="C132" s="3" t="s">
        <v>293</v>
      </c>
      <c r="D132" s="3" t="str">
        <f t="shared" si="2"/>
        <v>PI</v>
      </c>
      <c r="E132" s="3" t="s">
        <v>299</v>
      </c>
      <c r="F132" s="5" t="s">
        <v>289</v>
      </c>
      <c r="G132" s="4">
        <v>3.7614000000000001</v>
      </c>
      <c r="H132" s="4">
        <v>9.7200000000000009E-2</v>
      </c>
      <c r="I132" s="4">
        <v>6.88E-2</v>
      </c>
      <c r="J132" s="4">
        <v>0.38370000000000004</v>
      </c>
      <c r="K132" s="4">
        <v>1.7490999999999999</v>
      </c>
    </row>
    <row r="133" spans="1:12" x14ac:dyDescent="0.2">
      <c r="A133" s="3">
        <v>45238</v>
      </c>
      <c r="B133" s="3" t="s">
        <v>12</v>
      </c>
      <c r="C133" s="3" t="s">
        <v>293</v>
      </c>
      <c r="D133" s="3" t="str">
        <f t="shared" si="2"/>
        <v>PI</v>
      </c>
      <c r="E133" s="3" t="s">
        <v>299</v>
      </c>
      <c r="F133" s="5" t="s">
        <v>290</v>
      </c>
      <c r="G133" s="4">
        <v>2.2622999999999998</v>
      </c>
      <c r="H133" s="4">
        <v>8.6899999999999991E-2</v>
      </c>
      <c r="I133" s="4">
        <v>7.7000000000000013E-2</v>
      </c>
      <c r="J133" s="4">
        <v>1.9741</v>
      </c>
      <c r="K133" s="4">
        <v>3.2585000000000002</v>
      </c>
    </row>
    <row r="134" spans="1:12" x14ac:dyDescent="0.2">
      <c r="A134" s="3">
        <v>45239</v>
      </c>
      <c r="B134" s="3" t="s">
        <v>13</v>
      </c>
      <c r="C134" s="3" t="s">
        <v>293</v>
      </c>
      <c r="D134" s="3" t="str">
        <f t="shared" si="2"/>
        <v>PI</v>
      </c>
      <c r="E134" s="3" t="s">
        <v>297</v>
      </c>
      <c r="F134" s="5" t="s">
        <v>139</v>
      </c>
      <c r="G134" s="4">
        <v>8.9720999999999993</v>
      </c>
      <c r="H134" s="4">
        <v>0.45660000000000001</v>
      </c>
      <c r="I134" s="4">
        <v>0.15889999999999999</v>
      </c>
      <c r="J134" s="4">
        <v>1.38</v>
      </c>
      <c r="K134" s="4">
        <v>2.3052999999999999</v>
      </c>
    </row>
    <row r="135" spans="1:12" x14ac:dyDescent="0.2">
      <c r="A135" s="3">
        <v>45239</v>
      </c>
      <c r="B135" s="3" t="s">
        <v>13</v>
      </c>
      <c r="C135" s="3" t="s">
        <v>293</v>
      </c>
      <c r="D135" s="3" t="str">
        <f t="shared" si="2"/>
        <v>PI</v>
      </c>
      <c r="E135" s="3" t="s">
        <v>297</v>
      </c>
      <c r="F135" s="5" t="s">
        <v>140</v>
      </c>
      <c r="G135" s="4">
        <v>3.1074000000000002</v>
      </c>
      <c r="H135" s="4">
        <v>9.5699999999999993E-2</v>
      </c>
      <c r="I135" s="4">
        <v>6.9099999999999995E-2</v>
      </c>
      <c r="J135" s="4">
        <v>1.1758</v>
      </c>
      <c r="K135" s="4">
        <v>1.7706999999999999</v>
      </c>
      <c r="L135" s="6"/>
    </row>
    <row r="136" spans="1:12" x14ac:dyDescent="0.2">
      <c r="A136" s="3">
        <v>45239</v>
      </c>
      <c r="B136" s="3" t="s">
        <v>13</v>
      </c>
      <c r="C136" s="3" t="s">
        <v>293</v>
      </c>
      <c r="D136" s="3" t="str">
        <f t="shared" si="2"/>
        <v>PI</v>
      </c>
      <c r="E136" s="3" t="s">
        <v>297</v>
      </c>
      <c r="F136" s="5" t="s">
        <v>141</v>
      </c>
      <c r="G136" s="4">
        <v>2.569</v>
      </c>
      <c r="H136" s="4">
        <v>0.1479</v>
      </c>
      <c r="I136" s="4">
        <v>7.1800000000000003E-2</v>
      </c>
      <c r="J136" s="4">
        <v>2.6522000000000001</v>
      </c>
      <c r="K136" s="4">
        <v>2.9350000000000001</v>
      </c>
      <c r="L136" s="6"/>
    </row>
    <row r="137" spans="1:12" x14ac:dyDescent="0.2">
      <c r="A137" s="3">
        <v>45239</v>
      </c>
      <c r="B137" s="3" t="s">
        <v>13</v>
      </c>
      <c r="C137" s="3" t="s">
        <v>293</v>
      </c>
      <c r="D137" s="3" t="str">
        <f t="shared" si="2"/>
        <v>PI</v>
      </c>
      <c r="E137" s="3" t="s">
        <v>298</v>
      </c>
      <c r="F137" s="5" t="s">
        <v>142</v>
      </c>
      <c r="G137" s="4">
        <v>2.4895</v>
      </c>
      <c r="H137" s="4">
        <v>9.1700000000000004E-2</v>
      </c>
      <c r="I137" s="4">
        <v>8.43E-2</v>
      </c>
      <c r="J137" s="4">
        <v>0.66449999999999998</v>
      </c>
      <c r="K137" s="4">
        <v>1.35</v>
      </c>
      <c r="L137" s="6"/>
    </row>
    <row r="138" spans="1:12" x14ac:dyDescent="0.2">
      <c r="A138" s="3">
        <v>45239</v>
      </c>
      <c r="B138" s="3" t="s">
        <v>13</v>
      </c>
      <c r="C138" s="3" t="s">
        <v>293</v>
      </c>
      <c r="D138" s="3" t="str">
        <f t="shared" si="2"/>
        <v>PI</v>
      </c>
      <c r="E138" s="3" t="s">
        <v>298</v>
      </c>
      <c r="F138" s="5" t="s">
        <v>143</v>
      </c>
      <c r="G138" s="4">
        <v>2.1177000000000001</v>
      </c>
      <c r="H138" s="4">
        <v>0.45340000000000003</v>
      </c>
      <c r="I138" s="4">
        <v>8.2199999999999995E-2</v>
      </c>
      <c r="J138" s="4">
        <v>1.5071999999999999</v>
      </c>
      <c r="K138" s="4">
        <v>2.5629999999999997</v>
      </c>
      <c r="L138" s="6"/>
    </row>
    <row r="139" spans="1:12" x14ac:dyDescent="0.2">
      <c r="A139" s="3">
        <v>45239</v>
      </c>
      <c r="B139" s="3" t="s">
        <v>13</v>
      </c>
      <c r="C139" s="3" t="s">
        <v>293</v>
      </c>
      <c r="D139" s="3" t="str">
        <f t="shared" si="2"/>
        <v>PI</v>
      </c>
      <c r="E139" s="3" t="s">
        <v>299</v>
      </c>
      <c r="F139" s="5" t="s">
        <v>144</v>
      </c>
      <c r="G139" s="4">
        <v>2.2347999999999999</v>
      </c>
      <c r="H139" s="4">
        <v>7.6499999999999999E-2</v>
      </c>
      <c r="I139" s="4">
        <v>8.7300000000000003E-2</v>
      </c>
      <c r="J139" s="4">
        <v>0.73639999999999994</v>
      </c>
      <c r="K139" s="4">
        <v>1.6634</v>
      </c>
      <c r="L139" s="6"/>
    </row>
    <row r="140" spans="1:12" x14ac:dyDescent="0.2">
      <c r="A140" s="3">
        <v>45239</v>
      </c>
      <c r="B140" s="3" t="s">
        <v>13</v>
      </c>
      <c r="C140" s="3" t="s">
        <v>293</v>
      </c>
      <c r="D140" s="3" t="str">
        <f t="shared" si="2"/>
        <v>PI</v>
      </c>
      <c r="E140" s="3" t="s">
        <v>299</v>
      </c>
      <c r="F140" s="5" t="s">
        <v>145</v>
      </c>
      <c r="G140" s="4">
        <v>3.8677999999999999</v>
      </c>
      <c r="H140" s="4">
        <v>6.8099999999999994E-2</v>
      </c>
      <c r="I140" s="4">
        <v>7.5500000000000012E-2</v>
      </c>
      <c r="J140" s="4">
        <v>0.58150000000000002</v>
      </c>
      <c r="K140" s="4">
        <v>1.2948</v>
      </c>
      <c r="L140" s="6"/>
    </row>
    <row r="141" spans="1:12" x14ac:dyDescent="0.2">
      <c r="A141" s="3">
        <v>45239</v>
      </c>
      <c r="B141" s="3" t="s">
        <v>13</v>
      </c>
      <c r="C141" s="3" t="s">
        <v>293</v>
      </c>
      <c r="D141" s="3" t="str">
        <f t="shared" si="2"/>
        <v>PI</v>
      </c>
      <c r="E141" s="3" t="s">
        <v>297</v>
      </c>
      <c r="F141" s="5" t="s">
        <v>146</v>
      </c>
      <c r="G141" s="4">
        <v>3.4662999999999999</v>
      </c>
      <c r="H141" s="4">
        <v>0.19650000000000001</v>
      </c>
      <c r="I141" s="4">
        <v>7.3700000000000002E-2</v>
      </c>
      <c r="J141" s="4">
        <v>0.43859999999999999</v>
      </c>
      <c r="K141" s="4">
        <v>1.4889000000000001</v>
      </c>
      <c r="L141" s="6"/>
    </row>
    <row r="142" spans="1:12" x14ac:dyDescent="0.2">
      <c r="A142" s="3">
        <v>45239</v>
      </c>
      <c r="B142" s="3" t="s">
        <v>13</v>
      </c>
      <c r="C142" s="3" t="s">
        <v>293</v>
      </c>
      <c r="D142" s="3" t="str">
        <f t="shared" si="2"/>
        <v>PI</v>
      </c>
      <c r="E142" s="3" t="s">
        <v>297</v>
      </c>
      <c r="F142" s="5" t="s">
        <v>147</v>
      </c>
      <c r="G142" s="4">
        <v>5.0127000000000006</v>
      </c>
      <c r="H142" s="4">
        <v>0.1482</v>
      </c>
      <c r="I142" s="4">
        <v>0.1033</v>
      </c>
      <c r="J142" s="4">
        <v>0.90090000000000003</v>
      </c>
      <c r="K142" s="4">
        <v>1.3486</v>
      </c>
      <c r="L142" s="6"/>
    </row>
    <row r="143" spans="1:12" x14ac:dyDescent="0.2">
      <c r="A143" s="3">
        <v>45239</v>
      </c>
      <c r="B143" s="3" t="s">
        <v>13</v>
      </c>
      <c r="C143" s="3" t="s">
        <v>293</v>
      </c>
      <c r="D143" s="3" t="str">
        <f t="shared" si="2"/>
        <v>PI</v>
      </c>
      <c r="E143" s="3" t="s">
        <v>297</v>
      </c>
      <c r="F143" s="5" t="s">
        <v>148</v>
      </c>
      <c r="G143" s="4">
        <v>2.5411999999999999</v>
      </c>
      <c r="H143" s="4">
        <v>9.8299999999999998E-2</v>
      </c>
      <c r="I143" s="4">
        <v>7.4399999999999994E-2</v>
      </c>
      <c r="J143" s="4">
        <v>0.44809999999999994</v>
      </c>
      <c r="K143" s="4">
        <v>1.4035</v>
      </c>
      <c r="L143" s="6"/>
    </row>
    <row r="144" spans="1:12" x14ac:dyDescent="0.2">
      <c r="A144" s="3">
        <v>45239</v>
      </c>
      <c r="B144" s="3" t="s">
        <v>13</v>
      </c>
      <c r="C144" s="3" t="s">
        <v>293</v>
      </c>
      <c r="D144" s="3" t="str">
        <f t="shared" si="2"/>
        <v>PI</v>
      </c>
      <c r="E144" s="3" t="s">
        <v>297</v>
      </c>
      <c r="F144" s="5" t="s">
        <v>149</v>
      </c>
      <c r="G144" s="4">
        <v>5.1266000000000007</v>
      </c>
      <c r="H144" s="4">
        <v>0.28380000000000005</v>
      </c>
      <c r="I144" s="4">
        <v>0.13319999999999999</v>
      </c>
      <c r="J144" s="4">
        <v>2.5475000000000003</v>
      </c>
      <c r="K144" s="4">
        <v>2.4737999999999998</v>
      </c>
      <c r="L144" s="6"/>
    </row>
    <row r="145" spans="1:17" x14ac:dyDescent="0.2">
      <c r="A145" s="3">
        <v>45239</v>
      </c>
      <c r="B145" s="3" t="s">
        <v>13</v>
      </c>
      <c r="C145" s="3" t="s">
        <v>293</v>
      </c>
      <c r="D145" s="3" t="str">
        <f t="shared" si="2"/>
        <v>PI</v>
      </c>
      <c r="E145" s="3" t="s">
        <v>297</v>
      </c>
      <c r="F145" s="5" t="s">
        <v>150</v>
      </c>
      <c r="G145" s="4">
        <v>4.1843000000000004</v>
      </c>
      <c r="H145" s="4">
        <v>0.28030000000000005</v>
      </c>
      <c r="I145" s="4">
        <v>0.12140000000000001</v>
      </c>
      <c r="J145" s="4">
        <v>1.3043</v>
      </c>
      <c r="K145" s="4">
        <v>1.7515999999999998</v>
      </c>
      <c r="L145" s="6"/>
    </row>
    <row r="146" spans="1:17" x14ac:dyDescent="0.2">
      <c r="A146" s="3">
        <v>45239</v>
      </c>
      <c r="B146" s="3" t="s">
        <v>13</v>
      </c>
      <c r="C146" s="3" t="s">
        <v>293</v>
      </c>
      <c r="D146" s="3" t="str">
        <f t="shared" si="2"/>
        <v>PI</v>
      </c>
      <c r="E146" s="3" t="s">
        <v>297</v>
      </c>
      <c r="F146" s="5" t="s">
        <v>151</v>
      </c>
      <c r="G146" s="4">
        <v>6.6148000000000007</v>
      </c>
      <c r="H146" s="4">
        <v>0.1847</v>
      </c>
      <c r="I146" s="4">
        <v>9.74E-2</v>
      </c>
      <c r="J146" s="4">
        <v>1.6274</v>
      </c>
      <c r="K146" s="4">
        <v>2.1638999999999999</v>
      </c>
      <c r="L146" s="6"/>
    </row>
    <row r="147" spans="1:17" x14ac:dyDescent="0.2">
      <c r="A147" s="3">
        <v>45239</v>
      </c>
      <c r="B147" s="3" t="s">
        <v>13</v>
      </c>
      <c r="C147" s="3" t="s">
        <v>293</v>
      </c>
      <c r="D147" s="3" t="str">
        <f t="shared" si="2"/>
        <v>PI</v>
      </c>
      <c r="E147" s="3" t="s">
        <v>298</v>
      </c>
      <c r="F147" s="5" t="s">
        <v>152</v>
      </c>
      <c r="G147" s="4">
        <v>1.9133</v>
      </c>
      <c r="H147" s="4">
        <v>0.10099999999999999</v>
      </c>
      <c r="I147" s="4">
        <v>7.51E-2</v>
      </c>
      <c r="J147" s="4">
        <v>0.17080000000000001</v>
      </c>
      <c r="K147" s="4">
        <v>0.7893</v>
      </c>
      <c r="L147" s="6"/>
    </row>
    <row r="148" spans="1:17" x14ac:dyDescent="0.2">
      <c r="A148" s="3">
        <v>45239</v>
      </c>
      <c r="B148" s="3" t="s">
        <v>13</v>
      </c>
      <c r="C148" s="3" t="s">
        <v>293</v>
      </c>
      <c r="D148" s="3" t="str">
        <f t="shared" si="2"/>
        <v>PI</v>
      </c>
      <c r="E148" s="3" t="s">
        <v>298</v>
      </c>
      <c r="F148" s="5" t="s">
        <v>153</v>
      </c>
      <c r="G148" s="4">
        <v>1.3521999999999998</v>
      </c>
      <c r="H148" s="4">
        <v>4.3299999999999998E-2</v>
      </c>
      <c r="I148" s="4">
        <v>7.4399999999999994E-2</v>
      </c>
      <c r="J148" s="4">
        <v>0.23219999999999999</v>
      </c>
      <c r="K148" s="4">
        <v>0.83589999999999998</v>
      </c>
      <c r="L148" s="6"/>
    </row>
    <row r="149" spans="1:17" x14ac:dyDescent="0.2">
      <c r="A149" s="3">
        <v>45239</v>
      </c>
      <c r="B149" s="3" t="s">
        <v>13</v>
      </c>
      <c r="C149" s="3" t="s">
        <v>293</v>
      </c>
      <c r="D149" s="3" t="str">
        <f t="shared" si="2"/>
        <v>PI</v>
      </c>
      <c r="E149" s="3" t="s">
        <v>298</v>
      </c>
      <c r="F149" s="5" t="s">
        <v>154</v>
      </c>
      <c r="G149" s="4">
        <v>2.2496999999999998</v>
      </c>
      <c r="H149" s="4">
        <v>6.0699999999999997E-2</v>
      </c>
      <c r="I149" s="4">
        <v>8.3400000000000002E-2</v>
      </c>
      <c r="J149" s="4">
        <v>0.33450000000000002</v>
      </c>
      <c r="K149" s="4">
        <v>1.1324000000000001</v>
      </c>
      <c r="L149" s="6"/>
    </row>
    <row r="150" spans="1:17" x14ac:dyDescent="0.2">
      <c r="A150" s="3">
        <v>45239</v>
      </c>
      <c r="B150" s="3" t="s">
        <v>13</v>
      </c>
      <c r="C150" s="3" t="s">
        <v>293</v>
      </c>
      <c r="D150" s="3" t="str">
        <f t="shared" si="2"/>
        <v>PI</v>
      </c>
      <c r="E150" s="3" t="s">
        <v>299</v>
      </c>
      <c r="F150" s="5" t="s">
        <v>155</v>
      </c>
      <c r="G150" s="4">
        <v>2.8931</v>
      </c>
      <c r="H150" s="4">
        <v>9.8699999999999996E-2</v>
      </c>
      <c r="I150" s="4">
        <v>0.1193</v>
      </c>
      <c r="J150" s="4">
        <v>0.96779999999999999</v>
      </c>
      <c r="K150" s="4">
        <v>1.9931999999999999</v>
      </c>
      <c r="L150" s="6"/>
    </row>
    <row r="151" spans="1:17" x14ac:dyDescent="0.2">
      <c r="A151" s="3">
        <v>45239</v>
      </c>
      <c r="B151" s="3" t="s">
        <v>13</v>
      </c>
      <c r="C151" s="3" t="s">
        <v>293</v>
      </c>
      <c r="D151" s="3" t="str">
        <f t="shared" si="2"/>
        <v>PI</v>
      </c>
      <c r="E151" s="3" t="s">
        <v>299</v>
      </c>
      <c r="F151" s="5" t="s">
        <v>156</v>
      </c>
      <c r="G151" s="4">
        <v>2.4986000000000002</v>
      </c>
      <c r="H151" s="4">
        <v>5.3800000000000001E-2</v>
      </c>
      <c r="I151" s="4">
        <v>7.4700000000000003E-2</v>
      </c>
      <c r="J151" s="4">
        <v>0.16689999999999999</v>
      </c>
      <c r="K151" s="4">
        <v>2.3072999999999997</v>
      </c>
      <c r="L151" s="6"/>
    </row>
    <row r="152" spans="1:17" x14ac:dyDescent="0.2">
      <c r="A152" s="3">
        <v>45239</v>
      </c>
      <c r="B152" s="3" t="s">
        <v>13</v>
      </c>
      <c r="C152" s="3" t="s">
        <v>293</v>
      </c>
      <c r="D152" s="3" t="str">
        <f t="shared" si="2"/>
        <v>PI</v>
      </c>
      <c r="E152" s="3" t="s">
        <v>299</v>
      </c>
      <c r="F152" s="5" t="s">
        <v>157</v>
      </c>
      <c r="G152" s="4">
        <v>4.0544000000000002</v>
      </c>
      <c r="H152" s="4">
        <v>7.1099999999999997E-2</v>
      </c>
      <c r="I152" s="4">
        <v>0.13980000000000001</v>
      </c>
      <c r="J152" s="4">
        <v>0.64559999999999995</v>
      </c>
      <c r="K152" s="4">
        <v>2.4632000000000001</v>
      </c>
      <c r="L152" s="6"/>
    </row>
    <row r="153" spans="1:17" x14ac:dyDescent="0.2">
      <c r="A153" s="3">
        <v>45245</v>
      </c>
      <c r="B153" s="3" t="s">
        <v>14</v>
      </c>
      <c r="C153" s="3" t="s">
        <v>294</v>
      </c>
      <c r="D153" s="3" t="str">
        <f t="shared" si="2"/>
        <v>Tn</v>
      </c>
      <c r="E153" s="3" t="s">
        <v>297</v>
      </c>
      <c r="F153" s="5" t="s">
        <v>19</v>
      </c>
      <c r="G153" s="4">
        <v>4.1966000000000001</v>
      </c>
      <c r="H153" s="4">
        <v>0.35349999999999998</v>
      </c>
      <c r="I153" s="4">
        <v>0.38320000000000004</v>
      </c>
      <c r="J153" s="4">
        <v>1.1260000000000001</v>
      </c>
      <c r="K153" s="4">
        <v>2.8628999999999998</v>
      </c>
    </row>
    <row r="154" spans="1:17" x14ac:dyDescent="0.2">
      <c r="A154" s="3">
        <v>45245</v>
      </c>
      <c r="B154" s="3" t="s">
        <v>14</v>
      </c>
      <c r="C154" s="3" t="s">
        <v>294</v>
      </c>
      <c r="D154" s="3" t="str">
        <f t="shared" si="2"/>
        <v>Tn</v>
      </c>
      <c r="E154" s="3" t="s">
        <v>297</v>
      </c>
      <c r="F154" s="5" t="s">
        <v>20</v>
      </c>
      <c r="G154" s="4">
        <v>2.5032000000000001</v>
      </c>
      <c r="H154" s="4">
        <v>0.14069999999999999</v>
      </c>
      <c r="I154" s="4">
        <v>7.5399999999999995E-2</v>
      </c>
      <c r="J154" s="4">
        <v>0.46020000000000005</v>
      </c>
      <c r="K154" s="4">
        <v>2.9857</v>
      </c>
    </row>
    <row r="155" spans="1:17" x14ac:dyDescent="0.2">
      <c r="A155" s="3">
        <v>45245</v>
      </c>
      <c r="B155" s="3" t="s">
        <v>14</v>
      </c>
      <c r="C155" s="3" t="s">
        <v>294</v>
      </c>
      <c r="D155" s="3" t="str">
        <f t="shared" si="2"/>
        <v>Tn</v>
      </c>
      <c r="E155" s="3" t="s">
        <v>297</v>
      </c>
      <c r="F155" s="5" t="s">
        <v>21</v>
      </c>
      <c r="G155" s="4">
        <v>2.3616999999999999</v>
      </c>
      <c r="H155" s="4">
        <v>9.3299999999999994E-2</v>
      </c>
      <c r="I155" s="4">
        <v>5.1999999999999998E-2</v>
      </c>
      <c r="J155" s="4">
        <v>0.21280000000000004</v>
      </c>
      <c r="K155" s="4">
        <v>2.0110999999999999</v>
      </c>
    </row>
    <row r="156" spans="1:17" x14ac:dyDescent="0.2">
      <c r="A156" s="3">
        <v>45245</v>
      </c>
      <c r="B156" s="3" t="s">
        <v>14</v>
      </c>
      <c r="C156" s="3" t="s">
        <v>294</v>
      </c>
      <c r="D156" s="3" t="str">
        <f t="shared" si="2"/>
        <v>Tn</v>
      </c>
      <c r="E156" s="3" t="s">
        <v>297</v>
      </c>
      <c r="F156" s="5" t="s">
        <v>22</v>
      </c>
      <c r="G156" s="4">
        <v>4.9245000000000001</v>
      </c>
      <c r="H156" s="4">
        <v>0.19639999999999999</v>
      </c>
      <c r="I156" s="4">
        <v>0.1105</v>
      </c>
      <c r="J156" s="4">
        <v>0.55789999999999995</v>
      </c>
      <c r="K156" s="4">
        <v>2.7505999999999999</v>
      </c>
      <c r="M156" s="1"/>
      <c r="N156" s="1"/>
      <c r="O156" s="1"/>
      <c r="P156" s="1"/>
      <c r="Q156" s="1"/>
    </row>
    <row r="157" spans="1:17" x14ac:dyDescent="0.2">
      <c r="A157" s="3">
        <v>45245</v>
      </c>
      <c r="B157" s="3" t="s">
        <v>14</v>
      </c>
      <c r="C157" s="3" t="s">
        <v>294</v>
      </c>
      <c r="D157" s="3" t="str">
        <f t="shared" si="2"/>
        <v>Tn</v>
      </c>
      <c r="E157" s="3" t="s">
        <v>297</v>
      </c>
      <c r="F157" s="5" t="s">
        <v>23</v>
      </c>
      <c r="G157" s="4">
        <v>3.8218000000000001</v>
      </c>
      <c r="H157" s="4">
        <v>0.15160000000000001</v>
      </c>
      <c r="I157" s="4">
        <v>9.2600000000000002E-2</v>
      </c>
      <c r="J157" s="4">
        <v>0.67010000000000003</v>
      </c>
      <c r="K157" s="4">
        <v>2.2930999999999999</v>
      </c>
    </row>
    <row r="158" spans="1:17" x14ac:dyDescent="0.2">
      <c r="A158" s="3">
        <v>45245</v>
      </c>
      <c r="B158" s="3" t="s">
        <v>14</v>
      </c>
      <c r="C158" s="3" t="s">
        <v>294</v>
      </c>
      <c r="D158" s="3" t="str">
        <f t="shared" si="2"/>
        <v>Tn</v>
      </c>
      <c r="E158" s="3" t="s">
        <v>297</v>
      </c>
      <c r="F158" s="5" t="s">
        <v>24</v>
      </c>
      <c r="G158" s="4">
        <v>3.4442999999999997</v>
      </c>
      <c r="H158" s="4">
        <v>0.11840000000000001</v>
      </c>
      <c r="I158" s="4">
        <v>7.1899999999999992E-2</v>
      </c>
      <c r="J158" s="4">
        <v>0.29239999999999999</v>
      </c>
      <c r="K158" s="4">
        <v>3.0387</v>
      </c>
    </row>
    <row r="159" spans="1:17" x14ac:dyDescent="0.2">
      <c r="A159" s="3">
        <v>45245</v>
      </c>
      <c r="B159" s="3" t="s">
        <v>14</v>
      </c>
      <c r="C159" s="3" t="s">
        <v>294</v>
      </c>
      <c r="D159" s="3" t="str">
        <f t="shared" si="2"/>
        <v>Tn</v>
      </c>
      <c r="E159" s="3" t="s">
        <v>297</v>
      </c>
      <c r="F159" s="5" t="s">
        <v>25</v>
      </c>
      <c r="G159" s="4">
        <v>4.1826000000000008</v>
      </c>
      <c r="H159" s="4">
        <v>9.8699999999999996E-2</v>
      </c>
      <c r="I159" s="4">
        <v>9.98E-2</v>
      </c>
      <c r="J159" s="4">
        <v>0.34640000000000004</v>
      </c>
      <c r="K159" s="4">
        <v>2.8496999999999999</v>
      </c>
    </row>
    <row r="160" spans="1:17" x14ac:dyDescent="0.2">
      <c r="A160" s="3">
        <v>45245</v>
      </c>
      <c r="B160" s="3" t="s">
        <v>14</v>
      </c>
      <c r="C160" s="3" t="s">
        <v>294</v>
      </c>
      <c r="D160" s="3" t="str">
        <f t="shared" si="2"/>
        <v>Tn</v>
      </c>
      <c r="E160" s="3" t="s">
        <v>297</v>
      </c>
      <c r="F160" s="5" t="s">
        <v>26</v>
      </c>
      <c r="G160" s="4">
        <v>2.5994999999999999</v>
      </c>
      <c r="H160" s="4">
        <v>0.12670000000000001</v>
      </c>
      <c r="I160" s="4">
        <v>0.1071</v>
      </c>
      <c r="J160" s="4">
        <v>0.58740000000000003</v>
      </c>
      <c r="K160" s="4">
        <v>3.7473000000000001</v>
      </c>
    </row>
    <row r="161" spans="1:11" x14ac:dyDescent="0.2">
      <c r="A161" s="3">
        <v>45245</v>
      </c>
      <c r="B161" s="3" t="s">
        <v>14</v>
      </c>
      <c r="C161" s="3" t="s">
        <v>294</v>
      </c>
      <c r="D161" s="3" t="str">
        <f t="shared" si="2"/>
        <v>Tn</v>
      </c>
      <c r="E161" s="3" t="s">
        <v>297</v>
      </c>
      <c r="F161" s="5" t="s">
        <v>27</v>
      </c>
      <c r="G161" s="4">
        <v>4.6871</v>
      </c>
      <c r="H161" s="4">
        <v>0.28120000000000001</v>
      </c>
      <c r="I161" s="4">
        <v>0.27960000000000002</v>
      </c>
      <c r="J161" s="4">
        <v>1.1055999999999999</v>
      </c>
      <c r="K161" s="4">
        <v>3.1095000000000002</v>
      </c>
    </row>
    <row r="162" spans="1:11" x14ac:dyDescent="0.2">
      <c r="A162" s="3">
        <v>45245</v>
      </c>
      <c r="B162" s="3" t="s">
        <v>14</v>
      </c>
      <c r="C162" s="3" t="s">
        <v>294</v>
      </c>
      <c r="D162" s="3" t="str">
        <f t="shared" si="2"/>
        <v>Tn</v>
      </c>
      <c r="E162" s="3" t="s">
        <v>297</v>
      </c>
      <c r="F162" s="5" t="s">
        <v>28</v>
      </c>
      <c r="G162" s="4">
        <v>4.9105000000000008</v>
      </c>
      <c r="H162" s="4">
        <v>0.1181</v>
      </c>
      <c r="I162" s="4">
        <v>9.4100000000000003E-2</v>
      </c>
      <c r="J162" s="4">
        <v>0.55870000000000009</v>
      </c>
      <c r="K162" s="4">
        <v>3.1288999999999998</v>
      </c>
    </row>
    <row r="163" spans="1:11" x14ac:dyDescent="0.2">
      <c r="A163" s="3">
        <v>45245</v>
      </c>
      <c r="B163" s="3" t="s">
        <v>14</v>
      </c>
      <c r="C163" s="3" t="s">
        <v>294</v>
      </c>
      <c r="D163" s="3" t="str">
        <f t="shared" si="2"/>
        <v>Tn</v>
      </c>
      <c r="E163" s="3" t="s">
        <v>298</v>
      </c>
      <c r="F163" s="5" t="s">
        <v>29</v>
      </c>
      <c r="G163" s="4">
        <v>3.8874999999999997</v>
      </c>
      <c r="H163" s="4">
        <v>0.1089</v>
      </c>
      <c r="I163" s="4">
        <v>0.1205</v>
      </c>
      <c r="J163" s="4">
        <v>0.98350000000000004</v>
      </c>
      <c r="K163" s="4">
        <v>2.8832999999999998</v>
      </c>
    </row>
    <row r="164" spans="1:11" x14ac:dyDescent="0.2">
      <c r="A164" s="3">
        <v>45245</v>
      </c>
      <c r="B164" s="3" t="s">
        <v>14</v>
      </c>
      <c r="C164" s="3" t="s">
        <v>294</v>
      </c>
      <c r="D164" s="3" t="str">
        <f t="shared" si="2"/>
        <v>Tn</v>
      </c>
      <c r="E164" s="3" t="s">
        <v>298</v>
      </c>
      <c r="F164" s="5" t="s">
        <v>30</v>
      </c>
      <c r="G164" s="4">
        <v>2.9773999999999998</v>
      </c>
      <c r="H164" s="4">
        <v>7.6899999999999996E-2</v>
      </c>
      <c r="I164" s="4">
        <v>7.0800000000000002E-2</v>
      </c>
      <c r="J164" s="4">
        <v>0.37280000000000002</v>
      </c>
      <c r="K164" s="4">
        <v>2.4274</v>
      </c>
    </row>
    <row r="165" spans="1:11" x14ac:dyDescent="0.2">
      <c r="A165" s="3">
        <v>45245</v>
      </c>
      <c r="B165" s="3" t="s">
        <v>14</v>
      </c>
      <c r="C165" s="3" t="s">
        <v>294</v>
      </c>
      <c r="D165" s="3" t="str">
        <f t="shared" si="2"/>
        <v>Tn</v>
      </c>
      <c r="E165" s="3" t="s">
        <v>298</v>
      </c>
      <c r="F165" s="5" t="s">
        <v>31</v>
      </c>
      <c r="G165" s="4">
        <v>3.3916999999999997</v>
      </c>
      <c r="H165" s="4">
        <v>0.1174</v>
      </c>
      <c r="I165" s="4">
        <v>0.1105</v>
      </c>
      <c r="J165" s="4">
        <v>0.32070000000000004</v>
      </c>
      <c r="K165" s="4">
        <v>2.5125000000000002</v>
      </c>
    </row>
    <row r="166" spans="1:11" x14ac:dyDescent="0.2">
      <c r="A166" s="3">
        <v>45245</v>
      </c>
      <c r="B166" s="3" t="s">
        <v>14</v>
      </c>
      <c r="C166" s="3" t="s">
        <v>294</v>
      </c>
      <c r="D166" s="3" t="str">
        <f t="shared" si="2"/>
        <v>Tn</v>
      </c>
      <c r="E166" s="3" t="s">
        <v>298</v>
      </c>
      <c r="F166" s="5" t="s">
        <v>32</v>
      </c>
      <c r="G166" s="4">
        <v>4.0739999999999998</v>
      </c>
      <c r="H166" s="4">
        <v>0.158</v>
      </c>
      <c r="I166" s="4">
        <v>0.1021</v>
      </c>
      <c r="J166" s="4">
        <v>0.35589999999999999</v>
      </c>
      <c r="K166" s="4">
        <v>2.5332999999999997</v>
      </c>
    </row>
    <row r="167" spans="1:11" x14ac:dyDescent="0.2">
      <c r="A167" s="3">
        <v>45245</v>
      </c>
      <c r="B167" s="3" t="s">
        <v>14</v>
      </c>
      <c r="C167" s="3" t="s">
        <v>294</v>
      </c>
      <c r="D167" s="3" t="str">
        <f t="shared" si="2"/>
        <v>Tn</v>
      </c>
      <c r="E167" s="3" t="s">
        <v>298</v>
      </c>
      <c r="F167" s="5" t="s">
        <v>33</v>
      </c>
      <c r="G167" s="4">
        <v>1.2168999999999999</v>
      </c>
      <c r="H167" s="4">
        <v>0.1857</v>
      </c>
      <c r="I167" s="4">
        <v>0.10059999999999999</v>
      </c>
      <c r="J167" s="4">
        <v>0.34689999999999999</v>
      </c>
      <c r="K167" s="4">
        <v>2.9470999999999998</v>
      </c>
    </row>
    <row r="168" spans="1:11" x14ac:dyDescent="0.2">
      <c r="A168" s="3">
        <v>45245</v>
      </c>
      <c r="B168" s="3" t="s">
        <v>14</v>
      </c>
      <c r="C168" s="3" t="s">
        <v>294</v>
      </c>
      <c r="D168" s="3" t="str">
        <f t="shared" si="2"/>
        <v>Tn</v>
      </c>
      <c r="E168" s="3" t="s">
        <v>298</v>
      </c>
      <c r="F168" s="5" t="s">
        <v>34</v>
      </c>
      <c r="G168" s="4">
        <v>1.9306999999999999</v>
      </c>
      <c r="H168" s="4">
        <v>0.11169999999999999</v>
      </c>
      <c r="I168" s="4">
        <v>7.1499999999999994E-2</v>
      </c>
      <c r="J168" s="4">
        <v>0.3075</v>
      </c>
      <c r="K168" s="4">
        <v>3.3818999999999999</v>
      </c>
    </row>
    <row r="169" spans="1:11" x14ac:dyDescent="0.2">
      <c r="A169" s="3">
        <v>45245</v>
      </c>
      <c r="B169" s="3" t="s">
        <v>14</v>
      </c>
      <c r="C169" s="3" t="s">
        <v>294</v>
      </c>
      <c r="D169" s="3" t="str">
        <f t="shared" si="2"/>
        <v>Tn</v>
      </c>
      <c r="E169" s="3" t="s">
        <v>298</v>
      </c>
      <c r="F169" s="5" t="s">
        <v>35</v>
      </c>
      <c r="G169" s="4">
        <v>3.6071999999999997</v>
      </c>
      <c r="H169" s="4">
        <v>0.18640000000000001</v>
      </c>
      <c r="I169" s="4">
        <v>0.1128</v>
      </c>
      <c r="J169" s="4">
        <v>0.33150000000000002</v>
      </c>
      <c r="K169" s="4">
        <v>2.8832999999999998</v>
      </c>
    </row>
    <row r="170" spans="1:11" x14ac:dyDescent="0.2">
      <c r="A170" s="3">
        <v>45245</v>
      </c>
      <c r="B170" s="3" t="s">
        <v>170</v>
      </c>
      <c r="C170" s="3" t="s">
        <v>294</v>
      </c>
      <c r="D170" s="3" t="str">
        <f t="shared" si="2"/>
        <v>Tn</v>
      </c>
      <c r="E170" s="3" t="s">
        <v>298</v>
      </c>
      <c r="F170" s="5" t="s">
        <v>169</v>
      </c>
      <c r="G170" s="4">
        <v>2.9567999999999999</v>
      </c>
      <c r="H170" s="4">
        <v>0.2049</v>
      </c>
      <c r="I170" s="4">
        <v>0.1071</v>
      </c>
      <c r="J170" s="4">
        <v>0.39990000000000003</v>
      </c>
      <c r="K170" s="4">
        <v>3.5508000000000002</v>
      </c>
    </row>
    <row r="171" spans="1:11" x14ac:dyDescent="0.2">
      <c r="A171" s="3">
        <v>45245</v>
      </c>
      <c r="B171" s="3" t="s">
        <v>14</v>
      </c>
      <c r="C171" s="3" t="s">
        <v>294</v>
      </c>
      <c r="D171" s="3" t="str">
        <f t="shared" si="2"/>
        <v>Tn</v>
      </c>
      <c r="E171" s="3" t="s">
        <v>298</v>
      </c>
      <c r="F171" s="5" t="s">
        <v>36</v>
      </c>
      <c r="G171" s="4">
        <v>3.3418000000000001</v>
      </c>
      <c r="H171" s="4">
        <v>8.9700000000000002E-2</v>
      </c>
      <c r="I171" s="4">
        <v>0.106</v>
      </c>
      <c r="J171" s="4">
        <v>0.65280000000000005</v>
      </c>
      <c r="K171" s="4">
        <v>2.8569</v>
      </c>
    </row>
    <row r="172" spans="1:11" x14ac:dyDescent="0.2">
      <c r="A172" s="3">
        <v>45245</v>
      </c>
      <c r="B172" s="3" t="s">
        <v>14</v>
      </c>
      <c r="C172" s="3" t="s">
        <v>294</v>
      </c>
      <c r="D172" s="3" t="str">
        <f t="shared" si="2"/>
        <v>Tn</v>
      </c>
      <c r="E172" s="3" t="s">
        <v>298</v>
      </c>
      <c r="F172" s="5" t="s">
        <v>37</v>
      </c>
      <c r="G172" s="4">
        <v>1.5891999999999999</v>
      </c>
      <c r="H172" s="4">
        <v>9.1800000000000007E-2</v>
      </c>
      <c r="I172" s="4">
        <v>6.4699999999999994E-2</v>
      </c>
      <c r="J172" s="4">
        <v>0.31690000000000007</v>
      </c>
      <c r="K172" s="4">
        <v>2.5129000000000001</v>
      </c>
    </row>
    <row r="173" spans="1:11" x14ac:dyDescent="0.2">
      <c r="A173" s="3">
        <v>45245</v>
      </c>
      <c r="B173" s="3" t="s">
        <v>14</v>
      </c>
      <c r="C173" s="3" t="s">
        <v>294</v>
      </c>
      <c r="D173" s="3" t="str">
        <f t="shared" si="2"/>
        <v>Tn</v>
      </c>
      <c r="E173" s="3" t="s">
        <v>299</v>
      </c>
      <c r="F173" s="5" t="s">
        <v>38</v>
      </c>
      <c r="G173" s="4">
        <v>10.2455</v>
      </c>
      <c r="H173" s="4">
        <v>0.1075</v>
      </c>
      <c r="I173" s="4">
        <v>9.2200000000000004E-2</v>
      </c>
      <c r="J173" s="4">
        <v>1.2333000000000001</v>
      </c>
      <c r="K173" s="4">
        <v>2.6105999999999998</v>
      </c>
    </row>
    <row r="174" spans="1:11" x14ac:dyDescent="0.2">
      <c r="A174" s="3">
        <v>45245</v>
      </c>
      <c r="B174" s="3" t="s">
        <v>14</v>
      </c>
      <c r="C174" s="3" t="s">
        <v>294</v>
      </c>
      <c r="D174" s="3" t="str">
        <f t="shared" si="2"/>
        <v>Tn</v>
      </c>
      <c r="E174" s="3" t="s">
        <v>299</v>
      </c>
      <c r="F174" s="5" t="s">
        <v>39</v>
      </c>
      <c r="G174" s="4">
        <v>1.7747999999999999</v>
      </c>
      <c r="H174" s="4">
        <v>8.6900000000000005E-2</v>
      </c>
      <c r="I174" s="4">
        <v>6.4699999999999994E-2</v>
      </c>
      <c r="J174" s="4">
        <v>0.37370000000000003</v>
      </c>
      <c r="K174" s="4">
        <v>2.2641999999999998</v>
      </c>
    </row>
    <row r="175" spans="1:11" x14ac:dyDescent="0.2">
      <c r="A175" s="3">
        <v>45245</v>
      </c>
      <c r="B175" s="3" t="s">
        <v>14</v>
      </c>
      <c r="C175" s="3" t="s">
        <v>294</v>
      </c>
      <c r="D175" s="3" t="str">
        <f t="shared" si="2"/>
        <v>Tn</v>
      </c>
      <c r="E175" s="3" t="s">
        <v>299</v>
      </c>
      <c r="F175" s="5" t="s">
        <v>40</v>
      </c>
      <c r="G175" s="4">
        <v>4.0959000000000003</v>
      </c>
      <c r="H175" s="4">
        <v>0.3009</v>
      </c>
      <c r="I175" s="4">
        <v>0.27110000000000001</v>
      </c>
      <c r="J175" s="4">
        <v>1.9521999999999999</v>
      </c>
      <c r="K175" s="4">
        <v>4.7286999999999999</v>
      </c>
    </row>
    <row r="176" spans="1:11" x14ac:dyDescent="0.2">
      <c r="A176" s="3">
        <v>45245</v>
      </c>
      <c r="B176" s="3" t="s">
        <v>14</v>
      </c>
      <c r="C176" s="3" t="s">
        <v>294</v>
      </c>
      <c r="D176" s="3" t="str">
        <f t="shared" si="2"/>
        <v>Tn</v>
      </c>
      <c r="E176" s="3" t="s">
        <v>299</v>
      </c>
      <c r="F176" s="5" t="s">
        <v>41</v>
      </c>
      <c r="G176" s="4">
        <v>1.7528999999999999</v>
      </c>
      <c r="H176" s="4">
        <v>6.9800000000000001E-2</v>
      </c>
      <c r="I176" s="4">
        <v>0.15409999999999999</v>
      </c>
      <c r="J176" s="4">
        <v>1.0060000000000002</v>
      </c>
      <c r="K176" s="4">
        <v>3.9377</v>
      </c>
    </row>
    <row r="177" spans="1:19" x14ac:dyDescent="0.2">
      <c r="A177" s="3">
        <v>45245</v>
      </c>
      <c r="B177" s="3" t="s">
        <v>14</v>
      </c>
      <c r="C177" s="3" t="s">
        <v>294</v>
      </c>
      <c r="D177" s="3" t="str">
        <f t="shared" si="2"/>
        <v>Tn</v>
      </c>
      <c r="E177" s="3" t="s">
        <v>299</v>
      </c>
      <c r="F177" s="5" t="s">
        <v>42</v>
      </c>
      <c r="G177" s="4">
        <v>2.5684</v>
      </c>
      <c r="H177" s="4">
        <v>0.24970000000000001</v>
      </c>
      <c r="I177" s="4">
        <v>0.16789999999999999</v>
      </c>
      <c r="J177" s="4">
        <v>2.92</v>
      </c>
      <c r="K177" s="4">
        <v>3.8725999999999998</v>
      </c>
    </row>
    <row r="178" spans="1:19" x14ac:dyDescent="0.2">
      <c r="A178" s="3">
        <v>45245</v>
      </c>
      <c r="B178" s="3" t="s">
        <v>14</v>
      </c>
      <c r="C178" s="3" t="s">
        <v>294</v>
      </c>
      <c r="D178" s="3" t="str">
        <f t="shared" si="2"/>
        <v>Tn</v>
      </c>
      <c r="E178" s="3" t="s">
        <v>299</v>
      </c>
      <c r="F178" s="5" t="s">
        <v>43</v>
      </c>
      <c r="G178" s="4">
        <v>2.7382999999999997</v>
      </c>
      <c r="H178" s="4">
        <v>0.152</v>
      </c>
      <c r="I178" s="4">
        <v>0.12620000000000001</v>
      </c>
      <c r="J178" s="4">
        <v>0.42930000000000001</v>
      </c>
      <c r="K178" s="4">
        <v>3.1915</v>
      </c>
    </row>
    <row r="179" spans="1:19" x14ac:dyDescent="0.2">
      <c r="A179" s="3">
        <v>45245</v>
      </c>
      <c r="B179" s="3" t="s">
        <v>14</v>
      </c>
      <c r="C179" s="3" t="s">
        <v>294</v>
      </c>
      <c r="D179" s="3" t="str">
        <f t="shared" si="2"/>
        <v>Tn</v>
      </c>
      <c r="E179" s="3" t="s">
        <v>299</v>
      </c>
      <c r="F179" s="5" t="s">
        <v>44</v>
      </c>
      <c r="G179" s="4">
        <v>1.2887</v>
      </c>
      <c r="H179" s="4">
        <v>0.14330000000000001</v>
      </c>
      <c r="I179" s="4">
        <v>0.1075</v>
      </c>
      <c r="J179" s="4">
        <v>0.9696999999999999</v>
      </c>
      <c r="K179" s="4">
        <v>2.3843999999999999</v>
      </c>
    </row>
    <row r="180" spans="1:19" x14ac:dyDescent="0.2">
      <c r="A180" s="3">
        <v>45245</v>
      </c>
      <c r="B180" s="3" t="s">
        <v>14</v>
      </c>
      <c r="C180" s="3" t="s">
        <v>294</v>
      </c>
      <c r="D180" s="3" t="str">
        <f t="shared" si="2"/>
        <v>Tn</v>
      </c>
      <c r="E180" s="3" t="s">
        <v>299</v>
      </c>
      <c r="F180" s="5" t="s">
        <v>45</v>
      </c>
      <c r="G180" s="4">
        <v>2.8872</v>
      </c>
      <c r="H180" s="4">
        <v>0.11890000000000001</v>
      </c>
      <c r="I180" s="4">
        <v>0.13689999999999999</v>
      </c>
      <c r="J180" s="4">
        <v>1.139</v>
      </c>
      <c r="K180" s="4">
        <v>3.0548000000000002</v>
      </c>
    </row>
    <row r="181" spans="1:19" x14ac:dyDescent="0.2">
      <c r="A181" s="3">
        <v>45245</v>
      </c>
      <c r="B181" s="3" t="s">
        <v>14</v>
      </c>
      <c r="C181" s="3" t="s">
        <v>294</v>
      </c>
      <c r="D181" s="3" t="str">
        <f t="shared" si="2"/>
        <v>Tn</v>
      </c>
      <c r="E181" s="3" t="s">
        <v>299</v>
      </c>
      <c r="F181" s="5" t="s">
        <v>46</v>
      </c>
      <c r="G181" s="4">
        <v>3.8996999999999997</v>
      </c>
      <c r="H181" s="4">
        <v>8.3099999999999993E-2</v>
      </c>
      <c r="I181" s="4">
        <v>7.6899999999999996E-2</v>
      </c>
      <c r="J181" s="4">
        <v>0.63230000000000008</v>
      </c>
      <c r="K181" s="4">
        <v>2.5526</v>
      </c>
    </row>
    <row r="182" spans="1:19" x14ac:dyDescent="0.2">
      <c r="A182" s="3">
        <v>45245</v>
      </c>
      <c r="B182" s="3" t="s">
        <v>14</v>
      </c>
      <c r="C182" s="3" t="s">
        <v>294</v>
      </c>
      <c r="D182" s="3" t="str">
        <f t="shared" si="2"/>
        <v>Tn</v>
      </c>
      <c r="E182" s="3" t="s">
        <v>299</v>
      </c>
      <c r="F182" s="5" t="s">
        <v>47</v>
      </c>
      <c r="G182" s="4">
        <v>1.583</v>
      </c>
      <c r="H182" s="4">
        <v>3.3099999999999997E-2</v>
      </c>
      <c r="I182" s="4">
        <v>5.5899999999999998E-2</v>
      </c>
      <c r="J182" s="4">
        <v>0.3881</v>
      </c>
      <c r="K182" s="4">
        <v>2.2888999999999999</v>
      </c>
    </row>
    <row r="183" spans="1:19" x14ac:dyDescent="0.2">
      <c r="A183" s="3">
        <v>45247</v>
      </c>
      <c r="B183" s="3" t="s">
        <v>15</v>
      </c>
      <c r="C183" s="3" t="s">
        <v>292</v>
      </c>
      <c r="D183" s="3" t="str">
        <f t="shared" si="2"/>
        <v>T2</v>
      </c>
      <c r="E183" s="3" t="s">
        <v>297</v>
      </c>
      <c r="F183" s="5" t="s">
        <v>48</v>
      </c>
      <c r="G183" s="4">
        <v>7.4024999999999999</v>
      </c>
      <c r="H183" s="4">
        <v>0.20860000000000001</v>
      </c>
      <c r="I183" s="4">
        <v>0.18310000000000001</v>
      </c>
      <c r="J183" s="4">
        <v>0.5554</v>
      </c>
      <c r="K183" s="4">
        <v>1.3369</v>
      </c>
    </row>
    <row r="184" spans="1:19" x14ac:dyDescent="0.2">
      <c r="A184" s="3">
        <v>45247</v>
      </c>
      <c r="B184" s="3" t="s">
        <v>15</v>
      </c>
      <c r="C184" s="3" t="s">
        <v>292</v>
      </c>
      <c r="D184" s="3" t="str">
        <f t="shared" si="2"/>
        <v>T2</v>
      </c>
      <c r="E184" s="3" t="s">
        <v>297</v>
      </c>
      <c r="F184" s="5" t="s">
        <v>49</v>
      </c>
      <c r="G184" s="4">
        <v>3.0619000000000001</v>
      </c>
      <c r="H184" s="4">
        <v>0.14050000000000001</v>
      </c>
      <c r="I184" s="4">
        <v>6.5699999999999995E-2</v>
      </c>
      <c r="J184" s="4">
        <v>0.29849999999999999</v>
      </c>
      <c r="K184" s="4">
        <v>1.0695000000000001</v>
      </c>
      <c r="N184" s="1"/>
      <c r="O184" s="1"/>
      <c r="P184" s="1"/>
      <c r="Q184" s="1"/>
      <c r="R184" s="1"/>
      <c r="S184" s="1"/>
    </row>
    <row r="185" spans="1:19" x14ac:dyDescent="0.2">
      <c r="A185" s="3">
        <v>45247</v>
      </c>
      <c r="B185" s="3" t="s">
        <v>15</v>
      </c>
      <c r="C185" s="3" t="s">
        <v>292</v>
      </c>
      <c r="D185" s="3" t="str">
        <f t="shared" si="2"/>
        <v>T2</v>
      </c>
      <c r="E185" s="3" t="s">
        <v>297</v>
      </c>
      <c r="F185" s="5" t="s">
        <v>50</v>
      </c>
      <c r="G185" s="4">
        <v>7.7484000000000002</v>
      </c>
      <c r="H185" s="4">
        <v>0.32749999999999996</v>
      </c>
      <c r="I185" s="4">
        <v>0.14130000000000001</v>
      </c>
      <c r="J185" s="4">
        <v>0.45669999999999999</v>
      </c>
      <c r="K185" s="4">
        <v>1.2083999999999999</v>
      </c>
    </row>
    <row r="186" spans="1:19" x14ac:dyDescent="0.2">
      <c r="A186" s="3">
        <v>45247</v>
      </c>
      <c r="B186" s="3" t="s">
        <v>15</v>
      </c>
      <c r="C186" s="3" t="s">
        <v>292</v>
      </c>
      <c r="D186" s="3" t="str">
        <f t="shared" si="2"/>
        <v>T2</v>
      </c>
      <c r="E186" s="3" t="s">
        <v>297</v>
      </c>
      <c r="F186" s="5" t="s">
        <v>51</v>
      </c>
      <c r="G186" s="4">
        <v>3.4132000000000002</v>
      </c>
      <c r="H186" s="4">
        <v>0.1065</v>
      </c>
      <c r="I186" s="4">
        <v>0.105</v>
      </c>
      <c r="J186" s="4">
        <v>0.46609999999999996</v>
      </c>
      <c r="K186" s="4">
        <v>1.0937999999999999</v>
      </c>
      <c r="M186" s="1"/>
      <c r="N186" s="1"/>
      <c r="O186" s="1"/>
      <c r="P186" s="1"/>
      <c r="Q186" s="1"/>
      <c r="R186" s="1"/>
    </row>
    <row r="187" spans="1:19" x14ac:dyDescent="0.2">
      <c r="A187" s="3">
        <v>45247</v>
      </c>
      <c r="B187" s="3" t="s">
        <v>15</v>
      </c>
      <c r="C187" s="3" t="s">
        <v>292</v>
      </c>
      <c r="D187" s="3" t="str">
        <f t="shared" si="2"/>
        <v>T2</v>
      </c>
      <c r="E187" s="3" t="s">
        <v>297</v>
      </c>
      <c r="F187" s="5" t="s">
        <v>52</v>
      </c>
      <c r="G187" s="4">
        <v>7.4459999999999997</v>
      </c>
      <c r="H187" s="4">
        <v>0.15529999999999999</v>
      </c>
      <c r="I187" s="4">
        <v>0.12909999999999999</v>
      </c>
      <c r="J187" s="4">
        <v>0.41380000000000006</v>
      </c>
      <c r="K187" s="4">
        <v>1.135</v>
      </c>
    </row>
    <row r="188" spans="1:19" x14ac:dyDescent="0.2">
      <c r="A188" s="3">
        <v>45247</v>
      </c>
      <c r="B188" s="3" t="s">
        <v>15</v>
      </c>
      <c r="C188" s="3" t="s">
        <v>292</v>
      </c>
      <c r="D188" s="3" t="str">
        <f t="shared" si="2"/>
        <v>T2</v>
      </c>
      <c r="E188" s="3" t="s">
        <v>297</v>
      </c>
      <c r="F188" s="5" t="s">
        <v>53</v>
      </c>
      <c r="G188" s="4">
        <v>6.5720000000000001</v>
      </c>
      <c r="H188" s="4">
        <v>0.34989999999999999</v>
      </c>
      <c r="I188" s="4">
        <v>0.1573</v>
      </c>
      <c r="J188" s="4">
        <v>1.6941000000000002</v>
      </c>
      <c r="K188" s="4">
        <v>1.4472</v>
      </c>
      <c r="M188" s="1"/>
      <c r="N188" s="1"/>
      <c r="O188" s="1"/>
      <c r="P188" s="1"/>
      <c r="Q188" s="1"/>
      <c r="R188" s="1"/>
    </row>
    <row r="189" spans="1:19" x14ac:dyDescent="0.2">
      <c r="A189" s="3">
        <v>45247</v>
      </c>
      <c r="B189" s="3" t="s">
        <v>15</v>
      </c>
      <c r="C189" s="3" t="s">
        <v>292</v>
      </c>
      <c r="D189" s="3" t="str">
        <f t="shared" si="2"/>
        <v>T2</v>
      </c>
      <c r="E189" s="3" t="s">
        <v>297</v>
      </c>
      <c r="F189" s="5" t="s">
        <v>54</v>
      </c>
      <c r="G189" s="4">
        <v>2.3509000000000002</v>
      </c>
      <c r="H189" s="4">
        <v>0.16089999999999999</v>
      </c>
      <c r="I189" s="4">
        <v>8.9800000000000005E-2</v>
      </c>
      <c r="J189" s="4">
        <v>0.18580000000000002</v>
      </c>
      <c r="K189" s="4">
        <v>1.0844</v>
      </c>
      <c r="M189" s="1"/>
      <c r="N189" s="1"/>
      <c r="O189" s="1"/>
      <c r="P189" s="1"/>
      <c r="Q189" s="1"/>
      <c r="R189" s="1"/>
    </row>
    <row r="190" spans="1:19" x14ac:dyDescent="0.2">
      <c r="A190" s="3">
        <v>45247</v>
      </c>
      <c r="B190" s="3" t="s">
        <v>15</v>
      </c>
      <c r="C190" s="3" t="s">
        <v>292</v>
      </c>
      <c r="D190" s="3" t="str">
        <f t="shared" si="2"/>
        <v>T2</v>
      </c>
      <c r="E190" s="3" t="s">
        <v>297</v>
      </c>
      <c r="F190" s="5" t="s">
        <v>55</v>
      </c>
      <c r="G190" s="4">
        <v>3.7445999999999997</v>
      </c>
      <c r="H190" s="4">
        <v>0.24199999999999999</v>
      </c>
      <c r="I190" s="4">
        <v>0.12290000000000001</v>
      </c>
      <c r="J190" s="4">
        <v>0.70069999999999999</v>
      </c>
      <c r="K190" s="4">
        <v>1.2645999999999999</v>
      </c>
      <c r="M190" s="1"/>
      <c r="N190" s="1"/>
      <c r="O190" s="1"/>
      <c r="P190" s="1"/>
      <c r="Q190" s="1"/>
      <c r="R190" s="1"/>
    </row>
    <row r="191" spans="1:19" x14ac:dyDescent="0.2">
      <c r="A191" s="3">
        <v>45247</v>
      </c>
      <c r="B191" s="3" t="s">
        <v>15</v>
      </c>
      <c r="C191" s="3" t="s">
        <v>292</v>
      </c>
      <c r="D191" s="3" t="str">
        <f t="shared" si="2"/>
        <v>T2</v>
      </c>
      <c r="E191" s="3" t="s">
        <v>297</v>
      </c>
      <c r="F191" s="5" t="s">
        <v>56</v>
      </c>
      <c r="G191" s="4">
        <v>4.4192</v>
      </c>
      <c r="H191" s="4">
        <v>0.2228</v>
      </c>
      <c r="I191" s="4">
        <v>0.11430000000000001</v>
      </c>
      <c r="J191" s="4">
        <v>0.29369999999999996</v>
      </c>
      <c r="K191" s="4">
        <v>1.2664</v>
      </c>
    </row>
    <row r="192" spans="1:19" x14ac:dyDescent="0.2">
      <c r="A192" s="3">
        <v>45247</v>
      </c>
      <c r="B192" s="3" t="s">
        <v>15</v>
      </c>
      <c r="C192" s="3" t="s">
        <v>292</v>
      </c>
      <c r="D192" s="3" t="str">
        <f t="shared" si="2"/>
        <v>T2</v>
      </c>
      <c r="E192" s="3" t="s">
        <v>297</v>
      </c>
      <c r="F192" s="5" t="s">
        <v>57</v>
      </c>
      <c r="G192" s="4">
        <v>2.3153000000000001</v>
      </c>
      <c r="H192" s="4">
        <v>0.13300000000000001</v>
      </c>
      <c r="I192" s="4">
        <v>7.1400000000000005E-2</v>
      </c>
      <c r="J192" s="4">
        <v>0.1346</v>
      </c>
      <c r="K192" s="4">
        <v>1.1537999999999999</v>
      </c>
    </row>
    <row r="193" spans="1:18" x14ac:dyDescent="0.2">
      <c r="A193" s="3">
        <v>45247</v>
      </c>
      <c r="B193" s="3" t="s">
        <v>15</v>
      </c>
      <c r="C193" s="3" t="s">
        <v>292</v>
      </c>
      <c r="D193" s="3" t="str">
        <f t="shared" si="2"/>
        <v>T2</v>
      </c>
      <c r="E193" s="3" t="s">
        <v>298</v>
      </c>
      <c r="F193" s="5" t="s">
        <v>58</v>
      </c>
      <c r="G193" s="4">
        <v>5.2210000000000001</v>
      </c>
      <c r="H193" s="4">
        <v>0.26489999999999997</v>
      </c>
      <c r="I193" s="4">
        <v>0.127</v>
      </c>
      <c r="J193" s="4">
        <v>0.40700000000000003</v>
      </c>
      <c r="K193" s="4">
        <v>0.96660000000000001</v>
      </c>
    </row>
    <row r="194" spans="1:18" x14ac:dyDescent="0.2">
      <c r="A194" s="3">
        <v>45247</v>
      </c>
      <c r="B194" s="3" t="s">
        <v>15</v>
      </c>
      <c r="C194" s="3" t="s">
        <v>292</v>
      </c>
      <c r="D194" s="3" t="str">
        <f t="shared" si="2"/>
        <v>T2</v>
      </c>
      <c r="E194" s="3" t="s">
        <v>298</v>
      </c>
      <c r="F194" s="5" t="s">
        <v>59</v>
      </c>
      <c r="G194" s="4">
        <v>2.4681000000000002</v>
      </c>
      <c r="H194" s="4">
        <v>0.14849999999999999</v>
      </c>
      <c r="I194" s="4">
        <v>0.11019999999999999</v>
      </c>
      <c r="J194" s="4">
        <v>0.26500000000000001</v>
      </c>
      <c r="K194" s="4">
        <v>1.0814999999999999</v>
      </c>
    </row>
    <row r="195" spans="1:18" x14ac:dyDescent="0.2">
      <c r="A195" s="3">
        <v>45247</v>
      </c>
      <c r="B195" s="3" t="s">
        <v>15</v>
      </c>
      <c r="C195" s="3" t="s">
        <v>292</v>
      </c>
      <c r="D195" s="3" t="str">
        <f t="shared" ref="D195:D242" si="3">LEFT(F195, 2)</f>
        <v>T2</v>
      </c>
      <c r="E195" s="3" t="s">
        <v>298</v>
      </c>
      <c r="F195" s="5" t="s">
        <v>60</v>
      </c>
      <c r="G195" s="4">
        <v>1.5032000000000001</v>
      </c>
      <c r="H195" s="4">
        <v>0.15089999999999998</v>
      </c>
      <c r="I195" s="4">
        <v>0.11069999999999999</v>
      </c>
      <c r="J195" s="4">
        <v>0.25060000000000004</v>
      </c>
      <c r="K195" s="4">
        <v>1.3218000000000001</v>
      </c>
    </row>
    <row r="196" spans="1:18" x14ac:dyDescent="0.2">
      <c r="A196" s="3">
        <v>45247</v>
      </c>
      <c r="B196" s="3" t="s">
        <v>15</v>
      </c>
      <c r="C196" s="3" t="s">
        <v>292</v>
      </c>
      <c r="D196" s="3" t="str">
        <f t="shared" si="3"/>
        <v>T2</v>
      </c>
      <c r="E196" s="3" t="s">
        <v>298</v>
      </c>
      <c r="F196" s="5" t="s">
        <v>61</v>
      </c>
      <c r="G196" s="4">
        <v>5.3563999999999998</v>
      </c>
      <c r="H196" s="4">
        <v>0.16209999999999999</v>
      </c>
      <c r="I196" s="4">
        <v>0.1454</v>
      </c>
      <c r="J196" s="4">
        <v>0.40060000000000007</v>
      </c>
      <c r="K196" s="4">
        <v>1.3618000000000001</v>
      </c>
    </row>
    <row r="197" spans="1:18" x14ac:dyDescent="0.2">
      <c r="A197" s="3">
        <v>45247</v>
      </c>
      <c r="B197" s="3" t="s">
        <v>15</v>
      </c>
      <c r="C197" s="3" t="s">
        <v>292</v>
      </c>
      <c r="D197" s="3" t="str">
        <f t="shared" si="3"/>
        <v>T2</v>
      </c>
      <c r="E197" s="3" t="s">
        <v>298</v>
      </c>
      <c r="F197" s="5" t="s">
        <v>62</v>
      </c>
      <c r="G197" s="4">
        <v>2.6129000000000002</v>
      </c>
      <c r="H197" s="4">
        <v>0.20550000000000002</v>
      </c>
      <c r="I197" s="4">
        <v>0.1041</v>
      </c>
      <c r="J197" s="4">
        <v>0.23679999999999998</v>
      </c>
      <c r="K197" s="4">
        <v>1.6859</v>
      </c>
    </row>
    <row r="198" spans="1:18" x14ac:dyDescent="0.2">
      <c r="A198" s="3">
        <v>45247</v>
      </c>
      <c r="B198" s="3" t="s">
        <v>15</v>
      </c>
      <c r="C198" s="3" t="s">
        <v>292</v>
      </c>
      <c r="D198" s="3" t="str">
        <f t="shared" si="3"/>
        <v>T2</v>
      </c>
      <c r="E198" s="3" t="s">
        <v>298</v>
      </c>
      <c r="F198" s="5" t="s">
        <v>63</v>
      </c>
      <c r="G198" s="4">
        <v>5.1814999999999998</v>
      </c>
      <c r="H198" s="4">
        <v>0.16170000000000001</v>
      </c>
      <c r="I198" s="4">
        <v>0.1177</v>
      </c>
      <c r="J198" s="4">
        <v>0.81120000000000003</v>
      </c>
      <c r="K198" s="4">
        <v>1.8863000000000001</v>
      </c>
      <c r="M198" s="1"/>
      <c r="N198" s="1"/>
      <c r="O198" s="1"/>
      <c r="P198" s="1"/>
      <c r="Q198" s="1"/>
      <c r="R198" s="1"/>
    </row>
    <row r="199" spans="1:18" x14ac:dyDescent="0.2">
      <c r="A199" s="3">
        <v>45247</v>
      </c>
      <c r="B199" s="3" t="s">
        <v>15</v>
      </c>
      <c r="C199" s="3" t="s">
        <v>292</v>
      </c>
      <c r="D199" s="3" t="str">
        <f t="shared" si="3"/>
        <v>T2</v>
      </c>
      <c r="E199" s="3" t="s">
        <v>298</v>
      </c>
      <c r="F199" s="5" t="s">
        <v>64</v>
      </c>
      <c r="G199" s="4">
        <v>2.0992000000000002</v>
      </c>
      <c r="H199" s="4">
        <v>0.23309999999999997</v>
      </c>
      <c r="I199" s="4">
        <v>0.11760000000000001</v>
      </c>
      <c r="J199" s="4">
        <v>0.18149999999999997</v>
      </c>
      <c r="K199" s="4">
        <v>1.4462999999999999</v>
      </c>
    </row>
    <row r="200" spans="1:18" x14ac:dyDescent="0.2">
      <c r="A200" s="3">
        <v>45247</v>
      </c>
      <c r="B200" s="3" t="s">
        <v>15</v>
      </c>
      <c r="C200" s="3" t="s">
        <v>292</v>
      </c>
      <c r="D200" s="3" t="str">
        <f t="shared" si="3"/>
        <v>T2</v>
      </c>
      <c r="E200" s="3" t="s">
        <v>298</v>
      </c>
      <c r="F200" s="5" t="s">
        <v>65</v>
      </c>
      <c r="G200" s="4">
        <v>1.1246</v>
      </c>
      <c r="H200" s="4">
        <v>0.10279999999999999</v>
      </c>
      <c r="I200" s="4">
        <v>6.6000000000000003E-2</v>
      </c>
      <c r="J200" s="4">
        <v>0.3498</v>
      </c>
      <c r="K200" s="4">
        <v>1.2379</v>
      </c>
      <c r="M200" s="1"/>
      <c r="N200" s="1"/>
      <c r="O200" s="1"/>
      <c r="P200" s="1"/>
      <c r="Q200" s="1"/>
      <c r="R200" s="1"/>
    </row>
    <row r="201" spans="1:18" x14ac:dyDescent="0.2">
      <c r="A201" s="3">
        <v>45247</v>
      </c>
      <c r="B201" s="3" t="s">
        <v>15</v>
      </c>
      <c r="C201" s="3" t="s">
        <v>292</v>
      </c>
      <c r="D201" s="3" t="str">
        <f t="shared" si="3"/>
        <v>T2</v>
      </c>
      <c r="E201" s="3" t="s">
        <v>298</v>
      </c>
      <c r="F201" s="5" t="s">
        <v>66</v>
      </c>
      <c r="G201" s="4">
        <v>2.8068000000000004</v>
      </c>
      <c r="H201" s="4">
        <v>6.9999999999999993E-2</v>
      </c>
      <c r="I201" s="4">
        <v>9.3900000000000011E-2</v>
      </c>
      <c r="J201" s="4">
        <v>0.20149999999999998</v>
      </c>
      <c r="K201" s="4">
        <v>0.82529999999999992</v>
      </c>
    </row>
    <row r="202" spans="1:18" x14ac:dyDescent="0.2">
      <c r="A202" s="3">
        <v>45247</v>
      </c>
      <c r="B202" s="3" t="s">
        <v>15</v>
      </c>
      <c r="C202" s="3" t="s">
        <v>292</v>
      </c>
      <c r="D202" s="3" t="str">
        <f t="shared" si="3"/>
        <v>T2</v>
      </c>
      <c r="E202" s="3" t="s">
        <v>298</v>
      </c>
      <c r="F202" s="5" t="s">
        <v>67</v>
      </c>
      <c r="G202" s="4">
        <v>2.5765000000000002</v>
      </c>
      <c r="H202" s="4">
        <v>8.6900000000000005E-2</v>
      </c>
      <c r="I202" s="4">
        <v>8.5699999999999998E-2</v>
      </c>
      <c r="J202" s="4">
        <v>0.18</v>
      </c>
      <c r="K202" s="4">
        <v>0.97609999999999997</v>
      </c>
    </row>
    <row r="203" spans="1:18" x14ac:dyDescent="0.2">
      <c r="A203" s="3">
        <v>45247</v>
      </c>
      <c r="B203" s="3" t="s">
        <v>15</v>
      </c>
      <c r="C203" s="3" t="s">
        <v>292</v>
      </c>
      <c r="D203" s="3" t="str">
        <f t="shared" si="3"/>
        <v>T2</v>
      </c>
      <c r="E203" s="3" t="s">
        <v>299</v>
      </c>
      <c r="F203" s="5" t="s">
        <v>68</v>
      </c>
      <c r="G203" s="4">
        <v>6.5895999999999999</v>
      </c>
      <c r="H203" s="4">
        <v>0.18269999999999997</v>
      </c>
      <c r="I203" s="4">
        <v>0.16009999999999999</v>
      </c>
      <c r="J203" s="4">
        <v>0.49390000000000001</v>
      </c>
      <c r="K203" s="4">
        <v>1.8176999999999999</v>
      </c>
    </row>
    <row r="204" spans="1:18" x14ac:dyDescent="0.2">
      <c r="A204" s="3">
        <v>45247</v>
      </c>
      <c r="B204" s="3" t="s">
        <v>15</v>
      </c>
      <c r="C204" s="3" t="s">
        <v>292</v>
      </c>
      <c r="D204" s="3" t="str">
        <f t="shared" si="3"/>
        <v>T2</v>
      </c>
      <c r="E204" s="3" t="s">
        <v>299</v>
      </c>
      <c r="F204" s="5" t="s">
        <v>69</v>
      </c>
      <c r="G204" s="4">
        <v>2.9161000000000001</v>
      </c>
      <c r="H204" s="4">
        <v>0.11789999999999999</v>
      </c>
      <c r="I204" s="4">
        <v>5.8700000000000002E-2</v>
      </c>
      <c r="J204" s="4">
        <v>0.1426</v>
      </c>
      <c r="K204" s="4">
        <v>1.2311999999999999</v>
      </c>
    </row>
    <row r="205" spans="1:18" x14ac:dyDescent="0.2">
      <c r="A205" s="3">
        <v>45247</v>
      </c>
      <c r="B205" s="3" t="s">
        <v>15</v>
      </c>
      <c r="C205" s="3" t="s">
        <v>292</v>
      </c>
      <c r="D205" s="3" t="str">
        <f t="shared" si="3"/>
        <v>T2</v>
      </c>
      <c r="E205" s="3" t="s">
        <v>299</v>
      </c>
      <c r="F205" s="5" t="s">
        <v>70</v>
      </c>
      <c r="G205" s="4">
        <v>2.0179</v>
      </c>
      <c r="H205" s="4">
        <v>0.11879999999999999</v>
      </c>
      <c r="I205" s="4">
        <v>0.11269999999999999</v>
      </c>
      <c r="J205" s="4">
        <v>0.89169999999999994</v>
      </c>
      <c r="K205" s="4">
        <v>1.7323999999999999</v>
      </c>
      <c r="M205" s="1"/>
      <c r="N205" s="1"/>
      <c r="O205" s="1"/>
      <c r="P205" s="1"/>
      <c r="Q205" s="1"/>
      <c r="R205" s="1"/>
    </row>
    <row r="206" spans="1:18" x14ac:dyDescent="0.2">
      <c r="A206" s="3">
        <v>45247</v>
      </c>
      <c r="B206" s="3" t="s">
        <v>15</v>
      </c>
      <c r="C206" s="3" t="s">
        <v>292</v>
      </c>
      <c r="D206" s="3" t="str">
        <f t="shared" si="3"/>
        <v>T2</v>
      </c>
      <c r="E206" s="3" t="s">
        <v>299</v>
      </c>
      <c r="F206" s="5" t="s">
        <v>71</v>
      </c>
      <c r="G206" s="4">
        <v>2.1586000000000003</v>
      </c>
      <c r="H206" s="4">
        <v>0.26079999999999998</v>
      </c>
      <c r="I206" s="4">
        <v>9.1400000000000009E-2</v>
      </c>
      <c r="J206" s="4">
        <v>0.16069999999999998</v>
      </c>
      <c r="K206" s="4">
        <v>3.7157</v>
      </c>
    </row>
    <row r="207" spans="1:18" x14ac:dyDescent="0.2">
      <c r="A207" s="3">
        <v>45247</v>
      </c>
      <c r="B207" s="3" t="s">
        <v>15</v>
      </c>
      <c r="C207" s="3" t="s">
        <v>292</v>
      </c>
      <c r="D207" s="3" t="str">
        <f t="shared" si="3"/>
        <v>T2</v>
      </c>
      <c r="E207" s="3" t="s">
        <v>299</v>
      </c>
      <c r="F207" s="5" t="s">
        <v>72</v>
      </c>
      <c r="G207" s="4">
        <v>1.2609999999999999</v>
      </c>
      <c r="H207" s="4">
        <v>0.16</v>
      </c>
      <c r="I207" s="4">
        <v>7.8300000000000008E-2</v>
      </c>
      <c r="J207" s="4">
        <v>0.11649999999999999</v>
      </c>
      <c r="K207" s="4">
        <v>2.3123999999999998</v>
      </c>
    </row>
    <row r="208" spans="1:18" x14ac:dyDescent="0.2">
      <c r="A208" s="3">
        <v>45247</v>
      </c>
      <c r="B208" s="3" t="s">
        <v>15</v>
      </c>
      <c r="C208" s="3" t="s">
        <v>292</v>
      </c>
      <c r="D208" s="3" t="str">
        <f t="shared" si="3"/>
        <v>T2</v>
      </c>
      <c r="E208" s="3" t="s">
        <v>299</v>
      </c>
      <c r="F208" s="5" t="s">
        <v>73</v>
      </c>
      <c r="G208" s="4">
        <v>4.5761000000000003</v>
      </c>
      <c r="H208" s="4">
        <v>0.12359999999999999</v>
      </c>
      <c r="I208" s="4">
        <v>0.1019</v>
      </c>
      <c r="J208" s="4">
        <v>0.77979999999999994</v>
      </c>
      <c r="K208" s="4">
        <v>1.5962000000000001</v>
      </c>
    </row>
    <row r="209" spans="1:19" x14ac:dyDescent="0.2">
      <c r="A209" s="3">
        <v>45247</v>
      </c>
      <c r="B209" s="3" t="s">
        <v>15</v>
      </c>
      <c r="C209" s="3" t="s">
        <v>292</v>
      </c>
      <c r="D209" s="3" t="str">
        <f t="shared" si="3"/>
        <v>T2</v>
      </c>
      <c r="E209" s="3" t="s">
        <v>299</v>
      </c>
      <c r="F209" s="5" t="s">
        <v>74</v>
      </c>
      <c r="G209" s="4">
        <v>2.6430000000000002</v>
      </c>
      <c r="H209" s="4">
        <v>0.22610000000000002</v>
      </c>
      <c r="I209" s="4">
        <v>0.13070000000000001</v>
      </c>
      <c r="J209" s="4">
        <v>0.33299999999999996</v>
      </c>
      <c r="K209" s="4">
        <v>3.6122000000000001</v>
      </c>
    </row>
    <row r="210" spans="1:19" x14ac:dyDescent="0.2">
      <c r="A210" s="3">
        <v>45247</v>
      </c>
      <c r="B210" s="3" t="s">
        <v>15</v>
      </c>
      <c r="C210" s="3" t="s">
        <v>292</v>
      </c>
      <c r="D210" s="3" t="str">
        <f t="shared" si="3"/>
        <v>T2</v>
      </c>
      <c r="E210" s="3" t="s">
        <v>299</v>
      </c>
      <c r="F210" s="5" t="s">
        <v>75</v>
      </c>
      <c r="G210" s="4">
        <v>2.0493000000000001</v>
      </c>
      <c r="H210" s="4">
        <v>0.16399999999999998</v>
      </c>
      <c r="I210" s="4">
        <v>0.10570000000000002</v>
      </c>
      <c r="J210" s="4">
        <v>0.29919999999999997</v>
      </c>
      <c r="K210" s="4">
        <v>2.4855999999999998</v>
      </c>
    </row>
    <row r="211" spans="1:19" x14ac:dyDescent="0.2">
      <c r="A211" s="3">
        <v>45247</v>
      </c>
      <c r="B211" s="3" t="s">
        <v>15</v>
      </c>
      <c r="C211" s="3" t="s">
        <v>292</v>
      </c>
      <c r="D211" s="3" t="str">
        <f t="shared" si="3"/>
        <v>T2</v>
      </c>
      <c r="E211" s="3" t="s">
        <v>299</v>
      </c>
      <c r="F211" s="5" t="s">
        <v>76</v>
      </c>
      <c r="G211" s="4">
        <v>3.0396000000000001</v>
      </c>
      <c r="H211" s="4">
        <v>0.1774</v>
      </c>
      <c r="I211" s="4">
        <v>0.1225</v>
      </c>
      <c r="J211" s="4">
        <v>0.27929999999999999</v>
      </c>
      <c r="K211" s="4">
        <v>1.7134</v>
      </c>
    </row>
    <row r="212" spans="1:19" x14ac:dyDescent="0.2">
      <c r="A212" s="3">
        <v>45247</v>
      </c>
      <c r="B212" s="3" t="s">
        <v>15</v>
      </c>
      <c r="C212" s="3" t="s">
        <v>292</v>
      </c>
      <c r="D212" s="3" t="str">
        <f t="shared" si="3"/>
        <v>T2</v>
      </c>
      <c r="E212" s="3" t="s">
        <v>299</v>
      </c>
      <c r="F212" s="5" t="s">
        <v>77</v>
      </c>
      <c r="G212" s="4">
        <v>2.1162999999999998</v>
      </c>
      <c r="H212" s="4">
        <v>0.1313</v>
      </c>
      <c r="I212" s="4">
        <v>8.0399999999999999E-2</v>
      </c>
      <c r="J212" s="4">
        <v>0.31279999999999997</v>
      </c>
      <c r="K212" s="4">
        <v>1.276</v>
      </c>
      <c r="N212" s="1"/>
      <c r="O212" s="1"/>
      <c r="P212" s="1"/>
      <c r="Q212" s="1"/>
      <c r="R212" s="1"/>
      <c r="S212" s="1"/>
    </row>
    <row r="213" spans="1:19" x14ac:dyDescent="0.2">
      <c r="A213" s="3">
        <v>45250</v>
      </c>
      <c r="B213" s="3" t="s">
        <v>16</v>
      </c>
      <c r="C213" s="3" t="s">
        <v>292</v>
      </c>
      <c r="D213" s="3" t="str">
        <f t="shared" si="3"/>
        <v>T3</v>
      </c>
      <c r="E213" s="3" t="s">
        <v>297</v>
      </c>
      <c r="F213" s="5" t="s">
        <v>78</v>
      </c>
      <c r="G213" s="4">
        <v>1.4610999999999998</v>
      </c>
      <c r="H213" s="4">
        <v>0.26829999999999998</v>
      </c>
      <c r="I213" s="4">
        <v>0.26279999999999998</v>
      </c>
      <c r="J213" s="4">
        <v>1.2808000000000002</v>
      </c>
      <c r="K213" s="4">
        <v>1.8866000000000001</v>
      </c>
    </row>
    <row r="214" spans="1:19" x14ac:dyDescent="0.2">
      <c r="A214" s="3">
        <v>45250</v>
      </c>
      <c r="B214" s="3" t="s">
        <v>16</v>
      </c>
      <c r="C214" s="3" t="s">
        <v>292</v>
      </c>
      <c r="D214" s="3" t="str">
        <f t="shared" si="3"/>
        <v>T3</v>
      </c>
      <c r="E214" s="3" t="s">
        <v>297</v>
      </c>
      <c r="F214" s="5" t="s">
        <v>79</v>
      </c>
      <c r="G214" s="4">
        <v>0.92220000000000002</v>
      </c>
      <c r="H214" s="4">
        <v>0.15480000000000002</v>
      </c>
      <c r="I214" s="4">
        <v>5.9200000000000003E-2</v>
      </c>
      <c r="J214" s="4">
        <v>0.4748</v>
      </c>
      <c r="K214" s="4">
        <v>1.9395</v>
      </c>
      <c r="N214" s="1"/>
      <c r="O214" s="1"/>
      <c r="P214" s="1"/>
      <c r="Q214" s="1"/>
      <c r="R214" s="1"/>
      <c r="S214" s="1"/>
    </row>
    <row r="215" spans="1:19" x14ac:dyDescent="0.2">
      <c r="A215" s="3">
        <v>45250</v>
      </c>
      <c r="B215" s="3" t="s">
        <v>16</v>
      </c>
      <c r="C215" s="3" t="s">
        <v>292</v>
      </c>
      <c r="D215" s="3" t="str">
        <f t="shared" si="3"/>
        <v>T3</v>
      </c>
      <c r="E215" s="3" t="s">
        <v>297</v>
      </c>
      <c r="F215" s="5" t="s">
        <v>80</v>
      </c>
      <c r="G215" s="4">
        <v>0.44400000000000001</v>
      </c>
      <c r="H215" s="4">
        <v>0.11259999999999999</v>
      </c>
      <c r="I215" s="4">
        <v>4.8699999999999993E-2</v>
      </c>
      <c r="J215" s="4">
        <v>0.20949999999999999</v>
      </c>
      <c r="K215" s="4">
        <v>1.4297</v>
      </c>
      <c r="N215" s="1"/>
      <c r="O215" s="1"/>
      <c r="P215" s="1"/>
      <c r="Q215" s="1"/>
      <c r="R215" s="1"/>
      <c r="S215" s="1"/>
    </row>
    <row r="216" spans="1:19" x14ac:dyDescent="0.2">
      <c r="A216" s="3">
        <v>45250</v>
      </c>
      <c r="B216" s="3" t="s">
        <v>16</v>
      </c>
      <c r="C216" s="3" t="s">
        <v>292</v>
      </c>
      <c r="D216" s="3" t="str">
        <f t="shared" si="3"/>
        <v>T3</v>
      </c>
      <c r="E216" s="3" t="s">
        <v>297</v>
      </c>
      <c r="F216" s="5" t="s">
        <v>81</v>
      </c>
      <c r="G216" s="4">
        <v>1.0066999999999999</v>
      </c>
      <c r="H216" s="4">
        <v>0.1615</v>
      </c>
      <c r="I216" s="4">
        <v>5.8599999999999999E-2</v>
      </c>
      <c r="J216" s="4">
        <v>0.59170000000000011</v>
      </c>
      <c r="K216" s="4">
        <v>0.80310000000000004</v>
      </c>
    </row>
    <row r="217" spans="1:19" x14ac:dyDescent="0.2">
      <c r="A217" s="3">
        <v>45250</v>
      </c>
      <c r="B217" s="3" t="s">
        <v>16</v>
      </c>
      <c r="C217" s="3" t="s">
        <v>292</v>
      </c>
      <c r="D217" s="3" t="str">
        <f t="shared" si="3"/>
        <v>T3</v>
      </c>
      <c r="E217" s="3" t="s">
        <v>297</v>
      </c>
      <c r="F217" s="5" t="s">
        <v>82</v>
      </c>
      <c r="G217" s="4">
        <v>0.38600000000000001</v>
      </c>
      <c r="H217" s="4">
        <v>8.9199999999999988E-2</v>
      </c>
      <c r="I217" s="4">
        <v>5.1799999999999999E-2</v>
      </c>
      <c r="J217" s="4">
        <v>0.27560000000000001</v>
      </c>
      <c r="K217" s="4">
        <v>1.9443000000000001</v>
      </c>
    </row>
    <row r="218" spans="1:19" x14ac:dyDescent="0.2">
      <c r="A218" s="3">
        <v>45250</v>
      </c>
      <c r="B218" s="3" t="s">
        <v>16</v>
      </c>
      <c r="C218" s="3" t="s">
        <v>292</v>
      </c>
      <c r="D218" s="3" t="str">
        <f t="shared" si="3"/>
        <v>T3</v>
      </c>
      <c r="E218" s="3" t="s">
        <v>297</v>
      </c>
      <c r="F218" s="5" t="s">
        <v>83</v>
      </c>
      <c r="G218" s="4">
        <v>0.85970000000000002</v>
      </c>
      <c r="H218" s="4">
        <v>0.15860000000000002</v>
      </c>
      <c r="I218" s="4">
        <v>4.4999999999999998E-2</v>
      </c>
      <c r="J218" s="4">
        <v>0.80500000000000005</v>
      </c>
      <c r="K218" s="4">
        <v>1.6960999999999999</v>
      </c>
    </row>
    <row r="219" spans="1:19" x14ac:dyDescent="0.2">
      <c r="A219" s="3">
        <v>45250</v>
      </c>
      <c r="B219" s="3" t="s">
        <v>16</v>
      </c>
      <c r="C219" s="3" t="s">
        <v>292</v>
      </c>
      <c r="D219" s="3" t="str">
        <f t="shared" si="3"/>
        <v>T3</v>
      </c>
      <c r="E219" s="3" t="s">
        <v>297</v>
      </c>
      <c r="F219" s="5" t="s">
        <v>84</v>
      </c>
      <c r="G219" s="4">
        <v>2.3980000000000001</v>
      </c>
      <c r="H219" s="4">
        <v>0.11779999999999999</v>
      </c>
      <c r="I219" s="4">
        <v>5.2400000000000002E-2</v>
      </c>
      <c r="J219" s="4">
        <v>0.36780000000000002</v>
      </c>
      <c r="K219" s="4">
        <v>1.615</v>
      </c>
      <c r="M219" s="1"/>
      <c r="N219" s="1"/>
      <c r="O219" s="1"/>
      <c r="P219" s="1"/>
      <c r="Q219" s="1"/>
      <c r="R219" s="1"/>
    </row>
    <row r="220" spans="1:19" x14ac:dyDescent="0.2">
      <c r="A220" s="3">
        <v>45250</v>
      </c>
      <c r="B220" s="3" t="s">
        <v>16</v>
      </c>
      <c r="C220" s="3" t="s">
        <v>292</v>
      </c>
      <c r="D220" s="3" t="str">
        <f t="shared" si="3"/>
        <v>T3</v>
      </c>
      <c r="E220" s="3" t="s">
        <v>297</v>
      </c>
      <c r="F220" s="5" t="s">
        <v>85</v>
      </c>
      <c r="G220" s="4">
        <v>1.5005999999999999</v>
      </c>
      <c r="H220" s="4">
        <v>0.10569999999999999</v>
      </c>
      <c r="I220" s="4">
        <v>4.3099999999999999E-2</v>
      </c>
      <c r="J220" s="4">
        <v>0.4264</v>
      </c>
      <c r="K220" s="4">
        <v>1.5222</v>
      </c>
    </row>
    <row r="221" spans="1:19" x14ac:dyDescent="0.2">
      <c r="A221" s="3">
        <v>45250</v>
      </c>
      <c r="B221" s="3" t="s">
        <v>16</v>
      </c>
      <c r="C221" s="3" t="s">
        <v>292</v>
      </c>
      <c r="D221" s="3" t="str">
        <f t="shared" si="3"/>
        <v>T3</v>
      </c>
      <c r="E221" s="3" t="s">
        <v>297</v>
      </c>
      <c r="F221" s="5" t="s">
        <v>86</v>
      </c>
      <c r="G221" s="4">
        <v>0.92780000000000007</v>
      </c>
      <c r="H221" s="4">
        <v>0.1973</v>
      </c>
      <c r="I221" s="4">
        <v>8.5800000000000001E-2</v>
      </c>
      <c r="J221" s="4">
        <v>0.81229999999999991</v>
      </c>
      <c r="K221" s="4">
        <v>1.9161000000000001</v>
      </c>
    </row>
    <row r="222" spans="1:19" x14ac:dyDescent="0.2">
      <c r="A222" s="3">
        <v>45250</v>
      </c>
      <c r="B222" s="3" t="s">
        <v>16</v>
      </c>
      <c r="C222" s="3" t="s">
        <v>292</v>
      </c>
      <c r="D222" s="3" t="str">
        <f t="shared" si="3"/>
        <v>T3</v>
      </c>
      <c r="E222" s="3" t="s">
        <v>297</v>
      </c>
      <c r="F222" s="5" t="s">
        <v>87</v>
      </c>
      <c r="G222" s="4">
        <v>0.95610000000000006</v>
      </c>
      <c r="H222" s="4">
        <v>6.0299999999999999E-2</v>
      </c>
      <c r="I222" s="4">
        <v>4.3099999999999999E-2</v>
      </c>
      <c r="J222" s="4">
        <v>0.23280000000000003</v>
      </c>
      <c r="K222" s="4">
        <v>2.1718000000000002</v>
      </c>
    </row>
    <row r="223" spans="1:19" x14ac:dyDescent="0.2">
      <c r="A223" s="3">
        <v>45250</v>
      </c>
      <c r="B223" s="3" t="s">
        <v>16</v>
      </c>
      <c r="C223" s="3" t="s">
        <v>292</v>
      </c>
      <c r="D223" s="3" t="str">
        <f t="shared" si="3"/>
        <v>T3</v>
      </c>
      <c r="E223" s="3" t="s">
        <v>298</v>
      </c>
      <c r="F223" s="5" t="s">
        <v>88</v>
      </c>
      <c r="G223" s="4">
        <v>1.6118999999999999</v>
      </c>
      <c r="H223" s="4">
        <v>9.69E-2</v>
      </c>
      <c r="I223" s="4">
        <v>0.10779999999999999</v>
      </c>
      <c r="J223" s="4">
        <v>0.78389999999999993</v>
      </c>
      <c r="K223" s="4">
        <v>2.1199000000000003</v>
      </c>
    </row>
    <row r="224" spans="1:19" x14ac:dyDescent="0.2">
      <c r="A224" s="3">
        <v>45250</v>
      </c>
      <c r="B224" s="3" t="s">
        <v>16</v>
      </c>
      <c r="C224" s="3" t="s">
        <v>292</v>
      </c>
      <c r="D224" s="3" t="str">
        <f t="shared" si="3"/>
        <v>T3</v>
      </c>
      <c r="E224" s="3" t="s">
        <v>298</v>
      </c>
      <c r="F224" s="5" t="s">
        <v>89</v>
      </c>
      <c r="G224" s="4">
        <v>1.0959999999999999</v>
      </c>
      <c r="H224" s="4">
        <v>4.4900000000000002E-2</v>
      </c>
      <c r="I224" s="4">
        <v>5.9200000000000003E-2</v>
      </c>
      <c r="J224" s="4">
        <v>0.85019999999999996</v>
      </c>
      <c r="K224" s="4">
        <v>2.0193000000000003</v>
      </c>
    </row>
    <row r="225" spans="1:18" x14ac:dyDescent="0.2">
      <c r="A225" s="3">
        <v>45250</v>
      </c>
      <c r="B225" s="3" t="s">
        <v>16</v>
      </c>
      <c r="C225" s="3" t="s">
        <v>292</v>
      </c>
      <c r="D225" s="3" t="str">
        <f t="shared" si="3"/>
        <v>T3</v>
      </c>
      <c r="E225" s="3" t="s">
        <v>298</v>
      </c>
      <c r="F225" s="5" t="s">
        <v>90</v>
      </c>
      <c r="G225" s="4">
        <v>6.2619999999999996</v>
      </c>
      <c r="H225" s="4">
        <v>0.16320000000000001</v>
      </c>
      <c r="I225" s="4">
        <v>7.9299999999999995E-2</v>
      </c>
      <c r="J225" s="4">
        <v>0.92879999999999996</v>
      </c>
      <c r="K225" s="4">
        <v>2.9415000000000004</v>
      </c>
    </row>
    <row r="226" spans="1:18" x14ac:dyDescent="0.2">
      <c r="A226" s="3">
        <v>45250</v>
      </c>
      <c r="B226" s="3" t="s">
        <v>16</v>
      </c>
      <c r="C226" s="3" t="s">
        <v>292</v>
      </c>
      <c r="D226" s="3" t="str">
        <f t="shared" si="3"/>
        <v>T3</v>
      </c>
      <c r="E226" s="3" t="s">
        <v>298</v>
      </c>
      <c r="F226" s="5" t="s">
        <v>91</v>
      </c>
      <c r="G226" s="4">
        <v>1.9742</v>
      </c>
      <c r="H226" s="4">
        <v>0.17270000000000002</v>
      </c>
      <c r="I226" s="4">
        <v>8.6400000000000005E-2</v>
      </c>
      <c r="J226" s="4">
        <v>0.42239999999999989</v>
      </c>
      <c r="K226" s="4">
        <v>1.3035000000000001</v>
      </c>
      <c r="M226" s="1"/>
      <c r="N226" s="1"/>
      <c r="O226" s="1"/>
      <c r="P226" s="1"/>
      <c r="Q226" s="1"/>
      <c r="R226" s="1"/>
    </row>
    <row r="227" spans="1:18" x14ac:dyDescent="0.2">
      <c r="A227" s="3">
        <v>45250</v>
      </c>
      <c r="B227" s="3" t="s">
        <v>16</v>
      </c>
      <c r="C227" s="3" t="s">
        <v>292</v>
      </c>
      <c r="D227" s="3" t="str">
        <f t="shared" si="3"/>
        <v>T3</v>
      </c>
      <c r="E227" s="3" t="s">
        <v>298</v>
      </c>
      <c r="F227" s="5" t="s">
        <v>92</v>
      </c>
      <c r="G227" s="4">
        <v>0.98920000000000008</v>
      </c>
      <c r="H227" s="4">
        <v>0.1011</v>
      </c>
      <c r="I227" s="4">
        <v>7.4999999999999997E-2</v>
      </c>
      <c r="J227" s="4">
        <v>0.24389999999999995</v>
      </c>
      <c r="K227" s="4">
        <v>1.2930999999999999</v>
      </c>
    </row>
    <row r="228" spans="1:18" x14ac:dyDescent="0.2">
      <c r="A228" s="3">
        <v>45250</v>
      </c>
      <c r="B228" s="3" t="s">
        <v>16</v>
      </c>
      <c r="C228" s="3" t="s">
        <v>292</v>
      </c>
      <c r="D228" s="3" t="str">
        <f t="shared" si="3"/>
        <v>T3</v>
      </c>
      <c r="E228" s="3" t="s">
        <v>298</v>
      </c>
      <c r="F228" s="5" t="s">
        <v>93</v>
      </c>
      <c r="G228" s="4">
        <v>0.92010000000000003</v>
      </c>
      <c r="H228" s="4">
        <v>5.8400000000000001E-2</v>
      </c>
      <c r="I228" s="4">
        <v>6.5699999999999995E-2</v>
      </c>
      <c r="J228" s="4">
        <v>0.26050000000000001</v>
      </c>
      <c r="K228" s="4">
        <v>1.7272000000000001</v>
      </c>
    </row>
    <row r="229" spans="1:18" ht="15" customHeight="1" x14ac:dyDescent="0.2">
      <c r="A229" s="3">
        <v>45250</v>
      </c>
      <c r="B229" s="3" t="s">
        <v>16</v>
      </c>
      <c r="C229" s="3" t="s">
        <v>292</v>
      </c>
      <c r="D229" s="3" t="str">
        <f t="shared" si="3"/>
        <v>T3</v>
      </c>
      <c r="E229" s="3" t="s">
        <v>298</v>
      </c>
      <c r="F229" s="5" t="s">
        <v>94</v>
      </c>
      <c r="G229" s="4">
        <v>1.0506</v>
      </c>
      <c r="H229" s="4">
        <v>0.1623</v>
      </c>
      <c r="I229" s="4">
        <v>7.9000000000000001E-2</v>
      </c>
      <c r="J229" s="4">
        <v>0.3745</v>
      </c>
      <c r="K229" s="4">
        <v>1.6344000000000001</v>
      </c>
    </row>
    <row r="230" spans="1:18" x14ac:dyDescent="0.2">
      <c r="A230" s="3">
        <v>45250</v>
      </c>
      <c r="B230" s="3" t="s">
        <v>16</v>
      </c>
      <c r="C230" s="3" t="s">
        <v>292</v>
      </c>
      <c r="D230" s="3" t="str">
        <f t="shared" si="3"/>
        <v>T3</v>
      </c>
      <c r="E230" s="3" t="s">
        <v>298</v>
      </c>
      <c r="F230" s="5" t="s">
        <v>95</v>
      </c>
      <c r="G230" s="4">
        <v>0.64500000000000002</v>
      </c>
      <c r="H230" s="4">
        <v>5.7599999999999998E-2</v>
      </c>
      <c r="I230" s="4">
        <v>5.8899999999999994E-2</v>
      </c>
      <c r="J230" s="4">
        <v>0.23520000000000002</v>
      </c>
      <c r="K230" s="4">
        <v>1.75</v>
      </c>
    </row>
    <row r="231" spans="1:18" x14ac:dyDescent="0.2">
      <c r="A231" s="3">
        <v>45250</v>
      </c>
      <c r="B231" s="3" t="s">
        <v>16</v>
      </c>
      <c r="C231" s="3" t="s">
        <v>292</v>
      </c>
      <c r="D231" s="3" t="str">
        <f t="shared" si="3"/>
        <v>T3</v>
      </c>
      <c r="E231" s="3" t="s">
        <v>298</v>
      </c>
      <c r="F231" s="5" t="s">
        <v>96</v>
      </c>
      <c r="G231" s="4">
        <v>3.113</v>
      </c>
      <c r="H231" s="4">
        <v>0.1119</v>
      </c>
      <c r="I231" s="4">
        <v>9.9299999999999999E-2</v>
      </c>
      <c r="J231" s="4">
        <v>0.85680000000000001</v>
      </c>
      <c r="K231" s="4">
        <v>2.1355</v>
      </c>
      <c r="M231" s="1"/>
      <c r="N231" s="1"/>
      <c r="O231" s="1"/>
      <c r="P231" s="1"/>
      <c r="Q231" s="1"/>
      <c r="R231" s="1"/>
    </row>
    <row r="232" spans="1:18" x14ac:dyDescent="0.2">
      <c r="A232" s="3">
        <v>45250</v>
      </c>
      <c r="B232" s="3" t="s">
        <v>16</v>
      </c>
      <c r="C232" s="3" t="s">
        <v>292</v>
      </c>
      <c r="D232" s="3" t="str">
        <f t="shared" si="3"/>
        <v>T3</v>
      </c>
      <c r="E232" s="3" t="s">
        <v>298</v>
      </c>
      <c r="F232" s="5" t="s">
        <v>97</v>
      </c>
      <c r="G232" s="4">
        <v>1.4213</v>
      </c>
      <c r="H232" s="4">
        <v>8.1699999999999995E-2</v>
      </c>
      <c r="I232" s="4">
        <v>5.9499999999999997E-2</v>
      </c>
      <c r="J232" s="4">
        <v>0.88540000000000008</v>
      </c>
      <c r="K232" s="4">
        <v>2.3237000000000001</v>
      </c>
    </row>
    <row r="233" spans="1:18" x14ac:dyDescent="0.2">
      <c r="A233" s="3">
        <v>45250</v>
      </c>
      <c r="B233" s="3" t="s">
        <v>16</v>
      </c>
      <c r="C233" s="3" t="s">
        <v>292</v>
      </c>
      <c r="D233" s="3" t="str">
        <f t="shared" si="3"/>
        <v>T3</v>
      </c>
      <c r="E233" s="3" t="s">
        <v>299</v>
      </c>
      <c r="F233" s="5" t="s">
        <v>98</v>
      </c>
      <c r="G233" s="4">
        <v>2.5596000000000001</v>
      </c>
      <c r="H233" s="4">
        <v>7.1099999999999997E-2</v>
      </c>
      <c r="I233" s="4">
        <v>9.5399999999999999E-2</v>
      </c>
      <c r="J233" s="4">
        <v>1.7742000000000002</v>
      </c>
      <c r="K233" s="4">
        <v>1.516</v>
      </c>
    </row>
    <row r="234" spans="1:18" x14ac:dyDescent="0.2">
      <c r="A234" s="3">
        <v>45250</v>
      </c>
      <c r="B234" s="3" t="s">
        <v>16</v>
      </c>
      <c r="C234" s="3" t="s">
        <v>292</v>
      </c>
      <c r="D234" s="3" t="str">
        <f t="shared" si="3"/>
        <v>T3</v>
      </c>
      <c r="E234" s="3" t="s">
        <v>299</v>
      </c>
      <c r="F234" s="5" t="s">
        <v>99</v>
      </c>
      <c r="G234" s="4">
        <v>2.1766999999999999</v>
      </c>
      <c r="H234" s="4">
        <v>6.5299999999999997E-2</v>
      </c>
      <c r="I234" s="4">
        <v>5.2999999999999999E-2</v>
      </c>
      <c r="J234" s="4">
        <v>1.1652</v>
      </c>
      <c r="K234" s="4">
        <v>1.4378000000000002</v>
      </c>
    </row>
    <row r="235" spans="1:18" x14ac:dyDescent="0.2">
      <c r="A235" s="3">
        <v>45250</v>
      </c>
      <c r="B235" s="3" t="s">
        <v>16</v>
      </c>
      <c r="C235" s="3" t="s">
        <v>292</v>
      </c>
      <c r="D235" s="3" t="str">
        <f t="shared" si="3"/>
        <v>T3</v>
      </c>
      <c r="E235" s="3" t="s">
        <v>299</v>
      </c>
      <c r="F235" s="5" t="s">
        <v>100</v>
      </c>
      <c r="G235" s="4">
        <v>0.50160000000000005</v>
      </c>
      <c r="H235" s="4">
        <v>6.699999999999999E-2</v>
      </c>
      <c r="I235" s="4">
        <v>6.8199999999999997E-2</v>
      </c>
      <c r="J235" s="4">
        <v>0.22870000000000001</v>
      </c>
      <c r="K235" s="4">
        <v>1.0811999999999999</v>
      </c>
    </row>
    <row r="236" spans="1:18" x14ac:dyDescent="0.2">
      <c r="A236" s="3">
        <v>45250</v>
      </c>
      <c r="B236" s="3" t="s">
        <v>16</v>
      </c>
      <c r="C236" s="3" t="s">
        <v>292</v>
      </c>
      <c r="D236" s="3" t="str">
        <f t="shared" si="3"/>
        <v>T3</v>
      </c>
      <c r="E236" s="3" t="s">
        <v>299</v>
      </c>
      <c r="F236" s="5" t="s">
        <v>101</v>
      </c>
      <c r="G236" s="4">
        <v>0.46210000000000001</v>
      </c>
      <c r="H236" s="4">
        <v>2.3700000000000002E-2</v>
      </c>
      <c r="I236" s="4">
        <v>4.2499999999999996E-2</v>
      </c>
      <c r="J236" s="4">
        <v>4.6299999999999994E-2</v>
      </c>
      <c r="K236" s="4">
        <v>1.2347000000000001</v>
      </c>
    </row>
    <row r="237" spans="1:18" x14ac:dyDescent="0.2">
      <c r="A237" s="3">
        <v>45250</v>
      </c>
      <c r="B237" s="3" t="s">
        <v>16</v>
      </c>
      <c r="C237" s="3" t="s">
        <v>292</v>
      </c>
      <c r="D237" s="3" t="str">
        <f t="shared" si="3"/>
        <v>T3</v>
      </c>
      <c r="E237" s="3" t="s">
        <v>299</v>
      </c>
      <c r="F237" s="5" t="s">
        <v>102</v>
      </c>
      <c r="G237" s="4">
        <v>8.1300000000000011E-2</v>
      </c>
      <c r="H237" s="4">
        <v>3.4099999999999998E-2</v>
      </c>
      <c r="I237" s="4">
        <v>4.2799999999999998E-2</v>
      </c>
      <c r="J237" s="4">
        <v>1.6899999999999999E-4</v>
      </c>
      <c r="K237" s="4">
        <v>1.1038999999999999</v>
      </c>
    </row>
    <row r="238" spans="1:18" x14ac:dyDescent="0.2">
      <c r="A238" s="3">
        <v>45250</v>
      </c>
      <c r="B238" s="3" t="s">
        <v>16</v>
      </c>
      <c r="C238" s="3" t="s">
        <v>292</v>
      </c>
      <c r="D238" s="3" t="str">
        <f t="shared" si="3"/>
        <v>T3</v>
      </c>
      <c r="E238" s="3" t="s">
        <v>299</v>
      </c>
      <c r="F238" s="5" t="s">
        <v>103</v>
      </c>
      <c r="G238" s="4">
        <v>0.62719999999999998</v>
      </c>
      <c r="H238" s="4">
        <v>3.4700000000000002E-2</v>
      </c>
      <c r="I238" s="4">
        <v>4.6799999999999994E-2</v>
      </c>
      <c r="J238" s="4">
        <v>0.48120000000000002</v>
      </c>
      <c r="K238" s="4">
        <v>1.3229000000000002</v>
      </c>
    </row>
    <row r="239" spans="1:18" x14ac:dyDescent="0.2">
      <c r="A239" s="3">
        <v>45250</v>
      </c>
      <c r="B239" s="3" t="s">
        <v>16</v>
      </c>
      <c r="C239" s="3" t="s">
        <v>292</v>
      </c>
      <c r="D239" s="3" t="str">
        <f t="shared" si="3"/>
        <v>T3</v>
      </c>
      <c r="E239" s="3" t="s">
        <v>299</v>
      </c>
      <c r="F239" s="5" t="s">
        <v>104</v>
      </c>
      <c r="G239" s="4">
        <v>1.3069</v>
      </c>
      <c r="H239" s="4">
        <v>5.6100000000000004E-2</v>
      </c>
      <c r="I239" s="4">
        <v>8.2100000000000006E-2</v>
      </c>
      <c r="J239" s="4">
        <v>0.45629999999999998</v>
      </c>
      <c r="K239" s="4">
        <v>1.3865000000000001</v>
      </c>
    </row>
    <row r="240" spans="1:18" x14ac:dyDescent="0.2">
      <c r="A240" s="3">
        <v>45250</v>
      </c>
      <c r="B240" s="3" t="s">
        <v>16</v>
      </c>
      <c r="C240" s="3" t="s">
        <v>292</v>
      </c>
      <c r="D240" s="3" t="str">
        <f t="shared" si="3"/>
        <v>T3</v>
      </c>
      <c r="E240" s="3" t="s">
        <v>299</v>
      </c>
      <c r="F240" s="5" t="s">
        <v>105</v>
      </c>
      <c r="G240" s="4">
        <v>0.56230000000000002</v>
      </c>
      <c r="H240" s="4">
        <v>1.89E-2</v>
      </c>
      <c r="I240" s="4">
        <v>7.4699999999999989E-2</v>
      </c>
      <c r="J240" s="4">
        <v>0.18169999999999997</v>
      </c>
      <c r="K240" s="4">
        <v>1.3041</v>
      </c>
    </row>
    <row r="241" spans="1:19" x14ac:dyDescent="0.2">
      <c r="A241" s="3">
        <v>45250</v>
      </c>
      <c r="B241" s="3" t="s">
        <v>16</v>
      </c>
      <c r="C241" s="3" t="s">
        <v>292</v>
      </c>
      <c r="D241" s="3" t="str">
        <f t="shared" si="3"/>
        <v>T3</v>
      </c>
      <c r="E241" s="3" t="s">
        <v>299</v>
      </c>
      <c r="F241" s="5" t="s">
        <v>106</v>
      </c>
      <c r="G241" s="4">
        <v>1.6984999999999999</v>
      </c>
      <c r="H241" s="4">
        <v>6.1600000000000002E-2</v>
      </c>
      <c r="I241" s="4">
        <v>6.7199999999999996E-2</v>
      </c>
      <c r="J241" s="4">
        <v>0.51080000000000003</v>
      </c>
      <c r="K241" s="4">
        <v>1.5702</v>
      </c>
    </row>
    <row r="242" spans="1:19" x14ac:dyDescent="0.2">
      <c r="A242" s="3">
        <v>45250</v>
      </c>
      <c r="B242" s="3" t="s">
        <v>16</v>
      </c>
      <c r="C242" s="3" t="s">
        <v>292</v>
      </c>
      <c r="D242" s="3" t="str">
        <f t="shared" si="3"/>
        <v>T3</v>
      </c>
      <c r="E242" s="3" t="s">
        <v>299</v>
      </c>
      <c r="F242" s="5" t="s">
        <v>107</v>
      </c>
      <c r="G242" s="4">
        <v>1.5612999999999999</v>
      </c>
      <c r="H242" s="4">
        <v>0.33529999999999999</v>
      </c>
      <c r="I242" s="4">
        <v>4.4999999999999998E-2</v>
      </c>
      <c r="J242" s="4">
        <v>0.24149999999999999</v>
      </c>
      <c r="K242" s="4">
        <v>1.5714999999999999</v>
      </c>
    </row>
    <row r="243" spans="1:19" x14ac:dyDescent="0.2">
      <c r="A243" s="3">
        <v>45251</v>
      </c>
      <c r="B243" s="3" t="s">
        <v>17</v>
      </c>
      <c r="C243" s="3" t="s">
        <v>294</v>
      </c>
      <c r="D243" s="3" t="str">
        <f>LEFT(F243, 3)</f>
        <v>Tn2</v>
      </c>
      <c r="E243" s="3" t="s">
        <v>297</v>
      </c>
      <c r="F243" s="5" t="s">
        <v>112</v>
      </c>
      <c r="G243" s="4">
        <v>4.4157999999999999</v>
      </c>
      <c r="H243" s="4">
        <v>0.16369999999999998</v>
      </c>
      <c r="I243" s="4">
        <v>0.1741</v>
      </c>
      <c r="J243" s="4">
        <v>1.3894000000000002</v>
      </c>
      <c r="K243" s="4">
        <v>2.0901000000000001</v>
      </c>
    </row>
    <row r="244" spans="1:19" x14ac:dyDescent="0.2">
      <c r="A244" s="3">
        <v>45251</v>
      </c>
      <c r="B244" s="3" t="s">
        <v>17</v>
      </c>
      <c r="C244" s="3" t="s">
        <v>294</v>
      </c>
      <c r="D244" s="3" t="str">
        <f>LEFT(F244, 3)</f>
        <v>Tn2</v>
      </c>
      <c r="E244" s="3" t="s">
        <v>297</v>
      </c>
      <c r="F244" s="5" t="s">
        <v>108</v>
      </c>
      <c r="G244" s="4">
        <v>2.0015000000000001</v>
      </c>
      <c r="H244" s="4">
        <v>4.7199999999999999E-2</v>
      </c>
      <c r="I244" s="4">
        <v>7.1800000000000003E-2</v>
      </c>
      <c r="J244" s="4">
        <v>0.86160000000000003</v>
      </c>
      <c r="K244" s="4">
        <v>1.8577000000000001</v>
      </c>
    </row>
    <row r="245" spans="1:19" x14ac:dyDescent="0.2">
      <c r="A245" s="3">
        <v>45251</v>
      </c>
      <c r="B245" s="3" t="s">
        <v>17</v>
      </c>
      <c r="C245" s="3" t="s">
        <v>294</v>
      </c>
      <c r="D245" s="3" t="str">
        <f>LEFT(F245, 3)</f>
        <v>Tn2</v>
      </c>
      <c r="E245" s="3" t="s">
        <v>297</v>
      </c>
      <c r="F245" s="5" t="s">
        <v>109</v>
      </c>
      <c r="G245" s="4">
        <v>1.1116000000000001</v>
      </c>
      <c r="H245" s="4">
        <v>7.8700000000000006E-2</v>
      </c>
      <c r="I245" s="4">
        <v>6.2399999999999997E-2</v>
      </c>
      <c r="J245" s="4">
        <v>0.39710000000000001</v>
      </c>
      <c r="K245" s="4">
        <v>1.6315</v>
      </c>
    </row>
    <row r="246" spans="1:19" x14ac:dyDescent="0.2">
      <c r="A246" s="3">
        <v>45251</v>
      </c>
      <c r="B246" s="3" t="s">
        <v>17</v>
      </c>
      <c r="C246" s="3" t="s">
        <v>294</v>
      </c>
      <c r="D246" s="3" t="str">
        <f t="shared" ref="D246:D272" si="4">LEFT(F246, 3)</f>
        <v>Tn2</v>
      </c>
      <c r="E246" s="3" t="s">
        <v>297</v>
      </c>
      <c r="F246" s="5" t="s">
        <v>110</v>
      </c>
      <c r="G246" s="4">
        <v>0.96219999999999994</v>
      </c>
      <c r="H246" s="4">
        <v>8.0700000000000008E-2</v>
      </c>
      <c r="I246" s="4">
        <v>7.1800000000000003E-2</v>
      </c>
      <c r="J246" s="4">
        <v>0.63350000000000006</v>
      </c>
      <c r="K246" s="4">
        <v>1.7765</v>
      </c>
    </row>
    <row r="247" spans="1:19" x14ac:dyDescent="0.2">
      <c r="A247" s="3">
        <v>45251</v>
      </c>
      <c r="B247" s="3" t="s">
        <v>17</v>
      </c>
      <c r="C247" s="3" t="s">
        <v>294</v>
      </c>
      <c r="D247" s="3" t="str">
        <f t="shared" si="4"/>
        <v>Tn2</v>
      </c>
      <c r="E247" s="3" t="s">
        <v>297</v>
      </c>
      <c r="F247" s="5" t="s">
        <v>111</v>
      </c>
      <c r="G247" s="4">
        <v>1.6013000000000002</v>
      </c>
      <c r="H247" s="4">
        <v>9.74E-2</v>
      </c>
      <c r="I247" s="4">
        <v>0.1164</v>
      </c>
      <c r="J247" s="4">
        <v>0.77160000000000006</v>
      </c>
      <c r="K247" s="4">
        <v>1.9775</v>
      </c>
    </row>
    <row r="248" spans="1:19" x14ac:dyDescent="0.2">
      <c r="A248" s="3">
        <v>45251</v>
      </c>
      <c r="B248" s="3" t="s">
        <v>17</v>
      </c>
      <c r="C248" s="3" t="s">
        <v>294</v>
      </c>
      <c r="D248" s="3" t="str">
        <f t="shared" si="4"/>
        <v>Tn2</v>
      </c>
      <c r="E248" s="3" t="s">
        <v>297</v>
      </c>
      <c r="F248" s="5" t="s">
        <v>113</v>
      </c>
      <c r="G248" s="4">
        <v>1.1006</v>
      </c>
      <c r="H248" s="4">
        <v>9.0000000000000011E-2</v>
      </c>
      <c r="I248" s="4">
        <v>6.5100000000000005E-2</v>
      </c>
      <c r="J248" s="4">
        <v>0.55349999999999999</v>
      </c>
      <c r="K248" s="4">
        <v>1.9757</v>
      </c>
    </row>
    <row r="249" spans="1:19" x14ac:dyDescent="0.2">
      <c r="A249" s="3">
        <v>45251</v>
      </c>
      <c r="B249" s="3" t="s">
        <v>17</v>
      </c>
      <c r="C249" s="3" t="s">
        <v>294</v>
      </c>
      <c r="D249" s="3" t="str">
        <f t="shared" si="4"/>
        <v>Tn2</v>
      </c>
      <c r="E249" s="3" t="s">
        <v>297</v>
      </c>
      <c r="F249" s="5" t="s">
        <v>114</v>
      </c>
      <c r="G249" s="4">
        <v>0.98249999999999993</v>
      </c>
      <c r="H249" s="4">
        <v>4.8499999999999995E-2</v>
      </c>
      <c r="I249" s="4">
        <v>6.6500000000000004E-2</v>
      </c>
      <c r="J249" s="4">
        <v>0.48680000000000001</v>
      </c>
      <c r="K249" s="4">
        <v>1.7988</v>
      </c>
    </row>
    <row r="250" spans="1:19" x14ac:dyDescent="0.2">
      <c r="A250" s="3">
        <v>45251</v>
      </c>
      <c r="B250" s="3" t="s">
        <v>17</v>
      </c>
      <c r="C250" s="3" t="s">
        <v>294</v>
      </c>
      <c r="D250" s="3" t="str">
        <f t="shared" si="4"/>
        <v>Tn2</v>
      </c>
      <c r="E250" s="3" t="s">
        <v>297</v>
      </c>
      <c r="F250" s="5" t="s">
        <v>115</v>
      </c>
      <c r="G250" s="4">
        <v>0.90029999999999999</v>
      </c>
      <c r="H250" s="4">
        <v>5.3899999999999997E-2</v>
      </c>
      <c r="I250" s="4">
        <v>7.7199999999999991E-2</v>
      </c>
      <c r="J250" s="4">
        <v>0.66510000000000002</v>
      </c>
      <c r="K250" s="4">
        <v>1.6455000000000002</v>
      </c>
      <c r="N250" s="1"/>
      <c r="O250" s="1"/>
      <c r="P250" s="1"/>
      <c r="Q250" s="1"/>
      <c r="R250" s="1"/>
      <c r="S250" s="1"/>
    </row>
    <row r="251" spans="1:19" x14ac:dyDescent="0.2">
      <c r="A251" s="3">
        <v>45251</v>
      </c>
      <c r="B251" s="3" t="s">
        <v>17</v>
      </c>
      <c r="C251" s="3" t="s">
        <v>294</v>
      </c>
      <c r="D251" s="3" t="str">
        <f t="shared" si="4"/>
        <v>Tn2</v>
      </c>
      <c r="E251" s="3" t="s">
        <v>297</v>
      </c>
      <c r="F251" s="5" t="s">
        <v>116</v>
      </c>
      <c r="G251" s="4">
        <v>1.8750999999999998</v>
      </c>
      <c r="H251" s="4">
        <v>6.9900000000000004E-2</v>
      </c>
      <c r="I251" s="4">
        <v>0.11610000000000001</v>
      </c>
      <c r="J251" s="4">
        <v>0.86450000000000005</v>
      </c>
      <c r="K251" s="4">
        <v>2.1181000000000001</v>
      </c>
    </row>
    <row r="252" spans="1:19" x14ac:dyDescent="0.2">
      <c r="A252" s="3">
        <v>45251</v>
      </c>
      <c r="B252" s="3" t="s">
        <v>17</v>
      </c>
      <c r="C252" s="3" t="s">
        <v>294</v>
      </c>
      <c r="D252" s="3" t="str">
        <f t="shared" si="4"/>
        <v>Tn2</v>
      </c>
      <c r="E252" s="3" t="s">
        <v>297</v>
      </c>
      <c r="F252" s="5" t="s">
        <v>117</v>
      </c>
      <c r="G252" s="4">
        <v>2.5910000000000002</v>
      </c>
      <c r="H252" s="4">
        <v>7.5300000000000006E-2</v>
      </c>
      <c r="I252" s="4">
        <v>0.10100000000000001</v>
      </c>
      <c r="J252" s="4">
        <v>1.0016</v>
      </c>
      <c r="K252" s="4">
        <v>1.9455</v>
      </c>
    </row>
    <row r="253" spans="1:19" x14ac:dyDescent="0.2">
      <c r="A253" s="3">
        <v>45251</v>
      </c>
      <c r="B253" s="3" t="s">
        <v>17</v>
      </c>
      <c r="C253" s="3" t="s">
        <v>294</v>
      </c>
      <c r="D253" s="3" t="str">
        <f t="shared" si="4"/>
        <v>Tn2</v>
      </c>
      <c r="E253" s="3" t="s">
        <v>298</v>
      </c>
      <c r="F253" s="5" t="s">
        <v>118</v>
      </c>
      <c r="G253" s="4">
        <v>3.4630000000000001</v>
      </c>
      <c r="H253" s="4">
        <v>0.14429999999999998</v>
      </c>
      <c r="I253" s="4">
        <v>0.1532</v>
      </c>
      <c r="J253" s="4">
        <v>1.0296000000000001</v>
      </c>
      <c r="K253" s="4">
        <v>1.5427</v>
      </c>
    </row>
    <row r="254" spans="1:19" x14ac:dyDescent="0.2">
      <c r="A254" s="3">
        <v>45251</v>
      </c>
      <c r="B254" s="3" t="s">
        <v>17</v>
      </c>
      <c r="C254" s="3" t="s">
        <v>294</v>
      </c>
      <c r="D254" s="3" t="str">
        <f t="shared" si="4"/>
        <v>Tn2</v>
      </c>
      <c r="E254" s="3" t="s">
        <v>298</v>
      </c>
      <c r="F254" s="5" t="s">
        <v>119</v>
      </c>
      <c r="G254" s="4">
        <v>3.2669000000000001</v>
      </c>
      <c r="H254" s="4">
        <v>5.2499999999999998E-2</v>
      </c>
      <c r="I254" s="4">
        <v>7.0300000000000001E-2</v>
      </c>
      <c r="J254" s="4">
        <v>0.6764</v>
      </c>
      <c r="K254" s="4">
        <v>1.4377</v>
      </c>
    </row>
    <row r="255" spans="1:19" x14ac:dyDescent="0.2">
      <c r="A255" s="3">
        <v>45251</v>
      </c>
      <c r="B255" s="3" t="s">
        <v>17</v>
      </c>
      <c r="C255" s="3" t="s">
        <v>294</v>
      </c>
      <c r="D255" s="3" t="str">
        <f t="shared" si="4"/>
        <v>Tn2</v>
      </c>
      <c r="E255" s="3" t="s">
        <v>298</v>
      </c>
      <c r="F255" s="5" t="s">
        <v>120</v>
      </c>
      <c r="G255" s="4">
        <v>2.4232999999999998</v>
      </c>
      <c r="H255" s="4">
        <v>8.0700000000000008E-2</v>
      </c>
      <c r="I255" s="4">
        <v>9.8399999999999987E-2</v>
      </c>
      <c r="J255" s="4">
        <v>1.0972999999999999</v>
      </c>
      <c r="K255" s="4">
        <v>1.4664000000000001</v>
      </c>
      <c r="N255" s="1"/>
      <c r="O255" s="1"/>
      <c r="P255" s="1"/>
      <c r="Q255" s="1"/>
      <c r="R255" s="1"/>
      <c r="S255" s="1"/>
    </row>
    <row r="256" spans="1:19" x14ac:dyDescent="0.2">
      <c r="A256" s="3">
        <v>45251</v>
      </c>
      <c r="B256" s="3" t="s">
        <v>17</v>
      </c>
      <c r="C256" s="3" t="s">
        <v>294</v>
      </c>
      <c r="D256" s="3" t="str">
        <f t="shared" si="4"/>
        <v>Tn2</v>
      </c>
      <c r="E256" s="3" t="s">
        <v>298</v>
      </c>
      <c r="F256" s="5" t="s">
        <v>121</v>
      </c>
      <c r="G256" s="4">
        <v>1.6764000000000001</v>
      </c>
      <c r="H256" s="4">
        <v>7.6600000000000001E-2</v>
      </c>
      <c r="I256" s="4">
        <v>9.6900000000000014E-2</v>
      </c>
      <c r="J256" s="4">
        <v>0.56830000000000003</v>
      </c>
      <c r="K256" s="4">
        <v>1.4736</v>
      </c>
    </row>
    <row r="257" spans="1:19" x14ac:dyDescent="0.2">
      <c r="A257" s="3">
        <v>45251</v>
      </c>
      <c r="B257" s="3" t="s">
        <v>17</v>
      </c>
      <c r="C257" s="3" t="s">
        <v>294</v>
      </c>
      <c r="D257" s="3" t="str">
        <f t="shared" si="4"/>
        <v>Tn2</v>
      </c>
      <c r="E257" s="3" t="s">
        <v>298</v>
      </c>
      <c r="F257" s="5" t="s">
        <v>122</v>
      </c>
      <c r="G257" s="4">
        <v>1.7054999999999998</v>
      </c>
      <c r="H257" s="4">
        <v>7.8700000000000006E-2</v>
      </c>
      <c r="I257" s="4">
        <v>0.10550000000000001</v>
      </c>
      <c r="J257" s="4">
        <v>0.5988</v>
      </c>
      <c r="K257" s="4">
        <v>1.4377</v>
      </c>
    </row>
    <row r="258" spans="1:19" x14ac:dyDescent="0.2">
      <c r="A258" s="3">
        <v>45251</v>
      </c>
      <c r="B258" s="3" t="s">
        <v>17</v>
      </c>
      <c r="C258" s="3" t="s">
        <v>294</v>
      </c>
      <c r="D258" s="3" t="str">
        <f t="shared" si="4"/>
        <v>Tn2</v>
      </c>
      <c r="E258" s="3" t="s">
        <v>298</v>
      </c>
      <c r="F258" s="5" t="s">
        <v>123</v>
      </c>
      <c r="G258" s="4">
        <v>2.2056</v>
      </c>
      <c r="H258" s="4">
        <v>6.4399999999999999E-2</v>
      </c>
      <c r="I258" s="4">
        <v>7.6499999999999999E-2</v>
      </c>
      <c r="J258" s="4">
        <v>0.59689999999999999</v>
      </c>
      <c r="K258" s="4">
        <v>1.397</v>
      </c>
    </row>
    <row r="259" spans="1:19" x14ac:dyDescent="0.2">
      <c r="A259" s="3">
        <v>45251</v>
      </c>
      <c r="B259" s="3" t="s">
        <v>17</v>
      </c>
      <c r="C259" s="3" t="s">
        <v>294</v>
      </c>
      <c r="D259" s="3" t="str">
        <f t="shared" si="4"/>
        <v>Tn2</v>
      </c>
      <c r="E259" s="3" t="s">
        <v>298</v>
      </c>
      <c r="F259" s="5" t="s">
        <v>124</v>
      </c>
      <c r="G259" s="4">
        <v>2.4056999999999999</v>
      </c>
      <c r="H259" s="4">
        <v>0.14179999999999998</v>
      </c>
      <c r="I259" s="4">
        <v>0.10469999999999999</v>
      </c>
      <c r="J259" s="4">
        <v>0.55790000000000006</v>
      </c>
      <c r="K259" s="4">
        <v>1.4420000000000002</v>
      </c>
    </row>
    <row r="260" spans="1:19" x14ac:dyDescent="0.2">
      <c r="A260" s="3">
        <v>45251</v>
      </c>
      <c r="B260" s="3" t="s">
        <v>17</v>
      </c>
      <c r="C260" s="3" t="s">
        <v>294</v>
      </c>
      <c r="D260" s="3" t="str">
        <f t="shared" si="4"/>
        <v>Tn2</v>
      </c>
      <c r="E260" s="3" t="s">
        <v>298</v>
      </c>
      <c r="F260" s="5" t="s">
        <v>125</v>
      </c>
      <c r="G260" s="4">
        <v>1.9803999999999999</v>
      </c>
      <c r="H260" s="4">
        <v>8.1299999999999997E-2</v>
      </c>
      <c r="I260" s="4">
        <v>9.5299999999999996E-2</v>
      </c>
      <c r="J260" s="4">
        <v>0.67670000000000008</v>
      </c>
      <c r="K260" s="4">
        <v>1.6055999999999999</v>
      </c>
    </row>
    <row r="261" spans="1:19" x14ac:dyDescent="0.2">
      <c r="A261" s="3">
        <v>45251</v>
      </c>
      <c r="B261" s="3" t="s">
        <v>17</v>
      </c>
      <c r="C261" s="3" t="s">
        <v>294</v>
      </c>
      <c r="D261" s="3" t="str">
        <f t="shared" si="4"/>
        <v>Tn2</v>
      </c>
      <c r="E261" s="3" t="s">
        <v>298</v>
      </c>
      <c r="F261" s="5" t="s">
        <v>126</v>
      </c>
      <c r="G261" s="4">
        <v>2.0918000000000001</v>
      </c>
      <c r="H261" s="4">
        <v>4.4899999999999995E-2</v>
      </c>
      <c r="I261" s="4">
        <v>0.1</v>
      </c>
      <c r="J261" s="4">
        <v>0.79920000000000002</v>
      </c>
      <c r="K261" s="4">
        <v>1.6614</v>
      </c>
    </row>
    <row r="262" spans="1:19" x14ac:dyDescent="0.2">
      <c r="A262" s="3">
        <v>45251</v>
      </c>
      <c r="B262" s="3" t="s">
        <v>17</v>
      </c>
      <c r="C262" s="3" t="s">
        <v>294</v>
      </c>
      <c r="D262" s="3" t="str">
        <f t="shared" si="4"/>
        <v>Tn2</v>
      </c>
      <c r="E262" s="3" t="s">
        <v>298</v>
      </c>
      <c r="F262" s="5" t="s">
        <v>127</v>
      </c>
      <c r="G262" s="4">
        <v>2.8383000000000003</v>
      </c>
      <c r="H262" s="4">
        <v>2.46E-2</v>
      </c>
      <c r="I262" s="4">
        <v>5.7700000000000001E-2</v>
      </c>
      <c r="J262" s="4">
        <v>0.60189999999999999</v>
      </c>
      <c r="K262" s="4">
        <v>1.4582000000000002</v>
      </c>
    </row>
    <row r="263" spans="1:19" x14ac:dyDescent="0.2">
      <c r="A263" s="3">
        <v>45251</v>
      </c>
      <c r="B263" s="3" t="s">
        <v>17</v>
      </c>
      <c r="C263" s="3" t="s">
        <v>294</v>
      </c>
      <c r="D263" s="3" t="str">
        <f t="shared" si="4"/>
        <v>Tn2</v>
      </c>
      <c r="E263" s="3" t="s">
        <v>299</v>
      </c>
      <c r="F263" s="5" t="s">
        <v>128</v>
      </c>
      <c r="G263" s="4">
        <v>1.8386</v>
      </c>
      <c r="H263" s="4">
        <v>6.9500000000000006E-2</v>
      </c>
      <c r="I263" s="4">
        <v>9.5299999999999996E-2</v>
      </c>
      <c r="J263" s="4">
        <v>0.84099999999999997</v>
      </c>
      <c r="K263" s="4">
        <v>1.0014000000000001</v>
      </c>
    </row>
    <row r="264" spans="1:19" x14ac:dyDescent="0.2">
      <c r="A264" s="3">
        <v>45251</v>
      </c>
      <c r="B264" s="3" t="s">
        <v>17</v>
      </c>
      <c r="C264" s="3" t="s">
        <v>294</v>
      </c>
      <c r="D264" s="3" t="str">
        <f t="shared" si="4"/>
        <v>Tn2</v>
      </c>
      <c r="E264" s="3" t="s">
        <v>299</v>
      </c>
      <c r="F264" s="5" t="s">
        <v>129</v>
      </c>
      <c r="G264" s="4">
        <v>1.6307999999999998</v>
      </c>
      <c r="H264" s="4">
        <v>0.1061</v>
      </c>
      <c r="I264" s="4">
        <v>6.7099999999999993E-2</v>
      </c>
      <c r="J264" s="4">
        <v>0.81960000000000011</v>
      </c>
      <c r="K264" s="4">
        <v>0.90760000000000007</v>
      </c>
      <c r="M264" s="1"/>
      <c r="N264" s="1"/>
      <c r="O264" s="1"/>
      <c r="P264" s="1"/>
      <c r="Q264" s="1"/>
      <c r="R264" s="1"/>
    </row>
    <row r="265" spans="1:19" x14ac:dyDescent="0.2">
      <c r="A265" s="3">
        <v>45251</v>
      </c>
      <c r="B265" s="3" t="s">
        <v>17</v>
      </c>
      <c r="C265" s="3" t="s">
        <v>294</v>
      </c>
      <c r="D265" s="3" t="str">
        <f t="shared" si="4"/>
        <v>Tn2</v>
      </c>
      <c r="E265" s="3" t="s">
        <v>299</v>
      </c>
      <c r="F265" s="5" t="s">
        <v>130</v>
      </c>
      <c r="G265" s="4">
        <v>1.2305999999999999</v>
      </c>
      <c r="H265" s="4">
        <v>9.1400000000000009E-2</v>
      </c>
      <c r="I265" s="4">
        <v>0.11560000000000001</v>
      </c>
      <c r="J265" s="4">
        <v>0.73759999999999992</v>
      </c>
      <c r="K265" s="4">
        <v>1.4578</v>
      </c>
      <c r="N265" s="1"/>
      <c r="O265" s="1"/>
      <c r="P265" s="1"/>
      <c r="Q265" s="1"/>
      <c r="R265" s="1"/>
      <c r="S265" s="1"/>
    </row>
    <row r="266" spans="1:19" x14ac:dyDescent="0.2">
      <c r="A266" s="3">
        <v>45251</v>
      </c>
      <c r="B266" s="3" t="s">
        <v>17</v>
      </c>
      <c r="C266" s="3" t="s">
        <v>294</v>
      </c>
      <c r="D266" s="3" t="str">
        <f t="shared" si="4"/>
        <v>Tn2</v>
      </c>
      <c r="E266" s="3" t="s">
        <v>299</v>
      </c>
      <c r="F266" s="5" t="s">
        <v>131</v>
      </c>
      <c r="G266" s="4">
        <v>1.5293999999999999</v>
      </c>
      <c r="H266" s="4">
        <v>7.8899999999999998E-2</v>
      </c>
      <c r="I266" s="4">
        <v>9.5299999999999996E-2</v>
      </c>
      <c r="J266" s="4">
        <v>4.7288000000000006</v>
      </c>
      <c r="K266" s="4">
        <v>1.5830000000000002</v>
      </c>
    </row>
    <row r="267" spans="1:19" x14ac:dyDescent="0.2">
      <c r="A267" s="3">
        <v>45251</v>
      </c>
      <c r="B267" s="3" t="s">
        <v>17</v>
      </c>
      <c r="C267" s="3" t="s">
        <v>294</v>
      </c>
      <c r="D267" s="3" t="str">
        <f t="shared" si="4"/>
        <v>Tn2</v>
      </c>
      <c r="E267" s="3" t="s">
        <v>299</v>
      </c>
      <c r="F267" s="5" t="s">
        <v>132</v>
      </c>
      <c r="G267" s="4">
        <v>1.65</v>
      </c>
      <c r="H267" s="4">
        <v>5.4299999999999994E-2</v>
      </c>
      <c r="I267" s="4">
        <v>0.11410000000000001</v>
      </c>
      <c r="J267" s="4">
        <v>1.3731</v>
      </c>
      <c r="K267" s="4">
        <v>0.81369999999999998</v>
      </c>
    </row>
    <row r="268" spans="1:19" x14ac:dyDescent="0.2">
      <c r="A268" s="3">
        <v>45251</v>
      </c>
      <c r="B268" s="3" t="s">
        <v>17</v>
      </c>
      <c r="C268" s="3" t="s">
        <v>294</v>
      </c>
      <c r="D268" s="3" t="str">
        <f t="shared" si="4"/>
        <v>Tn2</v>
      </c>
      <c r="E268" s="3" t="s">
        <v>299</v>
      </c>
      <c r="F268" s="5" t="s">
        <v>133</v>
      </c>
      <c r="G268" s="4">
        <v>1.2538</v>
      </c>
      <c r="H268" s="4">
        <v>7.5499999999999998E-2</v>
      </c>
      <c r="I268" s="4">
        <v>0.1336</v>
      </c>
      <c r="J268" s="4">
        <v>0.67949999999999999</v>
      </c>
      <c r="K268" s="4">
        <v>1.3381000000000001</v>
      </c>
    </row>
    <row r="269" spans="1:19" x14ac:dyDescent="0.2">
      <c r="A269" s="3">
        <v>45251</v>
      </c>
      <c r="B269" s="3" t="s">
        <v>17</v>
      </c>
      <c r="C269" s="3" t="s">
        <v>294</v>
      </c>
      <c r="D269" s="3" t="str">
        <f t="shared" si="4"/>
        <v>Tn2</v>
      </c>
      <c r="E269" s="3" t="s">
        <v>299</v>
      </c>
      <c r="F269" s="5" t="s">
        <v>134</v>
      </c>
      <c r="G269" s="4">
        <v>1.3568</v>
      </c>
      <c r="H269" s="4">
        <v>5.3899999999999997E-2</v>
      </c>
      <c r="I269" s="4">
        <v>8.6699999999999999E-2</v>
      </c>
      <c r="J269" s="4">
        <v>0.93250000000000011</v>
      </c>
      <c r="K269" s="4">
        <v>1.5646</v>
      </c>
      <c r="N269" s="1"/>
      <c r="O269" s="1"/>
      <c r="P269" s="1"/>
      <c r="Q269" s="1"/>
      <c r="R269" s="1"/>
      <c r="S269" s="1"/>
    </row>
    <row r="270" spans="1:19" x14ac:dyDescent="0.2">
      <c r="A270" s="3">
        <v>45251</v>
      </c>
      <c r="B270" s="3" t="s">
        <v>17</v>
      </c>
      <c r="C270" s="3" t="s">
        <v>294</v>
      </c>
      <c r="D270" s="3" t="str">
        <f t="shared" si="4"/>
        <v>Tn2</v>
      </c>
      <c r="E270" s="3" t="s">
        <v>299</v>
      </c>
      <c r="F270" s="5" t="s">
        <v>135</v>
      </c>
      <c r="G270" s="4">
        <v>1.3704000000000001</v>
      </c>
      <c r="H270" s="4">
        <v>7.46E-2</v>
      </c>
      <c r="I270" s="4">
        <v>6.9500000000000006E-2</v>
      </c>
      <c r="J270" s="4">
        <v>0.55559999999999998</v>
      </c>
      <c r="K270" s="4">
        <v>1.1309</v>
      </c>
    </row>
    <row r="271" spans="1:19" x14ac:dyDescent="0.2">
      <c r="A271" s="3">
        <v>45251</v>
      </c>
      <c r="B271" s="3" t="s">
        <v>17</v>
      </c>
      <c r="C271" s="3" t="s">
        <v>294</v>
      </c>
      <c r="D271" s="3" t="str">
        <f t="shared" si="4"/>
        <v>Tn2</v>
      </c>
      <c r="E271" s="3" t="s">
        <v>299</v>
      </c>
      <c r="F271" s="5" t="s">
        <v>136</v>
      </c>
      <c r="G271" s="4">
        <v>3.4563000000000001</v>
      </c>
      <c r="H271" s="4">
        <v>0.13649999999999998</v>
      </c>
      <c r="I271" s="4">
        <v>0.1336</v>
      </c>
      <c r="J271" s="4">
        <v>0.96350000000000025</v>
      </c>
      <c r="K271" s="4">
        <v>1.0306</v>
      </c>
    </row>
    <row r="272" spans="1:19" x14ac:dyDescent="0.2">
      <c r="A272" s="3">
        <v>45251</v>
      </c>
      <c r="B272" s="3" t="s">
        <v>17</v>
      </c>
      <c r="C272" s="3" t="s">
        <v>294</v>
      </c>
      <c r="D272" s="3" t="str">
        <f t="shared" si="4"/>
        <v>Tn2</v>
      </c>
      <c r="E272" s="3" t="s">
        <v>299</v>
      </c>
      <c r="F272" s="5" t="s">
        <v>137</v>
      </c>
      <c r="G272" s="4">
        <v>1.7770000000000001</v>
      </c>
      <c r="H272" s="4">
        <v>5.5E-2</v>
      </c>
      <c r="I272" s="4">
        <v>5.2299999999999999E-2</v>
      </c>
      <c r="J272" s="4">
        <v>0.75360000000000005</v>
      </c>
      <c r="K272" s="4">
        <v>0.83100000000000007</v>
      </c>
    </row>
  </sheetData>
  <sortState xmlns:xlrd2="http://schemas.microsoft.com/office/spreadsheetml/2017/richdata2" ref="A2:Q280">
    <sortCondition ref="A2:A280"/>
  </sortState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Jérémy Carlot</cp:lastModifiedBy>
  <dcterms:created xsi:type="dcterms:W3CDTF">2024-02-01T14:47:06Z</dcterms:created>
  <dcterms:modified xsi:type="dcterms:W3CDTF">2024-06-15T15:27:53Z</dcterms:modified>
</cp:coreProperties>
</file>